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belas Auxiliares" sheetId="1" r:id="rId5"/>
    <sheet state="visible" name="Respostas ao formulário 1" sheetId="2" r:id="rId6"/>
    <sheet state="visible" name="Valores Totais" sheetId="3" r:id="rId7"/>
    <sheet state="hidden" name="MunicípiosEstados" sheetId="4" r:id="rId8"/>
    <sheet state="hidden" name="DiretoriaDepart.Coord." sheetId="5" r:id="rId9"/>
  </sheets>
  <definedNames>
    <definedName hidden="1" localSheetId="1" name="_xlnm._FilterDatabase">'Respostas ao formulário 1'!$A$1:$AN$343</definedName>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2">
      <text>
        <t xml:space="preserve">Anteriormente informado como "Paraná". Alterado para Exterior para se adequar às fórmulas.</t>
      </text>
    </comment>
    <comment authorId="0" ref="P12">
      <text>
        <t xml:space="preserve">Anteriormente informado como "Évora PORTUGAL". Editado para apenas o nome do país para se adequar às fórmulas.</t>
      </text>
    </comment>
    <comment authorId="0" ref="O13">
      <text>
        <t xml:space="preserve">Anteriormente informado "Paraná". Editado para Exterior para se adequar às fórmulas.</t>
      </text>
    </comment>
    <comment authorId="0" ref="P13">
      <text>
        <t xml:space="preserve">Célula anteriormente informada como "Évora (Portugal)". Alterado para o nome do país para se adequar às fórmulas.</t>
      </text>
    </comment>
    <comment authorId="0" ref="O14">
      <text>
        <t xml:space="preserve">Anteriormente informado "Paraná". Alterado para "Exterior" para se adequar às fórmulas.</t>
      </text>
    </comment>
    <comment authorId="0" ref="P14">
      <text>
        <t xml:space="preserve">Anteriormente informado "Lisboa - Portugal", alterado para apenas o nome do país para se adequar às fórmulas.</t>
      </text>
    </comment>
    <comment authorId="0" ref="S15">
      <text>
        <t xml:space="preserve">Editado após o servidor informar que preencheu como "não" por engano.
</t>
      </text>
    </comment>
    <comment authorId="0" ref="AF15">
      <text>
        <t xml:space="preserve">Editado após o servidor informar que informou "sim" por engano.</t>
      </text>
    </comment>
    <comment authorId="0" ref="P16">
      <text>
        <t xml:space="preserve">Local ainda não definido. Inserido Costa Rica conforme alinhado com a servidora solicitante.</t>
      </text>
    </comment>
    <comment authorId="0" ref="P17">
      <text>
        <t xml:space="preserve">Originalmente preenchido "Coimbra". Alterado para o nome apenas do país para se adequar às fórmulas.</t>
      </text>
    </comment>
    <comment authorId="0" ref="P20">
      <text>
        <t xml:space="preserve">Originalmente informado "Milão Itália". Alterado para Itália para se adequar às fórmulas</t>
      </text>
    </comment>
    <comment authorId="0" ref="P21">
      <text>
        <t xml:space="preserve">Escrito Montpellier (França). Alterado para França para se adequar às fórmulas</t>
      </text>
    </comment>
    <comment authorId="0" ref="P22">
      <text>
        <t xml:space="preserve">Previamente informado Santigo (Chile). Alterado para o nome do país para se adequar às fórmulas.</t>
      </text>
    </comment>
    <comment authorId="0" ref="P23">
      <text>
        <t xml:space="preserve">Editado para Estados Unidos para se adequar às fórmulas. Previamente informado San Francisco.</t>
      </text>
    </comment>
    <comment authorId="0" ref="P25">
      <text>
        <t xml:space="preserve">Célula editada com o acento correto pela coordenação em 12/11/2025 às 11h31</t>
      </text>
    </comment>
    <comment authorId="0" ref="P29">
      <text>
        <t xml:space="preserve">Célula original escrita como "Não sei ainda". Editada para o município de Belo Horizonte com o bjetivo de planejar o cenário mais pessimista.</t>
      </text>
    </comment>
    <comment authorId="0" ref="I34">
      <text>
        <t xml:space="preserve">O respondente atualizou este valor.</t>
      </text>
    </comment>
    <comment authorId="0" ref="W34">
      <text>
        <t xml:space="preserve">O respondente atualizou este valor.</t>
      </text>
    </comment>
    <comment authorId="0" ref="X34">
      <text>
        <t xml:space="preserve">O respondente atualizou este valor.</t>
      </text>
    </comment>
    <comment authorId="0" ref="I36">
      <text>
        <t xml:space="preserve">O respondente atualizou este valor.</t>
      </text>
    </comment>
    <comment authorId="0" ref="Q37">
      <text>
        <t xml:space="preserve">O respondente atualizou este valor.</t>
      </text>
    </comment>
    <comment authorId="0" ref="R37">
      <text>
        <t xml:space="preserve">O respondente atualizou este valor.</t>
      </text>
    </comment>
    <comment authorId="0" ref="X37">
      <text>
        <t xml:space="preserve">O respondente atualizou este valor.</t>
      </text>
    </comment>
    <comment authorId="0" ref="K55">
      <text>
        <t xml:space="preserve">campo editado para aparecer apenas a numeração, em 14/11 às 14h55</t>
      </text>
    </comment>
    <comment authorId="0" ref="P55">
      <text>
        <t xml:space="preserve">Campo editado pela coordenação com a acentuação correta no dia 14/11 às 14h53
</t>
      </text>
    </comment>
    <comment authorId="0" ref="I71">
      <text>
        <t xml:space="preserve">O respondente atualizou este valor.</t>
      </text>
    </comment>
    <comment authorId="0" ref="M71">
      <text>
        <t xml:space="preserve">O respondente atualizou este valor.</t>
      </text>
    </comment>
    <comment authorId="0" ref="P78">
      <text>
        <t xml:space="preserve">Corrigido para o nome correto do município
</t>
      </text>
    </comment>
    <comment authorId="0" ref="Q80">
      <text>
        <t xml:space="preserve">Editado a pedido da Assessora.</t>
      </text>
    </comment>
    <comment authorId="0" ref="R80">
      <text>
        <t xml:space="preserve">Editado a pedido da Assessora.</t>
      </text>
    </comment>
    <comment authorId="0" ref="X80">
      <text>
        <t xml:space="preserve">O respondente atualizou este valor.</t>
      </text>
    </comment>
    <comment authorId="0" ref="I81">
      <text>
        <t xml:space="preserve">O respondente atualizou este valor.</t>
      </text>
    </comment>
    <comment authorId="0" ref="R81">
      <text>
        <t xml:space="preserve">O respondente atualizou este valor.</t>
      </text>
    </comment>
    <comment authorId="0" ref="U81">
      <text>
        <t xml:space="preserve">O respondente atualizou este valor.</t>
      </text>
    </comment>
    <comment authorId="0" ref="V81">
      <text>
        <t xml:space="preserve">O respondente atualizou este valor.</t>
      </text>
    </comment>
    <comment authorId="0" ref="W81">
      <text>
        <t xml:space="preserve">O respondente atualizou este valor.</t>
      </text>
    </comment>
    <comment authorId="0" ref="X81">
      <text>
        <t xml:space="preserve">O respondente atualizou este valor.</t>
      </text>
    </comment>
    <comment authorId="0" ref="P94">
      <text>
        <t xml:space="preserve">Alterado para Londrina conforme solicitação do assessor.</t>
      </text>
    </comment>
    <comment authorId="0" ref="P101">
      <text>
        <t xml:space="preserve">Alterado para Londrina conforme solicitação do assessor.</t>
      </text>
    </comment>
    <comment authorId="0" ref="P102">
      <text>
        <t xml:space="preserve">Alterado para Londrina conforme solicitação do assessor.</t>
      </text>
    </comment>
    <comment authorId="0" ref="P103">
      <text>
        <t xml:space="preserve">Alterado para Londrina conforme solicitação do assessor.</t>
      </text>
    </comment>
    <comment authorId="0" ref="P104">
      <text>
        <t xml:space="preserve">Alterado para Londrina conforme solicitação do assessor.</t>
      </text>
    </comment>
    <comment authorId="0" ref="P105">
      <text>
        <t xml:space="preserve">Alterado para Londrina conforme solicitação do assessor.</t>
      </text>
    </comment>
    <comment authorId="0" ref="P134">
      <text>
        <t xml:space="preserve">O respondente atualizou este valor.</t>
      </text>
    </comment>
    <comment authorId="0" ref="Q139">
      <text>
        <t xml:space="preserve">Editado a pedido do assessor.</t>
      </text>
    </comment>
    <comment authorId="0" ref="R139">
      <text>
        <t xml:space="preserve">Editado a pedido do assessor.</t>
      </text>
    </comment>
    <comment authorId="0" ref="W139">
      <text>
        <t xml:space="preserve">Editado a pedido do assessor.
</t>
      </text>
    </comment>
    <comment authorId="0" ref="X139">
      <text>
        <t xml:space="preserve">Editado a pedido do assessor.</t>
      </text>
    </comment>
    <comment authorId="0" ref="P140">
      <text>
        <t xml:space="preserve">Alterado para Londrina conforme solicitação do assessor.</t>
      </text>
    </comment>
    <comment authorId="0" ref="X142">
      <text>
        <t xml:space="preserve">ajustado conforme solicitação do assessor.</t>
      </text>
    </comment>
    <comment authorId="0" ref="K145">
      <text>
        <t xml:space="preserve">Editado para 10 a pedido do assessor.
</t>
      </text>
    </comment>
    <comment authorId="0" ref="X145">
      <text>
        <t xml:space="preserve">Editado a pedido do assessor.</t>
      </text>
    </comment>
    <comment authorId="0" ref="AG148">
      <text>
        <t xml:space="preserve">Originalmente informado "0". Alterado para 3000 após alinhamento com o Assessor.</t>
      </text>
    </comment>
    <comment authorId="0" ref="P151">
      <text>
        <t xml:space="preserve">Previamente informado como "on-line". Alterado para "Londrina" para não acarretar em erro. A alteração não afeta os cálculos.</t>
      </text>
    </comment>
    <comment authorId="0" ref="P172">
      <text>
        <t xml:space="preserve">Previamente informado como "Pato Branco e Palmas". Alterado para "Palmas" para contornar erro nas fórmulas. Porém, parte da capacitação ocorrerá em Pato Branco.</t>
      </text>
    </comment>
    <comment authorId="0" ref="Q178">
      <text>
        <t xml:space="preserve">Editado a pedido da servidora solicitante.</t>
      </text>
    </comment>
    <comment authorId="0" ref="R178">
      <text>
        <t xml:space="preserve">Editado a pedido da servidora solicitante.</t>
      </text>
    </comment>
    <comment authorId="0" ref="Q213">
      <text>
        <t xml:space="preserve">Editado para mês de abril.
</t>
      </text>
    </comment>
    <comment authorId="0" ref="R213">
      <text>
        <t xml:space="preserve">Editado para o mês de abril.</t>
      </text>
    </comment>
    <comment authorId="0" ref="W233">
      <text>
        <t xml:space="preserve">Editado a pedido do Assessor.</t>
      </text>
    </comment>
    <comment authorId="0" ref="AD233">
      <text>
        <t xml:space="preserve">Editado a pedido do Assessor.</t>
      </text>
    </comment>
    <comment authorId="0" ref="W234">
      <text>
        <t xml:space="preserve">Editado a pedido do Assessor.</t>
      </text>
    </comment>
    <comment authorId="0" ref="AD234">
      <text>
        <t xml:space="preserve">Editado a pedido do Assessor.</t>
      </text>
    </comment>
    <comment authorId="0" ref="AD235">
      <text>
        <t xml:space="preserve">Editado a pedido do Assessor.</t>
      </text>
    </comment>
    <comment authorId="0" ref="AD236">
      <text>
        <t xml:space="preserve">Editado a pedido do servidor.</t>
      </text>
    </comment>
    <comment authorId="0" ref="AD237">
      <text>
        <t xml:space="preserve">Editado a pedido do Assessor.</t>
      </text>
    </comment>
    <comment authorId="0" ref="AD238">
      <text>
        <t xml:space="preserve">Editado a pedido do Assessor.</t>
      </text>
    </comment>
    <comment authorId="0" ref="AD239">
      <text>
        <t xml:space="preserve">Editado a pedido do Assessor.</t>
      </text>
    </comment>
    <comment authorId="0" ref="AD240">
      <text>
        <t xml:space="preserve">Editado a pedido do Assessor.</t>
      </text>
    </comment>
    <comment authorId="0" ref="R256">
      <text>
        <t xml:space="preserve">Corrigido para o mês de maio.</t>
      </text>
    </comment>
    <comment authorId="0" ref="O260">
      <text>
        <t xml:space="preserve">Corrigido para Paraná, a pedido do assessor.</t>
      </text>
    </comment>
    <comment authorId="0" ref="P268">
      <text>
        <t xml:space="preserve">Previamente informado: Dois Vizinhos, Toledo, Guarapuava, Cambé, Ponta Grossa e Maringá. Alterado para Dois Vizinhos para se adequar às fórmulas.</t>
      </text>
    </comment>
    <comment authorId="0" ref="Y281">
      <text>
        <t xml:space="preserve">Valor corrigido pela divisão.
</t>
      </text>
    </comment>
    <comment authorId="0" ref="P289">
      <text>
        <t xml:space="preserve">Previamente informado "não definido". Alterado para Curitiba para considerar o o custo mais pessimista</t>
      </text>
    </comment>
    <comment authorId="0" ref="K302">
      <text>
        <t xml:space="preserve">O respondente atualizou este valor.</t>
      </text>
    </comment>
    <comment authorId="0" ref="Y302">
      <text>
        <t xml:space="preserve">O respondente atualizou este valor.</t>
      </text>
    </comment>
    <comment authorId="0" ref="AA302">
      <text>
        <t xml:space="preserve">Ajustado a vírgula como casa decimal</t>
      </text>
    </comment>
    <comment authorId="0" ref="P337">
      <text>
        <t xml:space="preserve">Previamente informado 3 municípios: Itai, Pilar do Sul e Mogi das Cruzes. Alterado para Mogi das Cruzes para se adequar às fórmulas.</t>
      </text>
    </comment>
    <comment authorId="0" ref="R340">
      <text>
        <t xml:space="preserve">Previamente informado Agosto. Editado para maio apos consultar cronograma do evento.</t>
      </text>
    </comment>
  </commentList>
</comments>
</file>

<file path=xl/sharedStrings.xml><?xml version="1.0" encoding="utf-8"?>
<sst xmlns="http://schemas.openxmlformats.org/spreadsheetml/2006/main" count="11893" uniqueCount="6857">
  <si>
    <t>Município</t>
  </si>
  <si>
    <t>Regional</t>
  </si>
  <si>
    <t>Valor coffee break</t>
  </si>
  <si>
    <t>Abatiá</t>
  </si>
  <si>
    <t>Cornélio Procópio</t>
  </si>
  <si>
    <t>Adrianópolis</t>
  </si>
  <si>
    <t>Curitiba</t>
  </si>
  <si>
    <t>Agudos do Sul</t>
  </si>
  <si>
    <t>Almirante Tamandaré</t>
  </si>
  <si>
    <t>Altamira do Paraná</t>
  </si>
  <si>
    <t>Campo Mourão</t>
  </si>
  <si>
    <t>Alto Paraíso</t>
  </si>
  <si>
    <t>Umuarama</t>
  </si>
  <si>
    <t>Alto Paraná</t>
  </si>
  <si>
    <t>Paranavaí</t>
  </si>
  <si>
    <t>Alto Piquiri</t>
  </si>
  <si>
    <t>Altônia</t>
  </si>
  <si>
    <t>Alvorada do Sul</t>
  </si>
  <si>
    <t>Londrina</t>
  </si>
  <si>
    <t>Amaporã</t>
  </si>
  <si>
    <t>Ampére</t>
  </si>
  <si>
    <t>Francisco Beltrão</t>
  </si>
  <si>
    <t>Anahy</t>
  </si>
  <si>
    <t>Cascavel</t>
  </si>
  <si>
    <t>Andirá</t>
  </si>
  <si>
    <t>Ângulo</t>
  </si>
  <si>
    <t>Maringá</t>
  </si>
  <si>
    <t>Antonina</t>
  </si>
  <si>
    <t>Paranaguá</t>
  </si>
  <si>
    <t>Antônio Olinto</t>
  </si>
  <si>
    <t>União da Vitória</t>
  </si>
  <si>
    <t>Apucarana</t>
  </si>
  <si>
    <t>Arapongas</t>
  </si>
  <si>
    <t>Arapoti</t>
  </si>
  <si>
    <t>Ponta Grossa</t>
  </si>
  <si>
    <t>Arapuã</t>
  </si>
  <si>
    <t>Ivaiporã</t>
  </si>
  <si>
    <t>Araruna</t>
  </si>
  <si>
    <t>Araucária</t>
  </si>
  <si>
    <t>Ariranha do Ivaí</t>
  </si>
  <si>
    <t>Assaí</t>
  </si>
  <si>
    <t>Assis Chateaubriand</t>
  </si>
  <si>
    <t>Toledo</t>
  </si>
  <si>
    <t>Astorga</t>
  </si>
  <si>
    <t>Atalaia</t>
  </si>
  <si>
    <t>Balsa Nova</t>
  </si>
  <si>
    <t>Bandeirantes</t>
  </si>
  <si>
    <t>Barbosa Ferraz</t>
  </si>
  <si>
    <t>Barra do Jacaré</t>
  </si>
  <si>
    <t>Santo Antônio da Platina</t>
  </si>
  <si>
    <t>Barracão</t>
  </si>
  <si>
    <t>Bela Vista da Caroba</t>
  </si>
  <si>
    <t>Bela Vista do Paraíso</t>
  </si>
  <si>
    <t>Bituruna</t>
  </si>
  <si>
    <t>Boa Esperança</t>
  </si>
  <si>
    <t>Boa Esperança do Iguaçu</t>
  </si>
  <si>
    <t>Dois Vizinhos</t>
  </si>
  <si>
    <t>Boa Ventura de São Roque</t>
  </si>
  <si>
    <t>Guarapuava</t>
  </si>
  <si>
    <t>Boa Vista da Aparecida</t>
  </si>
  <si>
    <t>Bocaiúva do Sul</t>
  </si>
  <si>
    <t>Bom Jesus do Sul</t>
  </si>
  <si>
    <t>Bom Sucesso</t>
  </si>
  <si>
    <t>Bom Sucesso do Sul</t>
  </si>
  <si>
    <t>Pato Branco</t>
  </si>
  <si>
    <t>Borrazópolis</t>
  </si>
  <si>
    <t>Braganey</t>
  </si>
  <si>
    <t>Brasilândia do Sul</t>
  </si>
  <si>
    <t>Cafeara</t>
  </si>
  <si>
    <t>Cafelândia</t>
  </si>
  <si>
    <t>Cafezal do Sul</t>
  </si>
  <si>
    <t>Califórnia</t>
  </si>
  <si>
    <t>Cambará</t>
  </si>
  <si>
    <t>Cambé</t>
  </si>
  <si>
    <t>Cambira</t>
  </si>
  <si>
    <t>Campina da Lagoa</t>
  </si>
  <si>
    <t>Campina do Simão</t>
  </si>
  <si>
    <t>Campina Grande do Sul</t>
  </si>
  <si>
    <t>Campo Bonito</t>
  </si>
  <si>
    <t>Campo do Tenente</t>
  </si>
  <si>
    <t>Campo Largo</t>
  </si>
  <si>
    <t>Campo Magro</t>
  </si>
  <si>
    <t>Cândido de Abreu</t>
  </si>
  <si>
    <t>Candói</t>
  </si>
  <si>
    <t>Cantagalo</t>
  </si>
  <si>
    <t>Capanema</t>
  </si>
  <si>
    <t>Capitão Leônidas Marques</t>
  </si>
  <si>
    <t>Carambeí</t>
  </si>
  <si>
    <t>Carlópolis</t>
  </si>
  <si>
    <t>Castro</t>
  </si>
  <si>
    <t>Catanduvas</t>
  </si>
  <si>
    <t>Centenário do Sul</t>
  </si>
  <si>
    <t>Cerro Azul</t>
  </si>
  <si>
    <t>Céu Azul</t>
  </si>
  <si>
    <t>Chopinzinho</t>
  </si>
  <si>
    <t>Cianorte</t>
  </si>
  <si>
    <t>Cidade Gaúcha</t>
  </si>
  <si>
    <t>Clevelândia</t>
  </si>
  <si>
    <t>Colombo</t>
  </si>
  <si>
    <t>Colorado</t>
  </si>
  <si>
    <t>Congonhinhas</t>
  </si>
  <si>
    <t>Conselheiro Mairinck</t>
  </si>
  <si>
    <t>Contenda</t>
  </si>
  <si>
    <t>Corbélia</t>
  </si>
  <si>
    <t>Coronel Domingos Soares</t>
  </si>
  <si>
    <t>Coronel Vivida</t>
  </si>
  <si>
    <t>Corumbataí do Sul</t>
  </si>
  <si>
    <t>Cruz Machado</t>
  </si>
  <si>
    <t>Cruzeiro do Iguaçu</t>
  </si>
  <si>
    <t>Cruzeiro do Oeste</t>
  </si>
  <si>
    <t>Cruzeiro do Sul</t>
  </si>
  <si>
    <t>Cruzmaltina</t>
  </si>
  <si>
    <t>Curiúva</t>
  </si>
  <si>
    <t>Diamante d'Oeste</t>
  </si>
  <si>
    <t>Diamante do Norte</t>
  </si>
  <si>
    <t>Diamante do Sul</t>
  </si>
  <si>
    <t>Douradina</t>
  </si>
  <si>
    <t>Doutor Camargo</t>
  </si>
  <si>
    <t>Doutor Ulysses</t>
  </si>
  <si>
    <t>Enéas Marques</t>
  </si>
  <si>
    <t>Engenheiro Beltrão</t>
  </si>
  <si>
    <t>Entre Rios do Oeste</t>
  </si>
  <si>
    <t>Esperança Nova</t>
  </si>
  <si>
    <t>Espigão Alto do Iguaçu</t>
  </si>
  <si>
    <t>Laranjeiras do Sul</t>
  </si>
  <si>
    <t>Farol</t>
  </si>
  <si>
    <t>Faxinal</t>
  </si>
  <si>
    <t>Fazenda Rio Grande</t>
  </si>
  <si>
    <t>Fênix</t>
  </si>
  <si>
    <t>Fernandes Pinheiro</t>
  </si>
  <si>
    <t>Irati</t>
  </si>
  <si>
    <t>Figueira</t>
  </si>
  <si>
    <t>Flor da Serra do Sul</t>
  </si>
  <si>
    <t>Floraí</t>
  </si>
  <si>
    <t>Floresta</t>
  </si>
  <si>
    <t>Florestópolis</t>
  </si>
  <si>
    <t>Flórida</t>
  </si>
  <si>
    <t>Formosa do Oeste</t>
  </si>
  <si>
    <t>Foz do Iguaçu</t>
  </si>
  <si>
    <t>Foz do Jordão</t>
  </si>
  <si>
    <t>Francisco Alves</t>
  </si>
  <si>
    <t>General Carneiro</t>
  </si>
  <si>
    <t>Godoy Moreira</t>
  </si>
  <si>
    <t>Goioerê</t>
  </si>
  <si>
    <t>Goioxim</t>
  </si>
  <si>
    <t>Grandes Rios</t>
  </si>
  <si>
    <t>Guaíra</t>
  </si>
  <si>
    <t>Guairaçá</t>
  </si>
  <si>
    <t>Guamiranga</t>
  </si>
  <si>
    <t>Guapirama</t>
  </si>
  <si>
    <t>Guaporema</t>
  </si>
  <si>
    <t>Guaraci</t>
  </si>
  <si>
    <t>Guaraniaçu</t>
  </si>
  <si>
    <t>Guaraqueçaba</t>
  </si>
  <si>
    <t>Guaratuba</t>
  </si>
  <si>
    <t>Honório Serpa</t>
  </si>
  <si>
    <t>Ibaiti</t>
  </si>
  <si>
    <t>Ibema</t>
  </si>
  <si>
    <t>Ibiporã</t>
  </si>
  <si>
    <t>Icaraíma</t>
  </si>
  <si>
    <t>Iguaraçu</t>
  </si>
  <si>
    <t>Iguatu</t>
  </si>
  <si>
    <t>Imbaú</t>
  </si>
  <si>
    <t>Imbituva</t>
  </si>
  <si>
    <t>Inácio Martins</t>
  </si>
  <si>
    <t>Inajá</t>
  </si>
  <si>
    <t>Indianópolis</t>
  </si>
  <si>
    <t>Ipiranga</t>
  </si>
  <si>
    <t>Iporã</t>
  </si>
  <si>
    <t>Iracema do Oeste</t>
  </si>
  <si>
    <t>Iretama</t>
  </si>
  <si>
    <t>Itaguajé</t>
  </si>
  <si>
    <t>Itaipulândia</t>
  </si>
  <si>
    <t>Itambaracá</t>
  </si>
  <si>
    <t>Itambé</t>
  </si>
  <si>
    <t>Itapejara d'Oeste</t>
  </si>
  <si>
    <t>Itaperuçu</t>
  </si>
  <si>
    <t>Itaúna do Sul</t>
  </si>
  <si>
    <t>Ivaí</t>
  </si>
  <si>
    <t>Ivaté</t>
  </si>
  <si>
    <t>Ivatuba</t>
  </si>
  <si>
    <t>Jaboti</t>
  </si>
  <si>
    <t>Jacarezinho</t>
  </si>
  <si>
    <t>Jaguapitã</t>
  </si>
  <si>
    <t>Jaguariaíva</t>
  </si>
  <si>
    <t>Jandaia do Sul</t>
  </si>
  <si>
    <t>Janiópolis</t>
  </si>
  <si>
    <t>Japira</t>
  </si>
  <si>
    <t>Japurá</t>
  </si>
  <si>
    <t>Jardim Alegre</t>
  </si>
  <si>
    <t>Jardim Olinda</t>
  </si>
  <si>
    <t>Jataizinho</t>
  </si>
  <si>
    <t>Jesuítas</t>
  </si>
  <si>
    <t>Joaquim Távora</t>
  </si>
  <si>
    <t>Jundiaí do Sul</t>
  </si>
  <si>
    <t>Juranda</t>
  </si>
  <si>
    <t>Jussara</t>
  </si>
  <si>
    <t>Kaloré</t>
  </si>
  <si>
    <t>Lapa</t>
  </si>
  <si>
    <t>Laranjal</t>
  </si>
  <si>
    <t>Leópolis</t>
  </si>
  <si>
    <t>Lidianópolis</t>
  </si>
  <si>
    <t>Lindoeste</t>
  </si>
  <si>
    <t>Loanda</t>
  </si>
  <si>
    <t>Lobato</t>
  </si>
  <si>
    <t>Luiziana</t>
  </si>
  <si>
    <t>Lunardelli</t>
  </si>
  <si>
    <t>Lupionópolis</t>
  </si>
  <si>
    <t>Mallet</t>
  </si>
  <si>
    <t>Mamborê</t>
  </si>
  <si>
    <t>Mandaguaçu</t>
  </si>
  <si>
    <t>Mandaguari</t>
  </si>
  <si>
    <t>Mandirituba</t>
  </si>
  <si>
    <t>Manfrinópolis</t>
  </si>
  <si>
    <t>Mangueirinha</t>
  </si>
  <si>
    <t>Manoel Ribas</t>
  </si>
  <si>
    <t>Marechal Cândido Rondon</t>
  </si>
  <si>
    <t>Maria Helena</t>
  </si>
  <si>
    <t>Marialva</t>
  </si>
  <si>
    <t>Marilândia do Sul</t>
  </si>
  <si>
    <t>Marilena</t>
  </si>
  <si>
    <t>Mariluz</t>
  </si>
  <si>
    <t>Mariópolis</t>
  </si>
  <si>
    <t>Maripá</t>
  </si>
  <si>
    <t>Marmeleiro</t>
  </si>
  <si>
    <t>Marquinho</t>
  </si>
  <si>
    <t>Marumbi</t>
  </si>
  <si>
    <t>Matelândia</t>
  </si>
  <si>
    <t>Matinhos</t>
  </si>
  <si>
    <t>Mato Rico</t>
  </si>
  <si>
    <t>Mauá da Serra</t>
  </si>
  <si>
    <t>Medianeira</t>
  </si>
  <si>
    <t>Mercedes</t>
  </si>
  <si>
    <t>Mirador</t>
  </si>
  <si>
    <t>Miraselva</t>
  </si>
  <si>
    <t>Missal</t>
  </si>
  <si>
    <t>Moreira Sales</t>
  </si>
  <si>
    <t>Morretes</t>
  </si>
  <si>
    <t>Munhoz de Mello</t>
  </si>
  <si>
    <t>Nossa Senhora das Graças</t>
  </si>
  <si>
    <t>Nova Aliança do Ivaí</t>
  </si>
  <si>
    <t>Nova América da Colina</t>
  </si>
  <si>
    <t>Nova Aurora</t>
  </si>
  <si>
    <t>Nova Cantu</t>
  </si>
  <si>
    <t>Nova Esperança</t>
  </si>
  <si>
    <t>Nova Esperança do Sudoeste</t>
  </si>
  <si>
    <t>Nova Fátima</t>
  </si>
  <si>
    <t>Nova Laranjeiras</t>
  </si>
  <si>
    <t>Nova Londrina</t>
  </si>
  <si>
    <t>Nova Olímpia</t>
  </si>
  <si>
    <t>Nova Prata do Iguaçu</t>
  </si>
  <si>
    <t>Nova Santa Bárbara</t>
  </si>
  <si>
    <t>Nova Santa Rosa</t>
  </si>
  <si>
    <t>Nova Tebas</t>
  </si>
  <si>
    <t>Novo Itacolomi</t>
  </si>
  <si>
    <t>Ortigueira</t>
  </si>
  <si>
    <t>Ourizona</t>
  </si>
  <si>
    <t>Ouro Verde do Oeste</t>
  </si>
  <si>
    <t>Paiçandu</t>
  </si>
  <si>
    <t>Palmas</t>
  </si>
  <si>
    <t>Palmeira</t>
  </si>
  <si>
    <t>Palmital</t>
  </si>
  <si>
    <t>Palotina</t>
  </si>
  <si>
    <t>Paraíso do Norte</t>
  </si>
  <si>
    <t>Paranacity</t>
  </si>
  <si>
    <t>Paranapoema</t>
  </si>
  <si>
    <t>Pato Bragado</t>
  </si>
  <si>
    <t>Paula Freitas</t>
  </si>
  <si>
    <t>Paulo Frontin</t>
  </si>
  <si>
    <t>Peabiru</t>
  </si>
  <si>
    <t>Perobal</t>
  </si>
  <si>
    <t>Pérola</t>
  </si>
  <si>
    <t>Pérola d'Oeste</t>
  </si>
  <si>
    <t>Piên</t>
  </si>
  <si>
    <t>Pinhais</t>
  </si>
  <si>
    <t>Pinhal de São Bento</t>
  </si>
  <si>
    <t>Pinhalão</t>
  </si>
  <si>
    <t>Pinhão</t>
  </si>
  <si>
    <t>Piraí do Sul</t>
  </si>
  <si>
    <t>Piraquara</t>
  </si>
  <si>
    <t>Pitanga</t>
  </si>
  <si>
    <t>Pitangueiras</t>
  </si>
  <si>
    <t>Planaltina do Paraná</t>
  </si>
  <si>
    <t>Planalto</t>
  </si>
  <si>
    <t>Pontal do Paraná</t>
  </si>
  <si>
    <t>Porecatu</t>
  </si>
  <si>
    <t>Porto Amazonas</t>
  </si>
  <si>
    <t>Porto Barreiro</t>
  </si>
  <si>
    <t>Porto Rico</t>
  </si>
  <si>
    <t>Porto Vitória</t>
  </si>
  <si>
    <t>Prado Ferreira</t>
  </si>
  <si>
    <t>Pranchita</t>
  </si>
  <si>
    <t>Presidente Castelo Branco</t>
  </si>
  <si>
    <t>Primeiro de Maio</t>
  </si>
  <si>
    <t>Prudentópolis</t>
  </si>
  <si>
    <t>Quarto Centenário</t>
  </si>
  <si>
    <t>Quatiguá</t>
  </si>
  <si>
    <t>Quatro Barras</t>
  </si>
  <si>
    <t>Quatro Pontes</t>
  </si>
  <si>
    <t>Quedas do Iguaçu</t>
  </si>
  <si>
    <t>Querência do Norte</t>
  </si>
  <si>
    <t>Quinta do Sol</t>
  </si>
  <si>
    <t>Quitandinha</t>
  </si>
  <si>
    <t>Ramilândia</t>
  </si>
  <si>
    <t>Rancho Alegre</t>
  </si>
  <si>
    <t>Rancho Alegre d'Oeste</t>
  </si>
  <si>
    <t>Realeza</t>
  </si>
  <si>
    <t>Rebouças</t>
  </si>
  <si>
    <t>Renascença</t>
  </si>
  <si>
    <t>Reserva</t>
  </si>
  <si>
    <t>Reserva do Iguaçu</t>
  </si>
  <si>
    <t>Ribeirão Claro</t>
  </si>
  <si>
    <t>Ribeirão do Pinhal</t>
  </si>
  <si>
    <t>Rio Azul</t>
  </si>
  <si>
    <t>Rio Bom</t>
  </si>
  <si>
    <t>Rio Bonito do Iguaçu</t>
  </si>
  <si>
    <t>Rio Branco do Ivaí</t>
  </si>
  <si>
    <t>Rio Branco do Sul</t>
  </si>
  <si>
    <t>Rio Negro</t>
  </si>
  <si>
    <t>Rolândia</t>
  </si>
  <si>
    <t>Roncador</t>
  </si>
  <si>
    <t>Rondon</t>
  </si>
  <si>
    <t>Rosário do Ivaí</t>
  </si>
  <si>
    <t>Sabáudia</t>
  </si>
  <si>
    <t>Salgado Filho</t>
  </si>
  <si>
    <t>Salto do Itararé</t>
  </si>
  <si>
    <t>Salto do Lontra</t>
  </si>
  <si>
    <t>Santa Amélia</t>
  </si>
  <si>
    <t>Santa Cecília do Pavão</t>
  </si>
  <si>
    <t>Santa Cruz de Monte Castelo</t>
  </si>
  <si>
    <t>Santa Fé</t>
  </si>
  <si>
    <t>Santa Helena</t>
  </si>
  <si>
    <t>Santa Inês</t>
  </si>
  <si>
    <t>Santa Isabel do Ivaí</t>
  </si>
  <si>
    <t>Santa Izabel do Oeste</t>
  </si>
  <si>
    <t>Santa Lúcia</t>
  </si>
  <si>
    <t>Santa Maria do Oeste</t>
  </si>
  <si>
    <t>Santa Mariana</t>
  </si>
  <si>
    <t>Santa Mônica</t>
  </si>
  <si>
    <t>Santa Tereza do Oeste</t>
  </si>
  <si>
    <t>Santa Terezinha de Itaipu</t>
  </si>
  <si>
    <t>Santana do Itararé</t>
  </si>
  <si>
    <t>Santo Antônio do Caiuá</t>
  </si>
  <si>
    <t>Santo Antônio do Paraíso</t>
  </si>
  <si>
    <t>Santo Antônio do Sudoeste</t>
  </si>
  <si>
    <t>Santo Inácio</t>
  </si>
  <si>
    <t>São Carlos do Ivaí</t>
  </si>
  <si>
    <t>São Jerônimo da Serra</t>
  </si>
  <si>
    <t>São João</t>
  </si>
  <si>
    <t>São João do Caiuá</t>
  </si>
  <si>
    <t>São João do Ivaí</t>
  </si>
  <si>
    <t>São João do Triunfo</t>
  </si>
  <si>
    <t>São Jorge d'Oeste</t>
  </si>
  <si>
    <t>São Jorge do Ivaí</t>
  </si>
  <si>
    <t>São Jorge do Patrocínio</t>
  </si>
  <si>
    <t>São José da Boa Vista</t>
  </si>
  <si>
    <t>São José das Palmeiras</t>
  </si>
  <si>
    <t>São José dos Pinhais</t>
  </si>
  <si>
    <t>São Manoel do Paraná</t>
  </si>
  <si>
    <t>São Mateus do Sul</t>
  </si>
  <si>
    <t>São Miguel do Iguaçu</t>
  </si>
  <si>
    <t>São Pedro do Iguaçu</t>
  </si>
  <si>
    <t>São Pedro do Ivaí</t>
  </si>
  <si>
    <t>São Pedro do Paraná</t>
  </si>
  <si>
    <t>São Sebastião da Amoreira</t>
  </si>
  <si>
    <t>São Tomé</t>
  </si>
  <si>
    <t>Sapopema</t>
  </si>
  <si>
    <t>Sarandi</t>
  </si>
  <si>
    <t>Saudade do Iguaçu</t>
  </si>
  <si>
    <t>Sengés</t>
  </si>
  <si>
    <t>Serranópolis do Iguaçu</t>
  </si>
  <si>
    <t>Sertaneja</t>
  </si>
  <si>
    <t>Sertanópolis</t>
  </si>
  <si>
    <t>Siqueira Campos</t>
  </si>
  <si>
    <t>Sulina</t>
  </si>
  <si>
    <t>Tamarana</t>
  </si>
  <si>
    <t>Tamboara</t>
  </si>
  <si>
    <t>Tapejara</t>
  </si>
  <si>
    <t>Tapira</t>
  </si>
  <si>
    <t>Teixeira Soares</t>
  </si>
  <si>
    <t>Telêmaco Borba</t>
  </si>
  <si>
    <t>Terra Boa</t>
  </si>
  <si>
    <t>Terra Rica</t>
  </si>
  <si>
    <t>Terra Roxa</t>
  </si>
  <si>
    <t>Tibagi</t>
  </si>
  <si>
    <t>Tijucas do Sul</t>
  </si>
  <si>
    <t>Tomazina</t>
  </si>
  <si>
    <t>Três Barras do Paraná</t>
  </si>
  <si>
    <t>Tunas do Paraná</t>
  </si>
  <si>
    <t>Tuneiras do Oeste</t>
  </si>
  <si>
    <t>Tupãssi</t>
  </si>
  <si>
    <t>Turvo</t>
  </si>
  <si>
    <t>Ubiratã</t>
  </si>
  <si>
    <t>Uniflor</t>
  </si>
  <si>
    <t>Uraí</t>
  </si>
  <si>
    <t>Ventania</t>
  </si>
  <si>
    <t>Vera Cruz do Oeste</t>
  </si>
  <si>
    <t>Verê</t>
  </si>
  <si>
    <t>Virmond</t>
  </si>
  <si>
    <t>Vitorino</t>
  </si>
  <si>
    <t>Wenceslau Braz</t>
  </si>
  <si>
    <t>Xambrê</t>
  </si>
  <si>
    <t>n°</t>
  </si>
  <si>
    <t>Carimbo de data/hora</t>
  </si>
  <si>
    <t>Endereço de e-mail</t>
  </si>
  <si>
    <t>Status</t>
  </si>
  <si>
    <t>Diretoria</t>
  </si>
  <si>
    <t>Departamento</t>
  </si>
  <si>
    <t xml:space="preserve">Informe a Assessoria/Regional/Polo/Estação Responsável </t>
  </si>
  <si>
    <t>N° SAF</t>
  </si>
  <si>
    <t xml:space="preserve">Informar título da Capacitação </t>
  </si>
  <si>
    <t>Metodologia da Capacitação</t>
  </si>
  <si>
    <t>N° de participantes do IDR-Paraná</t>
  </si>
  <si>
    <t xml:space="preserve">Informar nome dos participantes (se houver) </t>
  </si>
  <si>
    <t>Instituição parceira</t>
  </si>
  <si>
    <t>N° participantes externos</t>
  </si>
  <si>
    <t>Informe o Estado onde ocorrerá a capacitação</t>
  </si>
  <si>
    <t>Informar município onde ocorrerá a capacitação</t>
  </si>
  <si>
    <t>Data de Início</t>
  </si>
  <si>
    <t xml:space="preserve">Data de Término </t>
  </si>
  <si>
    <t xml:space="preserve"> A data informada é definitiva?</t>
  </si>
  <si>
    <t>Modalidade</t>
  </si>
  <si>
    <t>Temática Básica</t>
  </si>
  <si>
    <t>Justificativa</t>
  </si>
  <si>
    <t>Informar quantidade de refeição (n°)</t>
  </si>
  <si>
    <t>Informar quantidade de pernoite (n°)</t>
  </si>
  <si>
    <t>Taxa de Inscrição (R$)</t>
  </si>
  <si>
    <t xml:space="preserve">Material Gráfico (R$) </t>
  </si>
  <si>
    <t>Passagem aérea (R$)</t>
  </si>
  <si>
    <t>Passagem terrestre/ônibus</t>
  </si>
  <si>
    <t>Táxi (R$)</t>
  </si>
  <si>
    <t>Pedágio (R$)</t>
  </si>
  <si>
    <t>Van (R$)</t>
  </si>
  <si>
    <t>Coffee Break</t>
  </si>
  <si>
    <t>Total KM (Veículo oficial)</t>
  </si>
  <si>
    <t>Integração</t>
  </si>
  <si>
    <t>Valor Coffee break (R$)</t>
  </si>
  <si>
    <t>Valor Total Combustível (R$)</t>
  </si>
  <si>
    <t>Valor Total Diárias (R$)</t>
  </si>
  <si>
    <t>Valor Total IDR-Paraná (R$)</t>
  </si>
  <si>
    <t>Parecer do Departamento</t>
  </si>
  <si>
    <t>Parecer da Diretoria</t>
  </si>
  <si>
    <t>tpellini@idr.pr.gov.br</t>
  </si>
  <si>
    <t>A aprovar</t>
  </si>
  <si>
    <t>Socioeconomia e Métodos Quantitativos (Pesquisa)</t>
  </si>
  <si>
    <t>XVI Encontro Nacional da Sociedade Brasileira de Economia Ecológica (ECOECO)</t>
  </si>
  <si>
    <t>Encontro</t>
  </si>
  <si>
    <t>Tiago Santos Telles</t>
  </si>
  <si>
    <t>Sociedade Brasileira de Economia Ecológica – ECOECO.</t>
  </si>
  <si>
    <t>Alagoas</t>
  </si>
  <si>
    <t>Maceió</t>
  </si>
  <si>
    <t>Não</t>
  </si>
  <si>
    <t>Presencial</t>
  </si>
  <si>
    <t>Economia ecológica.</t>
  </si>
  <si>
    <t>A participação é essencial para aprofundar conhecimentos e fortalecer pesquisas voltadas à integração entre economia e ecologia, áreas estratégicas para o desenvolvimento sustentável da agropecuária. O evento possibilita atualização científica sobre abordagens inovadoras em economia ecológica, análise de serviços ecossistêmicos e políticas públicas ambientais, além de promover a troca de experiências com pesquisadores nacionais e internacionais. Essa interação contribui para aprimorar metodologias aplicadas em estudos sobre sustentabilidade, uso eficiente de recursos naturais e impactos socioeconômicos, alinhando-se às metas institucionais de geração de conhecimento e suporte à tomada de decisão para sistemas produtivos mais resilientes.</t>
  </si>
  <si>
    <t>graziela_barbosa@idr.pr.gov.br</t>
  </si>
  <si>
    <t>Aprovado</t>
  </si>
  <si>
    <t>Solos e Meio Ambiente (Pesquisa)</t>
  </si>
  <si>
    <t>IV Simpósio Brasileiro de Solos Arenosos</t>
  </si>
  <si>
    <t>Simpósio</t>
  </si>
  <si>
    <t>Jonez Fidalski</t>
  </si>
  <si>
    <t>Não se aplica</t>
  </si>
  <si>
    <t>Bahia</t>
  </si>
  <si>
    <t>Luís Eduardo Magalhães</t>
  </si>
  <si>
    <t>Sim</t>
  </si>
  <si>
    <t xml:space="preserve">Sistemas de produção resilientes em solos leves </t>
  </si>
  <si>
    <t>01) Atualizações de manejo do solos e da água em solos arenosos no Brasil, participar da Comissão Organizadora; 2) submeter um resumo.</t>
  </si>
  <si>
    <t>Aprovado para Jonez Fidalski</t>
  </si>
  <si>
    <t>santosjb@idr.pr.gov.br</t>
  </si>
  <si>
    <t>20° Encontro Nacional do Sistema Plantio Direto e 3° Encontro Mundial do Sistema Plantio Direto</t>
  </si>
  <si>
    <t>Josiane Burkner dos Santos</t>
  </si>
  <si>
    <t>FEBRAPDP</t>
  </si>
  <si>
    <t>Distrito Federal</t>
  </si>
  <si>
    <t>Brasília</t>
  </si>
  <si>
    <t>Sistema Plantio Direto</t>
  </si>
  <si>
    <t>Manter a visibilidade do IDR-Paraná como instituição que conduziu e conduz o Paraná como    o estado com maior produtividade e sustentabilidade exatamente por essa instituição ter escolhido desde os anos 80 o fomento da prática do SPD, é muito importante para continuarmos sendo reconhecidos como uma empresa que gera pesquisa de qualidade para o mundo.</t>
  </si>
  <si>
    <t>ronaldo@iapar.br</t>
  </si>
  <si>
    <t>Fitotecnia e Fisiologia da Produção (Pesquisa)</t>
  </si>
  <si>
    <t>Capacitação em sistema Plantio Direto</t>
  </si>
  <si>
    <t>Ronaldo Hissayuki Hojo
Luiz Antonio Odenath Penha
Ivan Bordin</t>
  </si>
  <si>
    <t xml:space="preserve">Produção Sustentavel </t>
  </si>
  <si>
    <t>Particpipação em evento com afinidade aos projetos de pesquisa em execução.</t>
  </si>
  <si>
    <t>Aprovado para dois participantes: Ronaldo Hojo e Ivan Bordin</t>
  </si>
  <si>
    <t>Graziela Moraes de Cesare Barbosa e Josiane Burkner dos Santos</t>
  </si>
  <si>
    <t>Discussões sobre plantio direto na palha</t>
  </si>
  <si>
    <t>Manter a visibilidade do IDR-Paraná como instituição que conduziu e conduz o Paraná como o estado com maior produtividade e sustentabilidade exatamente por essa instituição ter escolhido desde os anos 80 o fomento da prática do SPD, é muito importante para continuarmos sendo reconhecidos como uma empresa que gera pesquisa de qualidade para o mundo.</t>
  </si>
  <si>
    <t>Aprovado para Graziela Barbosa e Josiane Burkner</t>
  </si>
  <si>
    <t>joaoreis@idr.pr.gov.br</t>
  </si>
  <si>
    <t>Olericultura (Extensão Rural)</t>
  </si>
  <si>
    <t>58º Congresso Brasileiro de Olericultura</t>
  </si>
  <si>
    <t>Congresso</t>
  </si>
  <si>
    <t>ABH</t>
  </si>
  <si>
    <t xml:space="preserve"> Desafios da Agricultura Familiar frente às Mudanças Climáticas</t>
  </si>
  <si>
    <t>As mudanças climáticas tem provocado grande impacto na produção de hortaliças no Brasil e principalmente no Paraná, dessa forma, participar desse debate permitirá aos nossos profissionais definir estratégia para conviver com essas mudanças permitindo manter a produção e produtividade das hortaliças.</t>
  </si>
  <si>
    <t>joiceassmann@idr.pr.gov.br</t>
  </si>
  <si>
    <t>Polo de Pesquisa de Pato Branco</t>
  </si>
  <si>
    <t>Joice Mari Assmann</t>
  </si>
  <si>
    <t>FEBRAPDP e ENSPD</t>
  </si>
  <si>
    <t>"Sistema Plantio Direto: base para a Agricultura Regenerativa"</t>
  </si>
  <si>
    <t>O Paraná consolidou-se como o berço do Plantio Direto, sendo referência mundial nesse sistema de cultivo. O IDR-Paraná, pioneiro e protagonista nos estudos e avanços relacionados aos seus pilares, rotação de culturas, uso de plantas de cobertura e manejo sustentável do solo, desempenhou papel fundamental na construção desse legado. Diante dessa trajetória, é imprescindível que a instituição esteja representada em âmbito nacional e internacional, fortalecendo sua posição de liderança e credibilidade. Participar desses espaços nos permite não apenas aprimorar conhecimentos e incorporar inovações, mas também compartilhar resultados e experiências que contribuem para o desenvolvimento da agricultura sustentável no Brasil e no mundo.</t>
  </si>
  <si>
    <t>ivanbordin@idr.pr.gov.br</t>
  </si>
  <si>
    <t>Polo de Pesquisa de Londrina</t>
  </si>
  <si>
    <t>20º Encontro Nacional do Sistema Plantio Direto e o 3º Encontro Mundial</t>
  </si>
  <si>
    <t>Ivan Bordin</t>
  </si>
  <si>
    <t>Federação Brasileira de Plantio Direto na Palha</t>
  </si>
  <si>
    <t>Sou Assessor do programa grãos: soja e milho. Sou gerente do projeto de produção sustentável de grãos em rotação de culturas, em parceria com a ITAIPÚ (AISA). Pretendo levar resumos científicos para o evento.</t>
  </si>
  <si>
    <t>patriciasantoro@idr.pr.gov.br</t>
  </si>
  <si>
    <t>Não Aprovado</t>
  </si>
  <si>
    <t>não há</t>
  </si>
  <si>
    <t>O encontro reunirá produtores, pesquisadores e lideranças do setor e simboliza um dos principais fóruns do agronegócio para discussão de técnicas de agricultura sustentável.</t>
  </si>
  <si>
    <t>Considerando que o Paraná foi o "berço" do Plantio Direto e que o IDR-Paraná foi pioneiro e extremamente relevante nos estudos e avanços relacionados aos pilares deste sistema de cultivo (rotação de culturas, plantas de cobertura e manejo do solo) é de suma importância representarmos a instituição em nivel nacional e mundial, inclusive salientar que em 2026 o projeto de pesquisa mais antigo de Plantio Direto da instituição conduzido em Pato Branco completa 40 anos!</t>
  </si>
  <si>
    <t>Não aprovado por falta de informações: Nome do participante</t>
  </si>
  <si>
    <t>sramos@idr.pr.gov.br</t>
  </si>
  <si>
    <t>Turismo Rural (Extensão Rural)</t>
  </si>
  <si>
    <t>MISSÃO TÉCNICA COM O SEBRAE</t>
  </si>
  <si>
    <t>Excursão</t>
  </si>
  <si>
    <t>Sidney Aurelio Valeriano Ramos, Ailton Rojas Poppi, Delma Fabiola Ferreira da Silva, Rogerio da Silva Almeida e Varlei Toller</t>
  </si>
  <si>
    <t>SEBRAE</t>
  </si>
  <si>
    <t>Espírito Santo</t>
  </si>
  <si>
    <t>Venda Nova do Imigrante</t>
  </si>
  <si>
    <t>TURISMO RURAL</t>
  </si>
  <si>
    <t>A realização da missão técnica entre o Instituto de Desenvolvimento Rural do Paraná (IDR-Paraná) e o Serviço Brasileiro de Apoio às Micro e Pequenas Empresas (SEBRAE) justifica-se como ação estratégica decorrente do acordo de cooperação vigente entre os dois entes, cujo objetivo é promover o desenvolvimento sustentável, a inovação e a competitividade dos empreendimentos rurais no Estado do Paraná.
O acordo de cooperação estabelece a integração de esforços para fortalecimento das cadeias produtivas, difusão de tecnologias, aprimoramento de metodologias de assistência técnica e extensão rural (ATER), além da qualificação de produtores, técnicos e gestores. Nesse contexto, a missão técnica constitui etapa fundamental para o alinhamento de práticas, troca de experiências e identificação de soluções que contribuam para a melhoria contínua dos programas e projetos conjuntos.</t>
  </si>
  <si>
    <t>laisepontes@idr.pr.gov.br</t>
  </si>
  <si>
    <t>Programa de Pecuária de Corte e ILPF (Pesquisa)</t>
  </si>
  <si>
    <t>EGF 2026</t>
  </si>
  <si>
    <t>Laíse da Silveira Pontes</t>
  </si>
  <si>
    <t>European Grassland Federation</t>
  </si>
  <si>
    <t>Exterior</t>
  </si>
  <si>
    <t>Portugal</t>
  </si>
  <si>
    <t>Desafios e inovações para a resiliência das pastagens.</t>
  </si>
  <si>
    <t xml:space="preserve">O congresso internacional do EGF “Desafios e inovações para a resiliência das pastagens” reunirá pesquisadores de diversos países que atuam na temática da sustentabilidade e resiliência dos sistemas de pastagens, constituindo-se em um espaço privilegiado para trocas de experiências, aprendizado e atualização científica. A participação de pesquisadores do IDR-Paraná em evento desta magnitude é de suma importância, considerando que os desafios enfrentados pelos sistemas de pastagens — como mudanças climáticas, abandono/degradação de áreas rurais, conflitos de uso da terra, riscos crescentes de incêndios, perda de biodiversidade, pressões sobre solo e água, além de transformações na demanda por proteína e nos sistemas de produção animal — também se refletem diretamente na realidade brasileira.
Mudanças climáticas e pastagens, manejo do solo e da água
•	Impactos das mudanças climáticas sobre as pastagens 
•	Capacidade das pastagens de se adaptar às mudanças climáticas
•	Sequestro de carbono em pastagens para mitigar as mudanças climáticas
•	Solo, água, práticas de cultivo e manejo do pastoreio para a estabilidade das pastagens
•	Novas tecnologias para o desenvolvimento e resiliência das pastagens
Agroflorestas, pastoralismo e sociedade
•	O papel das pastagens na sustentabilidade das propriedades agroflorestais
•	Sinergias entre pastagens, arbustos, árvores e animais em sistemas agroflorestais
•	Práticas para prevenir a degradação em sistemas agroflorestais
•	Pastoreio e pastoralismo: atendendo às demandas da sociedade
•	O papel contemporâneo do pastoralismo
•	Pastoralismo e tecnologias emergentes
•	Pastoralismo: equilibrando o bem-estar dos agricultores, expectativas dos consumidores, bem-estar animal e biodiversidade
Melhoramento para novos desafios
•	Incorporação de novas espécies vegetais nos sistemas agrícolas
•	Estratégias de melhoramento vegetal em resposta às mudanças nos padrões climáticos
•	Estratégias de melhoramento vegetal para reduzir emissões de metano
•	Características genéticas das plantas e seu papel na redução das emissões do pastoreio
•	Aproveitamento da diversidade genética animal para enfrentar novos desafios das pastagens
Sistemas sustentáveis de produção pecuária baseados em pastagens: desafios e oportunidades 
•	Manejo adaptado ao local baseado em pastagens
•	Serviços ecossistêmicos proporcionados pelo uso das pastagens pelo gado
•	Autossuficiência proteica de sistemas de produção de ruminantes e monogástricos
•	Pecuária de precisão
•	Qualidade e rotulagem de produtos animais baseados em pastagens
Pastagens e ferramentas de políticas rurais para enfrentar desafios globais
•	Ferramentas de políticas para adaptação das funções das pastagens
•	Eco-esquemas e programas de desenvolvimento rural em resposta à perda de pastagens
•	Enfrentando desafios emergentes por meio de políticas públicas voltadas às pastagens
•	Construindo resiliência: políticas como proteção diante de crises futuras
•	Fomentando o papel das pastagens na estabilidade dos sistemas agrícolas
A participação neste evento permitirá não apenas a atualização científica, mas também a apresentação de resultados de pesquisas já desenvolvidas no âmbito do IDR-Paraná, cujos trabalhos (2) foram aceitos pela organização do congresso para publicação nos General Meeting Proceedings. Trata-se, portanto, de uma oportunidade estratégica para dar visibilidade internacional às pesquisas realizadas, fortalecer parcerias e trazer subsídios técnicos e científicos que poderão ser aplicados em programas de extensão e políticas públicas voltadas ao setor agropecuário paranaense.
A presença neste evento internacional contribuirá significativamente para o fortalecimento da atuação do IDR-Paraná na temática das pastagens e sistemas agropecuários sustentáveis, ampliando a inserção da pesquisa paranaense em debates globais e trazendo benefícios diretos para o desenvolvimento rural e a segurança alimentar.
</t>
  </si>
  <si>
    <t>kfgobbi@idr.pr.gov.br</t>
  </si>
  <si>
    <t>31st EGF (European Grassland Federation) General Meeting</t>
  </si>
  <si>
    <t>Universidade de Évora, Portugal</t>
  </si>
  <si>
    <t xml:space="preserve">Forragicultura e pastagens; Sistema silvopastoril (manejo tradicional); Sistema silvopastoril multifuncional - Biodiversidade e sistemas de pastoreio complementares (Bovinos, Ovinos, Caprinos, Suínos); </t>
  </si>
  <si>
    <t>O Encontro Geral da Federação Europeia de Pastagens é um dos principais eventos mundiais sobre o tema pastagens e forragicultura. Em 2026 terá como foco os desafios e inovações para a resiliência das pastagens, mudanças climáticas e pastagens, manejo do solo e da água; agrofloresta, pastoralismo e sociedade; Melhoramento genético para novos desafios; Sistemas sustentáveis ​​de produção pecuária baseados em pastagens; Ferramentas de política para pastagens e terras rurais para enfrentar desafios globais.</t>
  </si>
  <si>
    <t>josiane@idr.pr.gov.br</t>
  </si>
  <si>
    <t>Melhoramento Genético Vegetal e Sementes (Pesquisa)</t>
  </si>
  <si>
    <t>ISF World Seed Congress 2026</t>
  </si>
  <si>
    <t>Josiane Cristina de Assis Aliança</t>
  </si>
  <si>
    <t>Federação Internacional de Sementes (ISF)</t>
  </si>
  <si>
    <t>Produção mundial de sementes, desafios e formação de parcerias no setor</t>
  </si>
  <si>
    <t>O evento tem como objetivo fomentar parcerias estratégicas e discutir os principais temas do setor. Com expositores, mesas de negociação e amplas oportunidades de networking, o IDR-Paraná terá a oportunidade de expor as novas cultivares de aveia forrageira que foram registradas e também alcançar uma visibilidade no público Europeu, que utiliza há muitos anos as cultivares de aveia IAPAR 61 e IPR Cabocla. Será um evento que será possível apresentar as cultivares de aveia branca forrageira, que poderão ser testadas e validadas também para uso internacional. Além da grande absorção de novos conhecimentos, que é essencial a todo pesquisador, principalmente os que trabalham com genética e melhoramento de plantas e sementes, que é exatamente a minha linha de pesquisa no IDR-Paraná.</t>
  </si>
  <si>
    <t>tomaz@idr.pr.gov.br</t>
  </si>
  <si>
    <t>ICAR2026 - International Conference on Arabidopsis Research</t>
  </si>
  <si>
    <t>Conferência</t>
  </si>
  <si>
    <t>Juarez Pires Tomaz</t>
  </si>
  <si>
    <t>Não há</t>
  </si>
  <si>
    <t>Singapura</t>
  </si>
  <si>
    <t>Desenvolvimento da ciência básica pelo uso de Arabidopsis como modelo vegetal</t>
  </si>
  <si>
    <t>A Conferência Internacional sobre Pesquisa em Arabidopsis (ICAR) é o principal encontro anual da comunidade global de cientistas que utilizam Arabidopsis thaliana como sistema modelo. Por quase quatro décadas, a ICAR tem destacado as notáveis ​​contribuições da Arabidopsis para o avanço da biologia vegetal ou até mesmo humana e, a cada ano, reúne mais de 1.000 cientistas de todo o mundo. No IDR-Paraná, a utilização desse organismo modelo já levou à compreensão de defesa hormonal e da percepção das defesas vegetais contra o ataque de nematoides, além de ter sido ferramenta para busca de genes de resistência. Atualmente o IDR-Paraná é o instituto que detém o maior banco de germoplasma de Arabidopsis do Brasil, com 380 ecótipos. Investir na capacitação nesta temática colocaria o IDR-Paraná no cenário mundial para pesquisa básica com plantas modelo, além de proporcionar inúmeras possibilidades de aprendizado e parcerias científicas.</t>
  </si>
  <si>
    <t>heverly@idr.pr.gov.br</t>
  </si>
  <si>
    <t>Agrometereologia (Pesquisa)</t>
  </si>
  <si>
    <t>Congresso de Sistemas Agroflorestais</t>
  </si>
  <si>
    <t>Costa Rica</t>
  </si>
  <si>
    <t>Produção Regenerativa e Adaptação às Mudanças Climáticas</t>
  </si>
  <si>
    <t xml:space="preserve">A pesquisadora Dra. Heverly Morais desenvolve suas atividades com Mudanças Climáticas e Sistemas Agroflorestais (SAFs), tendo participado de inúmeros projetos. Coordena atualmente projetos de pesquisa, experimentos de campo e atividades nesses temas. A mesma possui inúmeras publicações em revistas científicas especializadas, congressos, livros e circulares. Sua participação neste evento terá como fim interação com a comunidade científica e atualização dos seus conhecimentos sobre quais as inovações, expectativas e avanços dos SAFs e Mudanças Climáticas. Além disso, através desse evento poderão ser formados contatos e parcerias entre o IDR-Paraná e universidades e institutos de pesquisa. </t>
  </si>
  <si>
    <t>Indeferido. A pesquisadora realizou capacitação no exterior no ano de 2025.</t>
  </si>
  <si>
    <t>maristelacarvalho@idr.pr.gov.br</t>
  </si>
  <si>
    <t>Soils for Europe: Healthy Soils for a Sustainable Future</t>
  </si>
  <si>
    <t>Maristela Pereira Carvalho Zanão</t>
  </si>
  <si>
    <t xml:space="preserve">Sustentabilidade, Fitotecnia </t>
  </si>
  <si>
    <t>Evento científico  ligado á sustentabilidade, a participação será importante para conhecimento e atualização. Será apresentado em pôster resultados de pesquisa do IDR-Paraná, bem como, participação em palestras, conferências e dialogar com cientistas da área. A experiência adquirida será importante para o desenvolvimento da pesquisa pelo IDR no Paraná.</t>
  </si>
  <si>
    <t>Não aprovado</t>
  </si>
  <si>
    <t>Luiz Antônio Zanão Júnior</t>
  </si>
  <si>
    <t>Saúde do Solo</t>
  </si>
  <si>
    <t>Evento científico  ligado à ciência do solo, a participação será importante para conhecimento e atualização das novas linhas de pesquisas em solos, será apresentado em pôster resultados de pesquisa do IDR-Paraná, bem como, participação em palestras, conferências e dialogar com cientistas da área. A experiência adquirida será importante para o desenvolvimento da pesquisa na área do solo pelo IDR no Paraná.</t>
  </si>
  <si>
    <t>Não aprovado com recursos do IDR</t>
  </si>
  <si>
    <t>Canvas (Crop, Agronomic, Environmental, &amp; Soil Sciences)</t>
  </si>
  <si>
    <t>Luciano Grillo Gil</t>
  </si>
  <si>
    <t>Estados Unidos</t>
  </si>
  <si>
    <t>Congresso que aborda ciência do solo com culturas</t>
  </si>
  <si>
    <t>Evento científico internacional ligado á ciência do solo, a participação será importante para conhecimento e atualização das novas linhas de pesquisas em solos, será apresentado em pôster resultados de pesquisa do IDR-Paraná, bem como, participação em palestras, conferências e dialogar com cientistas da área. A experiência adquirida será importante para o desenvolvimento da pesquisa na área do solo pelo IDR no Paraná.</t>
  </si>
  <si>
    <t>Aprovado com utilização de recursos externos.</t>
  </si>
  <si>
    <t>aledetoni@idr.pr.gov.br</t>
  </si>
  <si>
    <t>Visita técnica para Itália</t>
  </si>
  <si>
    <t>Visita Técnica</t>
  </si>
  <si>
    <t>Fundação Araucária</t>
  </si>
  <si>
    <t>Itália</t>
  </si>
  <si>
    <t>Interconexão em CT&amp;I entre o NAPI Inova Vitis e a Università degli Studi di Milano, Itália</t>
  </si>
  <si>
    <t xml:space="preserve">A visita técnica está alinhada com as diretrizes do Programa Interconexões Paraná – Chamada Pública 03/2025, promovendo a integração entre ciência, tecnologia, inovação e o setor produtivo, uma vez que a Itália é um dos principais e mais tradicionais países produtoras de uvas no mundo, sobretudo sob o sistema de cultivo protegido.
A cooperação internacional com a Università degli Studi di Milano, por meio da parceria com a Profa. Dra. Cássia da Silva Linge, representa uma oportunidade singular para o intercâmbio de conhecimento técnico-científico e a transferência de tecnologias agrícolas sustentáveis já consolidadas na Europa. 
Através da visita técnica será possível promover a capacitação técnica das pesquisadoras do IDR-Paraná, a construção de redes colaborativas duradouras e a incorporação de soluções tecnológicas adaptadas à realidade regional. Além de estreitar os laços de CT&amp;I entre as Instituições.
Ao promover a formação de recursos humanos qualificados e a articulação internacional, a proposta contribui diretamente para o fortalecimento do ecossistema de inovação agrícola do Paraná, elevando o estado a uma posição de referência em viticultura sustentável e tecnologicamente avançada.
</t>
  </si>
  <si>
    <t>00</t>
  </si>
  <si>
    <t>Missão técnica aos Laboratórios Vivos projeto GRANULAR  do International Centre for Advanced Mediterranean Agronomic Studies (CIHEAM).</t>
  </si>
  <si>
    <t>Simone Grisa, Norma Kiyota e Moacir Roberto Darolt.</t>
  </si>
  <si>
    <t>International Centre for Advanced Mediterranean Agronomic Studies (CIHEAM).</t>
  </si>
  <si>
    <t>França</t>
  </si>
  <si>
    <t>Laboratórios vivos (Living Labs) aplicados ao meio rural.</t>
  </si>
  <si>
    <t>O objetivo da missão ao CIHEAM é conhecer concepção, operação e experiência de 'Living Labs" consolidados para contribuir no desenvolvimento das atividades realizadas nas diferentes vitrines tecnológicas de agroecologia do IDR-Paraná para que estas possam ampliar sua função como "laboratórios vivos". A capacitação depende da aprovação de apoio da Itaipu Binacional para os gastos de transporte e translado dos participantes através de convênio já existente.</t>
  </si>
  <si>
    <t>XI Congresso Latinoamericano de Agroecologia.</t>
  </si>
  <si>
    <t>Moacir Roberto Darolt</t>
  </si>
  <si>
    <t>Sociedad Científica Latinoamericana de Agroecologia (SOCLA)</t>
  </si>
  <si>
    <t>Chile</t>
  </si>
  <si>
    <t>Agroecologia.</t>
  </si>
  <si>
    <t>Apresentar trabalhos realizados na temática da Agroecologia no IDR-Paraná, obter  atualização sobre o tema e estabelecer rede de intercâmbio técnico.</t>
  </si>
  <si>
    <t>soler@idr.pr.gov.br</t>
  </si>
  <si>
    <t>The AI Developer Conference</t>
  </si>
  <si>
    <t>Luciano Soler</t>
  </si>
  <si>
    <t>Conferência para desenvolvedores de sistemas de Inteligência Artificial</t>
  </si>
  <si>
    <t>Essa conferência reúne os maiores nomes do desenvolvimento em Inteligência Artificial do mundo, participar desta capacitação é uma ação estratégica para garantir que o IDR-Paraná permaneça protagonista na inovação agrícola. O conhecimento em IA Generativa e Agêntica permitirá ao Instituto desenvolver soluções internas, reduzir dependência tecnológica e aumentar a eficiência da extensão rural sem ampliar custos operacionais. Trata-se de um investimento direto na soberania digital da Instituição, na proteção da nossa propriedade intelectual e na modernização dos serviços oferecidos ao produtor. Não acompanhar esse movimento coloca o Instituto em desvantagem competitiva frente às soluções privadas que já estão se consolidando.</t>
  </si>
  <si>
    <t>danielsoares@idr.pr.gov.br</t>
  </si>
  <si>
    <t>76º Congresso Nacional de Botânica (CNBot)</t>
  </si>
  <si>
    <t>Daniel Soares Alves</t>
  </si>
  <si>
    <t>Sociedade Botânica do Brasil</t>
  </si>
  <si>
    <t>Mato Grosso do Sul</t>
  </si>
  <si>
    <t>Campo Grande</t>
  </si>
  <si>
    <t>Conservação e aplicações de plantas medicinais</t>
  </si>
  <si>
    <t>O Congresso Nacional de Botânica (CNBot), constitui o mais tradicional encontro da comunidade botânica brasileira, congregando especialistas em taxonomia, ecofisiologia, fisiologia vegetal, sistemática e conservação da flora. A participação possibilitará:
Aprofundamento no conhecimento sobre caracterização botânica de espécies medicinais e aromáticas;
Aprimoramento de técnicas de coleta, conservação e registro de germoplasma vegetal;
Interação com pesquisadores que atuam em bancos genéticos e herbários nacionais;
Acesso a discussões fundamentais para políticas de conservação e manejo sustentável de recursos genéticos.</t>
  </si>
  <si>
    <t>rafaelpiovezan@idr.pr.gov.br</t>
  </si>
  <si>
    <t>Pecuária de Leite (Extensão Rural)</t>
  </si>
  <si>
    <t>INTERLEITE BRASIL 2026</t>
  </si>
  <si>
    <t>Milk Point</t>
  </si>
  <si>
    <t>Minas Gerais</t>
  </si>
  <si>
    <t>Uberlândia</t>
  </si>
  <si>
    <t>Troca de experiências entre produtores, indústrias, técnicos e empresas de várias partes do Brasil</t>
  </si>
  <si>
    <t>Evento nacional, com papel importante na integração e no desenvolvimento das diversas bacias leiteiras do país</t>
  </si>
  <si>
    <t>Zootec 2026</t>
  </si>
  <si>
    <t>Universidade Federal de Viçosa</t>
  </si>
  <si>
    <t>Viçosa</t>
  </si>
  <si>
    <t>A zootecnia dos Próximos 100 Anos</t>
  </si>
  <si>
    <t>O Congresso da Zootec constitui-se em um dos mais relevantes eventos científicos e técnicos da área de produção animal no Brasil, reunindo pesquisadores, profissionais, estudantes e representantes do setor produtivo. Trata-se de um espaço estratégico para a difusão de conhecimentos atualizados, apresentação de resultados de pesquisa e fortalecimento de parcerias institucionais.</t>
  </si>
  <si>
    <t>Congresso Brasileiro de Zootecnia - ZOOTEC 2026</t>
  </si>
  <si>
    <t>UFV</t>
  </si>
  <si>
    <t>Criação, manejo, produção e bem-estar de animais de interesse econômico, com o objetivo de otimizar a produtividade de forma sustentável e ética.</t>
  </si>
  <si>
    <t>O Congresso Brasileiro de Zootecnia (ZOOTEC) é um dos eventos de maior expressão da Zootecnia brasileira como ciência e profissão, organizado a 34 anos em parceria com instituições de alta referência acadêmica e de pesquisa, com vertentes nos debates das questões de ensino e temáticas científicas, técnicas e profissionais. A participação de pesquisadores da Área de Ciências Veterinárias e Zootecnia do IDR-paraná é importante para o intercâmbio de conhecimentos e apresentação de resultados de pesquisas desenvolvidas no Instituto.</t>
  </si>
  <si>
    <t>SBZ 2026</t>
  </si>
  <si>
    <t>Universidade Federal de Lavras</t>
  </si>
  <si>
    <t>Lavras</t>
  </si>
  <si>
    <t>Ciência e Prática Gerando Valor na Produção Animal</t>
  </si>
  <si>
    <t>A 59ª Reunião da Sociedade Brasileira de Zootecnia constitui-se em um dos mais relevantes eventos científicos e técnicos da área de produção animal no Brasil, reunindo pesquisadores, profissionais, estudantes e representantes do setor produtivo. Trata-se de um espaço estratégico para a difusão de conhecimentos atualizados, apresentação de resultados de pesquisa e fortalecimento de parcerias institucionais.</t>
  </si>
  <si>
    <t>gustavosera@idr.pr.gov.br</t>
  </si>
  <si>
    <t>Programa de Café e Cultivos Industriais (Pesquisa)</t>
  </si>
  <si>
    <t>Congresso Brasileiro de Pesquisas Cafeeiras</t>
  </si>
  <si>
    <t>Gustavo Hiroshi Sera</t>
  </si>
  <si>
    <t>Consórcio Brasileiro de Pesquisa e Desenvolvimento do Café - Consórcio Pesquisa Café</t>
  </si>
  <si>
    <t>Belo Horizonte</t>
  </si>
  <si>
    <t>Cultura do café</t>
  </si>
  <si>
    <t xml:space="preserve">O Congresso Brasileiro de Pesquisas Cafeeiras é o principal evento técnico-científico do café no Brasil. É uma oportunidade de atualizar os conhecimentos na cultura do café e manter contato e trocar experiências com profissionais da cadeia produtiva do café. </t>
  </si>
  <si>
    <t>ipbruno@idr.pr.gov.br</t>
  </si>
  <si>
    <t>Isabeli Pereira Bruno (pesquisadora); Ana Cláudia de Souza dos Santos (bolsista); Mariany Muzza da Silva (bolsista).</t>
  </si>
  <si>
    <t>Não há.</t>
  </si>
  <si>
    <t>Poços de Caldas</t>
  </si>
  <si>
    <t>Cafeicultura.</t>
  </si>
  <si>
    <t>Atualização dos conhecimentos sobre cafeicultura e apresentação dos resultados de trabalhos desenvolvidos no IDR-Paraná.</t>
  </si>
  <si>
    <t>defantin@idr.pr.gov.br</t>
  </si>
  <si>
    <t>Semana internacional do café</t>
  </si>
  <si>
    <t>Feira</t>
  </si>
  <si>
    <t>01</t>
  </si>
  <si>
    <t xml:space="preserve">sca </t>
  </si>
  <si>
    <t>Belo horizonte</t>
  </si>
  <si>
    <t>atualização completa no tema café</t>
  </si>
  <si>
    <t xml:space="preserve">profissionais renomados do setor cafeeiro estarão na SIC para moldar os próximos passos da cafeicultura e temos que aproveitar a oportunidade para nos atualizar e também provavelmente o governo do estado terá um estande onde atenderemos os visitantes </t>
  </si>
  <si>
    <t>Expocafé 2026</t>
  </si>
  <si>
    <t>Exposição</t>
  </si>
  <si>
    <t>epamig</t>
  </si>
  <si>
    <t>três pontas</t>
  </si>
  <si>
    <t>a maior exposição de mecanização da cafeicultura brasileira</t>
  </si>
  <si>
    <t xml:space="preserve"> nesta visita poderemos conhecer as mais recentes tecnologias e equipamentos voltados para a cafeicultura, além de participar de palestras e workshops com especialistas do setor, ampliando o networking e explorando novas oportunidades para cafeicultura do parana.</t>
  </si>
  <si>
    <t>procafé</t>
  </si>
  <si>
    <t>poços de caldas</t>
  </si>
  <si>
    <t>Ferrugem do Cafeeiro 55 anos: antes doença temida, hoje vencida pela tecnologia". O evento foca nos avanços tecnológicos que permitiram o controle dessa doença e também em outras inovações para o setor</t>
  </si>
  <si>
    <t>A participação no Congresso Brasileiro de Pesquisas Cafeeiras é fundamental para o aprimoramento técnico e científico relacionado à cafeicultura, área diretamente ligada às atividades que desenvolvo. O evento reúne especialistas, pesquisadores, produtores, instituições de pesquisa e empresas do setor, proporcionando acesso a conhecimentos atualizados, tecnologias emergentes e práticas inovadoras que impactam diretamente a produtividade, sustentabilidade e competitividade da cadeia do café.</t>
  </si>
  <si>
    <t>romeugair@idr.pr.gov.br</t>
  </si>
  <si>
    <t>Café (Extensão Rural)</t>
  </si>
  <si>
    <t>EXPOCAFÉ 2026</t>
  </si>
  <si>
    <t>Três Pontas</t>
  </si>
  <si>
    <t>Mecanização da cafeicultura</t>
  </si>
  <si>
    <t>A mecanização da lavoura cafeeira é fundamental na sua sustentabilidade, pois a falta de mão de obra se agrava a cada ano, o trabalho sem mecanização é penoso e de alto custo. Neste evento os técnicos e cafeicultores conhecem as últimas pesquisas da área e acompanham as máquinas trabalhando.</t>
  </si>
  <si>
    <t>Semana Internacional do Cafe</t>
  </si>
  <si>
    <t>Nãos e aplica</t>
  </si>
  <si>
    <t xml:space="preserve">Café em transformação, inovação e sustentabilidade </t>
  </si>
  <si>
    <t xml:space="preserve">A pesquisadora Dra. Heverly Morais desenvolve suas atividades com a cultura cafeeira desde 1997, tendo participado de inúmeros projetos. Coordena atualmente projetos de pesquisa, experimentos de campo e atividades na cafeicultura. A mesma possui inúmeras publicações em revistas científicas especializadas, congressos, livros e circulares sobre a cultura cafeeira. Sua participação neste evento terá como fim interação com a comunidade científica e atualização dos seus conhecimentos sobre quais as inovações, expectativas e avanços da cafeicultura. Além disso, através desse evento poderão ser formados contatos e parcerias entre o IDR-Paraná e universidades e institutos de pesquisa. </t>
  </si>
  <si>
    <t>Semana Internacional do Café</t>
  </si>
  <si>
    <t>A negociar</t>
  </si>
  <si>
    <t>Feira de cafés especiais - Stand Paraná</t>
  </si>
  <si>
    <t>Neste evento se reúne as principais empresas nacionais e algumas mundiais que comercializam cafés especiais e máquinas para preparo de cafés especiais e afins. Também estão presentes com oferta de cafés para degustação todas as regiões cafeeiras do Brasil e de algumas do exterior. Evento indispensável para os técnicos que estão na área de cafés especiais e que apoiam as famílias cafeicultoras em abertura de nichos específicos de mercados com alta agregação de valor. Haverá um Stand do Governo do Paraná onde os extensionista no formato de revezamento organizarão e atenderão o público da feira.</t>
  </si>
  <si>
    <t>Fenicafé</t>
  </si>
  <si>
    <t>Araguari</t>
  </si>
  <si>
    <t>Cafeicultura Irrigada</t>
  </si>
  <si>
    <t>A Fenicafé é uma feira de implementos, máquinas, serviços e tecnologia, aliados a muita informação. XXVI Encontro Nacional de Irrigação da Cafeicultura do Cerrado e a XXV Feira de Irrigação em Café do Brasil. A importância dos extensionistas em buscar qualificação em irrigação de café.</t>
  </si>
  <si>
    <t>Congresso Brasileiro de Café</t>
  </si>
  <si>
    <t>Varginha</t>
  </si>
  <si>
    <t>Apresentação de pesquisas cafeeiras</t>
  </si>
  <si>
    <t>No Congresso Brasileiro de Pesquisas Cafeeiras são divulgados todos os resultados das pesquisas em café realizada no Brasil. Precisamos sempre ter alguns técnicos da equipe participando para se inteirar dos resultados das pesquisas recentes, assim melhorar nosso atendimento ao público assistido e atendido.</t>
  </si>
  <si>
    <t>ito@idr.pr.gov.br</t>
  </si>
  <si>
    <t>Proteção de Plantas (Pesquisa)</t>
  </si>
  <si>
    <t>50º Congresso Brasileiro de Pesquisas Cafeeiras</t>
  </si>
  <si>
    <t>Dhalton Shiguer Ito</t>
  </si>
  <si>
    <t>Procafé</t>
  </si>
  <si>
    <t>Pesquisa em Cafeicultura</t>
  </si>
  <si>
    <t>Este é principal evento relacionado à pesquisa em cafeicultura. Reúne os maiores especialistas da área para discutir atualidades e apresentar resultados de pesquisa. Serão apresentados resultados de pesquisas com nematoides no cafeeiro, provenientes de projetos financiados pelo Consórcio Pesquisa Café. É uma grande oportunidade para atualização de conhecimentos.</t>
  </si>
  <si>
    <t>Patricia Helena Santoro</t>
  </si>
  <si>
    <t>Na feira são apresentadas inovações tecnológicas sobre qualidade do café.</t>
  </si>
  <si>
    <t>A participação na Semana Internacional do Café 2026 é fundamental para o fortalecimento das ações de pesquisa e articulação institucional relacionadas à cafeicultura paranaense. O evento reúne os principais pesquisadores, instituições e lideranças do setor, permitindo acesso direto às inovações científicas, tecnológicas que orientam as tendências de cafés especiais no Brasil e no mundo. Estar presente na SIC possibilitará atualizar conhecimentos técnicos, ampliar o repertório metodológico para análises sensoriais e físico-químicas — especialmente relevantes para os projetos em andamento e estabelecer parcerias estratégicas com universidades e centros de pesquisa, além de fortalecer a representação institucional e identificar oportunidades para futuros projetos, capacitações e cooperações técnicas.</t>
  </si>
  <si>
    <t>Governo de Minas Gerais</t>
  </si>
  <si>
    <t>Cafeicultura</t>
  </si>
  <si>
    <t>É o maior evento direcionado à informação sobre toda a cadeia do café, com diversos conteúdos em nível internacional. É uma grande oportunidade na atualização do conhecimento, principalmente em temas relacionados à cafeicultura sustentável. A presença de diversas empresas e instituições públicas no evento também possibilita o contato e a formação de possíveis novas parcerias de trabalho. As informações adquiridas serão aplicadas diretamente visando melhorar o conhecimento, proporcionando melhores resultados na pesquisa.</t>
  </si>
  <si>
    <t>eduardosantos@idr.pr.gov.br</t>
  </si>
  <si>
    <t>Fruticultura (Extensão Rural)</t>
  </si>
  <si>
    <t>frutas vermelhas (amora preta, framboesa, morango e mirtilo))</t>
  </si>
  <si>
    <t>09</t>
  </si>
  <si>
    <t>Emater MG</t>
  </si>
  <si>
    <t>03</t>
  </si>
  <si>
    <t>Senador Amaral</t>
  </si>
  <si>
    <t>Produção a comercialização de frutas vermelhas (Mirtilo, morango, amora preta e framboesa)</t>
  </si>
  <si>
    <t>Estas frutas vermelhas estão em expansão, porem com problemas de organização da cadeia produtiva. Há fomentos de forma integrada com agroindústria e de forma independente. Porem faltando estrutura de armazenagem e recebimento. Como ainda desconhecimento da frutas como negocio. Ir num dos principais polos de produção do país, com a visita principais compradores busca alianças estratégicas para desenvolvimento da atividade, aproveitando o conhecimento acumulado.</t>
  </si>
  <si>
    <t>II ENCONTRO NACIONAL DE TÉCNICOS EM TURISMO RURAL DA EXTENSÃO RURAL OFICIAL</t>
  </si>
  <si>
    <t>NÃO DEFINIDO</t>
  </si>
  <si>
    <t>EMATER-MG</t>
  </si>
  <si>
    <t>Turismo Rural</t>
  </si>
  <si>
    <t>O turismo rural tem se consolidado como uma importante estratégia de desenvolvimento territorial, fortalecimento da agricultura familiar e diversificação das fontes de renda no meio rural. Nesse cenário, a atuação qualificada dos técnicos da extensão rural oficial é fundamental para orientar produtores, estimular boas práticas de gestão, promover a valorização cultural e ambiental e ampliar oportunidades econômicas de forma sustentável.
Diante dos desafios emergentes — como a necessidade de qualificação contínua, adequação a normativas sanitárias e ambientais, inovação em produtos e serviços turísticos, uso de tecnologias digitais, e fortalecimento de redes de cooperação — torna-se imprescindível promover espaços de atualização, integração e troca de experiências entre profissionais que atuam diretamente na promoção do turismo rural.
O II Encontro Nacional de Técnicos em Turismo Rural da Extensão Rural Oficial visa atender a essa demanda, proporcionando um ambiente de aprendizagem coletiva, alinhamento metodológico e consolidação de estratégias para o fortalecimento das políticas públicas voltadas ao desenvolvimento rural. O evento contribuirá para aprimorar a capacidade dos técnicos em apoiar iniciativas locais, qualificar empreendimentos turísticos, fomentar o empreendedorismo rural e ampliar o impacto social e econômico das ações de extensão</t>
  </si>
  <si>
    <t>pablo.nitsche@idr.pr.gov.br</t>
  </si>
  <si>
    <t>Congresso Brasileiro de Engenharia Agrícola (CONBEA) 2026</t>
  </si>
  <si>
    <t>PABLO RICARDO NITSCHE</t>
  </si>
  <si>
    <t>NÃO SE APLICA</t>
  </si>
  <si>
    <t>Paraná</t>
  </si>
  <si>
    <t>FOZ DO IGUAÇU</t>
  </si>
  <si>
    <t>A Engenharia Agrícola no Contexto das Mudanças Climáticas</t>
  </si>
  <si>
    <t>A participação no Congresso Brasileiro de Engenharia Agrícola (CONBEA) 2026 é de grande relevância para minha atuação como pesquisador em Agrometeorologia, pois o evento abordará o tema central “A Engenharia Agrícola no Contexto das Mudanças Climáticas”, diretamente relacionado às minhas atividades de pesquisa e extensão voltadas ao monitoramento climático e à sustentabilidade hídrica da produção agropecuária. O congresso representará uma oportunidade estratégica para atualização científica, troca de experiências com especialistas nacionais e internacionais, e fortalecimento de parcerias institucionais que poderão subsidiar o desenvolvimento de novas abordagens e tecnologias aplicadas à mitigação e adaptação das atividades agrícolas frente às mudanças do clima, contribuindo para aprimorar as ações de pesquisa e inovação no âmbito do IDR-Paraná.</t>
  </si>
  <si>
    <t>Preparação Entrevistadores Diagnóstico Carecterização Leite 2026</t>
  </si>
  <si>
    <t>Oficina</t>
  </si>
  <si>
    <t>SENAR</t>
  </si>
  <si>
    <t>Orientação e treinamento voltado ao teste e aplicação do questionário, foco no suporte da coordenação do projeto durante a realização do trabalho de campo.</t>
  </si>
  <si>
    <t>Necessário para realizar levantamento de campo e visitas dos extensionistas aos estabelecimentos leiteiros selecionados para realização de entrevista voluntária, utilizando um questionário estruturado</t>
  </si>
  <si>
    <t>Sistemas de Produção das Propriedade Leiteira</t>
  </si>
  <si>
    <t>APCBRH / SENAR</t>
  </si>
  <si>
    <t>Capacitação, Discussão e Realinhamento dos Trabalhos de Campo Programa Leite IDR-Paraná</t>
  </si>
  <si>
    <t>Necessário para a gestão do Programa e Redirecionamento das Diretrizes Institucionais</t>
  </si>
  <si>
    <t>Nutrição Rebanhos Leiteiros</t>
  </si>
  <si>
    <t>Curso</t>
  </si>
  <si>
    <t>Cooperativa Castrolanda / APCBRH</t>
  </si>
  <si>
    <t>Curso Complementar e Avançado Nutrição Animai</t>
  </si>
  <si>
    <t>Necessidade de avaliar os resultados e verificação das alternativas oferecidas pela ferramenta RLM Leite</t>
  </si>
  <si>
    <t>Sistemas Confinados e a Produção de Leite</t>
  </si>
  <si>
    <t>UDESC e APCBRH</t>
  </si>
  <si>
    <t>Capacitação Avançada Produção Leite em Sistemas Confinados</t>
  </si>
  <si>
    <t>Construção de Proposta e Projeto Técnico e Modelo Econômico Produção Confinado Paranaense</t>
  </si>
  <si>
    <t>Seminários Estaduais Leite IDR-Paraná</t>
  </si>
  <si>
    <t>Seminário</t>
  </si>
  <si>
    <t>APCBRH e SENAR</t>
  </si>
  <si>
    <t>Apresentação de Resultado Regionais e Tecnologias Nutrição, ESG, Qualidade Leite e Gestão de Indicadores</t>
  </si>
  <si>
    <t>Ajustar o curso ou a estratégia de um programa para garantir que ele permaneça alinhado aos seus objetivos organizacionais, metas e contexto atual</t>
  </si>
  <si>
    <t>AGROLEITE 2026</t>
  </si>
  <si>
    <t>Cooperativa Castrolanda</t>
  </si>
  <si>
    <t xml:space="preserve">Excursão e Visitação a maior feira de tecnologia e inovação voltada para o Leite no Brasil </t>
  </si>
  <si>
    <t xml:space="preserve">Maior feira de tecnologia e inovação voltada para o Leite no Brasil </t>
  </si>
  <si>
    <t>Manejo e Nutrição de Vacas Leiteiras</t>
  </si>
  <si>
    <t>Educa Point</t>
  </si>
  <si>
    <t>Online</t>
  </si>
  <si>
    <t>Curso On Line Nutrição</t>
  </si>
  <si>
    <t>Complementação Capacitação Time da Nutrição Animal</t>
  </si>
  <si>
    <t>Gestão na Pecuária Leiteira</t>
  </si>
  <si>
    <t>Complementação Capacitação Time de Gestão Pecuária Leite</t>
  </si>
  <si>
    <t>anderson@idr.pr.gov.br</t>
  </si>
  <si>
    <t>Engenharia Rural (Pesquisa)</t>
  </si>
  <si>
    <t>LIV CONGRESSO BRASILEIRO DE ENGENHARIA AGRÍCOLA</t>
  </si>
  <si>
    <t>Anderson de Toledo</t>
  </si>
  <si>
    <t>SBEA</t>
  </si>
  <si>
    <t>?</t>
  </si>
  <si>
    <t>Engenharia Agrícola - Pesquisa</t>
  </si>
  <si>
    <t>O CONBEA é o principal Congresso da área de Engenharia Agrícola no Brasil, sendo um evento importante para interação e troca de informações com pesquisadores, professores, técnicos e estudantes da área. Também apresenta programação com palestrantes e painelistas de renome nacional e internacional, configurando-se como ótiam oportunidade para atualização e capacitação profissional na área. Ainda, possui sessões de apresentação de trabalhos em que os principais resultados das pesquisas desenvolvidas na Área de Engenharia Agrícola do IDR-Paraná podem ser divulgados.</t>
  </si>
  <si>
    <t>hevandro@idr.pr.gov.br</t>
  </si>
  <si>
    <t xml:space="preserve"> LIV CONGRESSO BRASILEIRO DE ENGENHARIA AGRÍCOLA</t>
  </si>
  <si>
    <t>Hevandro Colonhese Delalibera</t>
  </si>
  <si>
    <t>não</t>
  </si>
  <si>
    <t xml:space="preserve">Pesquisa em Engenharia Agrícola </t>
  </si>
  <si>
    <t>O CONBEA é o principal Congresso da área de Engenharia Agrícola no Brasil, sendo um evento importante para interação e troca de informações com pesquisadores, professores, técnicos e estudantes da área. Também apresenta programação com palestrantes e painelistas de renome nacional e internacional, configurando-se como ótima oportunidade para atualização e capacitação profissional na área. Ainda, possui sessões de apresentação de trabalhos em que os principais resultados das pesquisas desenvolvidas na Área de Engenharia Agrícola do IDR-Paraná podem ser divulgados.</t>
  </si>
  <si>
    <t>eloir@idr.pr.gov.br</t>
  </si>
  <si>
    <t>Estação de Pesquisa de Guarapuava</t>
  </si>
  <si>
    <t>DIRECIONAMENTO AUTOMÁTICO DE MÁQUINAS</t>
  </si>
  <si>
    <t xml:space="preserve">José Rosaldo Lima e Elieder </t>
  </si>
  <si>
    <t>SENAR - PR</t>
  </si>
  <si>
    <t>USO DO SINAL DE GPS PARA DIRECIONAMENTO DE MÁQUINAS E IMPLEMENTOS</t>
  </si>
  <si>
    <t>OS COLABORADORES SÃO OPERADORES DE TRATORES E COLHEITADEIRAS E RECENTEMENTE RECEBEMOS IMPLEMENTOS MONITORADOS POR GPS E ELES PRECISAM DO TREINAMNETO PARA USAR AS MÁQUINAS CORRETAMENTE.</t>
  </si>
  <si>
    <t xml:space="preserve">MECÂNICO DE VEICULOS ALTO MOTOR </t>
  </si>
  <si>
    <t>02</t>
  </si>
  <si>
    <t>JOSÉ BORGES E JOCELINO</t>
  </si>
  <si>
    <t>SENAR -PR</t>
  </si>
  <si>
    <t>IBIPORÃ</t>
  </si>
  <si>
    <t>MANUTENÇÃO DE TRATORES AGRÍCOLAS VISANDO LONGEVIDADE DO MOTOR
PEQUENOS REPAROS QUE PODEM SER FEITOS NO CAMPO</t>
  </si>
  <si>
    <t>PRECISAMOS CAPACITAR NOSSOS COLABORADORES PARA FAZEREM PEQUENOS REPAROS NAS NOSSAS MÁQUINAS E ASSIM TERMOS UMA VIDA MAIS LONGA DELAS E ECONOMIZAR EM MANUTENÇÕES TERCEIRIZADAS.</t>
  </si>
  <si>
    <t xml:space="preserve">OPERAÇÃO E MANUTENÇÃO DE COLHEITADEIRAS TANGENCIAS </t>
  </si>
  <si>
    <t>ELIEDER E JOCELINO</t>
  </si>
  <si>
    <t>MANUTENÇÃO DE COLHEITADEIRAS TANGENCIAS
REGULAGENS DE COLHEITADEIRAS 
OPERAÇÃO DE COLHEITA</t>
  </si>
  <si>
    <t>NOSSOS OPERADORES PRECISAM DESTA ATUALIZAÇÃO PARA UM MELHOR DESEMPENHO NA SUAS FUNÇÕES COM ESTE TIPO DE MÁQUINA.</t>
  </si>
  <si>
    <t>ELETRECISTA DE VEICULOS ALTOMOTORES DE ELÉTRICA BÁSICA</t>
  </si>
  <si>
    <t>JOCELINO E JOSÉ BORGES</t>
  </si>
  <si>
    <t>ELÉTRICA BASICA DE VEICULOS ALTOMOTORES</t>
  </si>
  <si>
    <t>NOSSOS COLABORADORES PRECISAM PELO MENOS IDENTIFICAR O PROBLEMA PARA UMA SOLICITAÇÃO DE SERVIÇO TERCEIRIZADO.</t>
  </si>
  <si>
    <t>GESTÃO DE PESSOAS MÉTODOS PRÁTICOS</t>
  </si>
  <si>
    <t>JOSÉ ROSALDO E JOSÉ BORGES</t>
  </si>
  <si>
    <t>GUARAPUAVA</t>
  </si>
  <si>
    <t>GESTÃO DE PESSOAS, ORGANIZAÇÃO DE AMBIENTES, COMPORTAMENTOS NA EMPRESA E MEDIAÇÃO DE CONFLITOS.</t>
  </si>
  <si>
    <t>NOSSOS SERVIDORES MAIS ANTIGOS SÃO LIDERES DE CAMPO E PRECISAM DESTA ATUALIZAÇÃO PARA MELHORAR AINDA MAIS O AMBIENTE DE TRABALHO.</t>
  </si>
  <si>
    <t>INFORMÁTICA AVANÇADA</t>
  </si>
  <si>
    <t xml:space="preserve">VERIDIANE </t>
  </si>
  <si>
    <t>CLICK CURSOS</t>
  </si>
  <si>
    <t>WINDONS, PONER POINT, WORD E EXEL AVANÇADO.</t>
  </si>
  <si>
    <t xml:space="preserve">CAPACITAÇÃO PARA NOSSA COLABORADORA DO ADMINISTRATIVO. </t>
  </si>
  <si>
    <t>TRABALHADOR COM ROÇADEIRA COSTAL</t>
  </si>
  <si>
    <t>06</t>
  </si>
  <si>
    <t>MANUTENÇAO E OPERAÇÃO DE ROÇADEIRAS COSTAIS 
SEGURANÇA NO TRABALHO</t>
  </si>
  <si>
    <t>CAPATITAR NOSSOS COLABORADORES QUE TRABALHAM ESPORADICAMENTE COM ESSE TIPO DE EQUIPAMENTO.</t>
  </si>
  <si>
    <t>sidneymonteiro@idr.pr.gov.br</t>
  </si>
  <si>
    <t>1 ETAPA - Nutrição/Formulação de dieta Bovinos de leite</t>
  </si>
  <si>
    <t>IDR-Paraná</t>
  </si>
  <si>
    <t>Nutrição / formulação dieta Bovinos de Leite</t>
  </si>
  <si>
    <t>A bovinocultura de leite é uma atividade prioritária na região,  que através do projeto leite sustentável  os técnicos envolvidos nesta atividade vem desenvolvendo os trabalhos nos eixos: social, ambiental e econômico, sendo uma demanda dos técnicos este conteúdo específico, buscando evoluir os produtores na questão econômica, buscando maior eficiência e diminuição de custos.</t>
  </si>
  <si>
    <t>jeustaquio@idr.pr.gov.br</t>
  </si>
  <si>
    <t>Sistema de Plantio Direto em Hortaliças e Frutas</t>
  </si>
  <si>
    <t>IDR - Paraná, Epagri, IFPR , Casas Familiares Rurais e Prefeituras</t>
  </si>
  <si>
    <t>Epagri, IFPR , Casas Familiares Rurais e Prefeituras</t>
  </si>
  <si>
    <t>Sistemas de Plantio Direto em Olericultura e Frutas Vermelhas</t>
  </si>
  <si>
    <t xml:space="preserve">Segue uma justificativa objetiva, clara e dentro do limite solicitado:
**Justificativa (até 200 palavras)**
A implantação do Sistema de Plantio Direto de Hortaliças (SPDH) e de frutas vermelhas representa uma estratégia fundamental para o fortalecimento da agricultura sustentável nos territórios atendidos. A crescente demanda por alimentos de qualidade, produzidos com menor impacto ambiental e maior eficiência no uso de recursos naturais, exige a capacitação contínua de técnicos, engenheiros, acadêmicos e agricultores familiares.
O curso proposto, realizado em parceria entre IDR-Paraná e EPAGRI — instituições de referência em tecnologias conservacionistas — visa ampliar o domínio prático e teórico sobre o SPDH, contribuindo para a redução de custos de produção, melhoria da fertilidade do solo, incremento da biodiversidade e maior resiliência das lavouras frente às mudanças climáticas.
Ao integrar profissionais de prefeituras, Casa Familiar Rural e estudantes do IFPR, o curso promove uma rede regional de conhecimento, favorecendo a disseminação de técnicas que já demonstram resultados expressivos na olericultura e na produção de frutas vermelhas.
A qualificação conjunta desses atores fortalecerá a adoção das tecnologias do PROGRAMA INOVAR, ampliará a capacidade técnica local e impulsionará a competitividade das cadeias produtivas, gerando impactos socioeconômicos positivos para as famílias agricultoras.
</t>
  </si>
  <si>
    <t>2 Modulo - Nutrição / formulação de dietas bovinos de leite</t>
  </si>
  <si>
    <t>IDR - Paraná</t>
  </si>
  <si>
    <t>Nutrição / formulação de dietas Bovinos de leite</t>
  </si>
  <si>
    <t>A Bovinocultura de leite é atividade prioritária na região.  Através do Projeto Leite sustentável, trabalhamos os 3 eixos: social,ambiental e economico, sendo este ultimo eficiência na utilização de insumos e gestão financeira (custo de produção), sendo o tema de capacitação uma demanda dos técnicos envolvidos, para qualificação dos trabalhos.</t>
  </si>
  <si>
    <t>3 Modulo Nutrição / Formulação dieta Bovinos de leite</t>
  </si>
  <si>
    <t>Nutrição de Bovinos</t>
  </si>
  <si>
    <t>A Bovinocultura de leite é atividade prioritária na região.  Através do Projeto Leite sustentável, trabalhamos os 3 eixos: social, ambiental e econômico, sendo este último eficiência na utilização de insumos e gestão financeira (custo de produção), sendo o tema de capacitação uma demanda dos técnicos envolvidos, para qualificação dos trabalhos. Esta é a 3 ETAPA do Curso de capacitação em Bovino de leite.</t>
  </si>
  <si>
    <t>5 Modulo Nutrição / formulação de dieta Bovino de leite</t>
  </si>
  <si>
    <t>Nutrição / formulação de dieta bovinos de leite</t>
  </si>
  <si>
    <t>A Bovinocultura de leite é atividade prioritária na região.  Através do Projeto Leite sustentável, trabalhamos os 3 eixos: social, ambiental e econômico, sendo este último eficiência na utilização de insumos e gestão financeira (custo de produção), sendo o tema de capacitação uma demanda dos técnicos envolvidos, para qualificação dos trabalhos. Esta é a 5 ETAPA do Curso de capacitação em Bovino de leite.</t>
  </si>
  <si>
    <t>Capacitação da Comissão de avaliação - propriedade leiteira sustentável</t>
  </si>
  <si>
    <t>FETAEP / Sindicato dos Trabalhadores Rurais</t>
  </si>
  <si>
    <t>Projeto LEITE SUSTENTÁVEL</t>
  </si>
  <si>
    <t xml:space="preserve">A região idealizou o projeto Leite Sustentável, com metodologia de trabalho a avaliação das propriedades leiteiras sustentáveis familiares, onde é necessário capacitar os integrantes das comissões de avaliação, para a premiação " Concurso Propriedade Leiteira Sustentável Familiar".  Envolve técnicos do IDR-Paraná, bem como parceiros regionais (Laticínios, Sindicatos e técnicos de empresas privadas. </t>
  </si>
  <si>
    <t>Ciências Veterinárias e Zootecnia (Pesquisa)</t>
  </si>
  <si>
    <t xml:space="preserve">Congresso Mundial Brangus 2026 </t>
  </si>
  <si>
    <t>Palestra</t>
  </si>
  <si>
    <t>Associação Brasileira de Brangus</t>
  </si>
  <si>
    <t>Produção sustentável de carne, a partir da adoção de novas abordagens e tecnologias, o Congresso Mundial terá na programação palestras, exposições, julgamentos de gado</t>
  </si>
  <si>
    <t>Como gerente de projetos do Programa Pecuária de Corte e SIPA/Pesquisa considero importante a participação de pesquisadores e técnicos agrícolas do IDR-Paraná, vinculados ao Programa, no Congresso Mundial de Brangus. O evento terá como foco a sustentabilidade, adoção de tecnologias modernas de produção, avanço genético e volume e adaptabilidade do rebanho, temas de grande interesse para a equipe de pesquisa do IDR-Paraná, que também desenvolve pesquisas relacionadas aos temas abordados, particularmente o desenvolvimento e melhoramento de raças bovinas compostas. A participação de técnicos e pesquisadores no Congresso permitirá a atualização e capacitação da equipe em temas prioritários para a pesquisa em bovinocultura de corte, além do intercâmbio de conhecimentos com profissionais de instituições nacionais e internacionais e estabelecimento de parcerias interinstitucionais.</t>
  </si>
  <si>
    <t>Sistemas agroflorestais cafeeiro-seringueira no contexto das mudanças climáticas</t>
  </si>
  <si>
    <t>Escola de Gestão do Paraná</t>
  </si>
  <si>
    <t xml:space="preserve">Mudanças climáticas, microclima, e cultivo de cafeeiro e seringueira em sistemas agroflorestais. </t>
  </si>
  <si>
    <t>Em virtude das mudanças climáticas que afetam a agricultura, os cafeicultores necessitam de alternativas que possibilitem a continuidade do cultivo do cafeeiro no Paraná. Neste contexto, os sistemas agroflorestais com seringueiras se mostram como uma alternativa bastante viável, pois protegem os cafeeiros em eventos climáticos extremos - que serão cada vez mais frequentes -, como altas temperaturas, secas, geadas, granizo e vendavais. Além disso, o cultivo da seringueira pode gerar renda extra aos agricultores com a venda de látex, uma vez que o Paraná lidera a produção brasileira deste produto. O sistema agroflorestal de cafeeiro e seringueira tem sido estudado há algumas décadas por pesquisadores do instituto, e o conhecimento acumulado nesses anos precisa ser repassado aos extensionistas, agricultores, estudantes de ciências agrárias e outros interessados. Por isso, esse curso visa capacitar os participantes sobre o uso de sistemas agroflorestais de cafeeiro e seringueira como estratégia de adaptação às mudanças climáticas, bem como apresentar práticas importantes no manejo das seringueiras, como a sangria e a enxertia.</t>
  </si>
  <si>
    <t xml:space="preserve">XXIII Congresso Brasileiro de Sementes </t>
  </si>
  <si>
    <t>Associação Brasileira de Tecnologia de Sementes (Abrates)</t>
  </si>
  <si>
    <t>“Sementes: alicerces para ciência, tecnologia e produção”, refletindo o papel das sementes como base para a inovação, o avanço tecnológico e a produção sustentável no agronegócio brasileiro.</t>
  </si>
  <si>
    <t>Reconhecido como um dos mais relevantes fóruns de atualização científica e debate técnico do setor, o Congresso Brasileiro de Sementes reunirá especialistas, pesquisadores, profissionais, estudantes de graduação e pós-graduação e empresas que integram toda a cadeia produtiva de sementes.
Em 2024, o congresso apresentou um setor exclusivamente dedicado à produção de sementes de plantas forrageiras, o que com certeza será repetido nesse próximo evento.
Nessa ocasião, o IDR-Paraná levará os resultados das pesquisas com melhoramento genético de plantas de inverno, especialmente a aveia forrageira, cuja abordagem é muito significativa na produtividade de sementes. Especialmente após o registro de novas cultivares, fato ocorrido em 2025.
Realizado a cada dois anos, o congresso tem como propósito promover o intercâmbio de conhecimento, apresentar os avanços científicos e tecnológicos mais recentes e fortalecer a integração entre pesquisa, indústria e campo. A minha participação vai contribuir para minha atualização profissional e trará bas experiências que poderão ser aplicadas na área de melhoramento genético e sementes do IDR-Paraná.</t>
  </si>
  <si>
    <t>herlon@idr.pr.gov.br</t>
  </si>
  <si>
    <t>Energias Renováveis (Extensão Rural)</t>
  </si>
  <si>
    <t>Show Rural Coopavel</t>
  </si>
  <si>
    <t>Roberto Oliveira dos Santos, Antonio Ricardo Milgioransa, Geraldo Pereira Lacerda, Herlon Goelzer de Almeida</t>
  </si>
  <si>
    <t>FAEP/SENAR e CIBIOGAS</t>
  </si>
  <si>
    <t>Energias Renováveis</t>
  </si>
  <si>
    <t>Difusão de conceitos e resultados de energias renováveis.</t>
  </si>
  <si>
    <t>8º Fórum Sul Brasileiro de Biogás e Biometano</t>
  </si>
  <si>
    <t>Fórum</t>
  </si>
  <si>
    <t>Herlon Goelzer de Almeida, Antonio Ricardo Milgioransa, Roberto Oliveira dos Santos, Ivan Raupp, Leodacir Zuffo, Adauto de Jesus Medina, Cezar Paz, Ronaldo Fochesatto</t>
  </si>
  <si>
    <t>Biogás e Biometano</t>
  </si>
  <si>
    <t>Atualização tecnológica e de modelos de negócios em Biogás e Biometano.</t>
  </si>
  <si>
    <t>Expoingá</t>
  </si>
  <si>
    <t>Herlon Goelzer de Almeida, Antonio Ricardo Milgioransa, Roberto Oliveira dos Santos, Geraldo Lacerda</t>
  </si>
  <si>
    <t>Faep/SEANAR e Cibiogas</t>
  </si>
  <si>
    <t>Energia Solar e Biogás e Biometano</t>
  </si>
  <si>
    <t>Atualização sobre as políticas públicas e RenovaPR</t>
  </si>
  <si>
    <t>Via Tecnológica do Leite</t>
  </si>
  <si>
    <t>Herlon Goelzer de Almeida, Antonio Ricardo Milgioransa, Roberto Oliveira dos Santos, Cezar Paz</t>
  </si>
  <si>
    <t>Faep/Senar e Cibiogas</t>
  </si>
  <si>
    <t>Biogas e Biometano</t>
  </si>
  <si>
    <t>Atualização de Energias Renováveis e RenovaPR</t>
  </si>
  <si>
    <t>Agroleite</t>
  </si>
  <si>
    <t>Faep/Senar</t>
  </si>
  <si>
    <t>Atualização Tecnológica Biogás e Biometano e RenovaPR</t>
  </si>
  <si>
    <t>ccnandrade@idr.pr.gov.br</t>
  </si>
  <si>
    <t>Divisão de Carreira e Capacitação</t>
  </si>
  <si>
    <t>Metodologias em Extensão Rural - Módulo III: Caracterização do Espaço de Atuação do Extensionista</t>
  </si>
  <si>
    <t>O espaço geográfico de atuação do extensionista no que tange os aspectos físicos, econômicos, ambientais e sociais.</t>
  </si>
  <si>
    <t>A compreensão destes aspectos que integram um recorte geográfico permite ao extensionista a adoção de estratégias adequadas para sua atuação, priorizando as necessidades dos agricultores familiares e suas organizações.</t>
  </si>
  <si>
    <t>mauricioalves@idr.pr.gov.br</t>
  </si>
  <si>
    <t>Curso de Produção de Microorganismos em meio sólido</t>
  </si>
  <si>
    <t>IFSP - Avaré-SP</t>
  </si>
  <si>
    <t>Aprendizado prático para produção de micro-organismos em meio sólido possíveis de aplicação ON FARM.</t>
  </si>
  <si>
    <t>A região tem um foco na produção orgânica e esta tecnologia é essencial para aprimoramento dos nossos técnicos e posterior repasse aos agricultores, proporcionando assim o equilíbrio do sistema de produção orgânica.
Aprendizado prático para produção de micro-organismos em meio sólido possíveis de aplicação ON FARM.</t>
  </si>
  <si>
    <t>Reciclagem do Portifólio de Espécies de Hortaliças da Empresa Sakata</t>
  </si>
  <si>
    <t>Sakata</t>
  </si>
  <si>
    <t>Reciclagem sobre as variedades de hortaliças (folhosas, tomate, pepino e pimentão) da empresa Sakata.</t>
  </si>
  <si>
    <t>A empresa Sakata é uma das principais fornecedoras da região e se faz necessário uma reciclagem da equipe sobre cada uma delas em manejo da produção, pragas, doenças.</t>
  </si>
  <si>
    <t>valdimir@idr.pr.gov.br</t>
  </si>
  <si>
    <t>Divisão de Administração, Patrimônio e Frotas</t>
  </si>
  <si>
    <t>Reunião Técnica sobre Controle Patrimonial x Contabilidade</t>
  </si>
  <si>
    <t>Reunião Técnica</t>
  </si>
  <si>
    <t>IDR- Paraná</t>
  </si>
  <si>
    <t>Controle de Movimentações e inventários Patrimoniais</t>
  </si>
  <si>
    <t>Diante das exigências legais, e das mudanças ocorridas no IDR- Paraná, nos últimos tempos, principalmente nos aspectos referente a novos colaboradores, apoiando o Processo  na maioria das 05 regiões de extensão da Meso Norte, o que, tem demandado uma maior necessidade, para a inserção desses colaboradores dentro das exigências legais, e estabelecimento de um padrão único de procedimentos, a serem  adotados, para o cumprimento de forma efetiva, das atividades envolvidas no processo de Controle Patrimonial do IDR- Paraná.</t>
  </si>
  <si>
    <t>danielesandri@idr.pr.gov.br</t>
  </si>
  <si>
    <t>Promoção Social e Cidadania (Extensão Rural)</t>
  </si>
  <si>
    <t>Saneamento Básico Rural</t>
  </si>
  <si>
    <t>IAT</t>
  </si>
  <si>
    <t>Saneamento Rural</t>
  </si>
  <si>
    <t xml:space="preserve">A temática do Saneamento Rural é um dos eixos do Programa Estadual de Promoção Social e Cidadania e afeta diretamente as demais atividades da Unidade de Produção Familiar, tanto ambiental, social como economicamente. Esta temática, há tempos vem sendo planejada e até o momento não foi realizada. Há necessidade de, além de capacitar os técnicos, atualizar os materiais já existentes referentes à temática, bem como integrar aos demais programas do instituto. </t>
  </si>
  <si>
    <t>Classificação e Degustação de Café - Metodologia COB - MODULO 1</t>
  </si>
  <si>
    <t>LEANDRO APARECIDO DE ARAUJO
Mais 1 extensionista a definir</t>
  </si>
  <si>
    <t>Fapeagro</t>
  </si>
  <si>
    <t>Treinamento para classificar e degustar café na metodologia Classificação Oficial Brasileira - COB.</t>
  </si>
  <si>
    <t xml:space="preserve">O café paranaense vive um momento de transformação: a produção de grãos de alta qualidade cresce a cada safra e núcleos de padronização já estão instalados em diversas cidades. Para acompanhar esse avanço, é fundamental contar com técnicos do IDR, parceiros e cafeicultores preparados para atuar na classificação e degustação de café.
Este curso tem como missão credenciar extensionistas como Classificadores/Degustadores de Café Beneficiado Grão Cru, reconhecidos oficialmente pelo Ministério da Agricultura, Pecuária e Abastecimento. Com essa habilitação legal, eles estarão aptos a executar atividades que garantem a valorização do produto e a credibilidade do setor.
Mais do que uma capacitação, trata-se de uma oportunidade estratégica: os extensionistas poderão orientar os cafeicultores familiares do Paraná na identificação de falhas na colheita e no pós-colheita, promovendo melhorias conjuntas que elevam a qualidade do café e aumentam sua competitividade no mercado.
Investir nessa formação é investir no futuro do café paranaense — mais qualidade, mais valor, mais reconhecimento.
</t>
  </si>
  <si>
    <t>jagranato@idr.pr.gov.br</t>
  </si>
  <si>
    <t>Curso Solidworks</t>
  </si>
  <si>
    <t>ON BYTE LONDRINA</t>
  </si>
  <si>
    <t>Aprendizagem programa de desenho mecânico</t>
  </si>
  <si>
    <t>Curso de uso de programa de desenho mecânico, utilizado na área de engenharia rural, para projetos de equipamentos agrícola, pesquisado na área que estou lotado.</t>
  </si>
  <si>
    <t>Agroindústria Familiar</t>
  </si>
  <si>
    <t>Qualificação em Agroindútria com abordagem em metodologia participativa na gestão</t>
  </si>
  <si>
    <t>UEM</t>
  </si>
  <si>
    <t>Gestão de Agroindústria Familiar</t>
  </si>
  <si>
    <t>Consolidação do projeto regional de  Agroindústria com foco na gestão, ponto frágil do projeto.</t>
  </si>
  <si>
    <t>Qualificação em agroindútria com abordagem em metodologia participativa em gestão - 2ª etapa</t>
  </si>
  <si>
    <t>Qualificação em agroindútria com abordagem em metodologia participativa em gestão - 3ª etapa</t>
  </si>
  <si>
    <t>Qualificação em agroindústria com abordagem em metodologia participativa em gestão – 4ª etapa</t>
  </si>
  <si>
    <t>Qualificação em agroindústria com abordagem em metodologia participativa em gestão – 5ª etapa</t>
  </si>
  <si>
    <t>Qualificação em agroindústria com abordagem em metodologia participativa em gestão – 6ª etapa</t>
  </si>
  <si>
    <t>Qualificação em agroindústria com abordagem em metodologia participativa em gestão – 7ª etapa</t>
  </si>
  <si>
    <t>karolline@idr.pr.gov.br</t>
  </si>
  <si>
    <t>Queijos Nobres Paraná - Turma 01</t>
  </si>
  <si>
    <t>Biopark, SEIC</t>
  </si>
  <si>
    <t>Boas práticas de produção e maturação de queijos artesanais e autorais, com foco no controle da qualidade do leite, nos parâmetros físico-químicos e microbiológicos do produto, e nas tecnologias de processamento adotadas pelas agroindústrias familiares. A formação integra conteúdos teóricos e práticas laboratoriais no Biopark, orientadas ao aprimoramento técnico do processo produtivo, da segurança alimentar e da conformidade sanitária.</t>
  </si>
  <si>
    <t>A capacitação tem como foco principal o aprimoramento técnico dos produtores de queijos artesanais, regularizados ou em processo de regularização, ampliando a qualificação das agroindústrias familiares e fortalecendo sua competitividade. Cada turma conta com 15 participantes, sendo acompanhada pelo técnico do IDR-Paraná, cuja presença é essencial para garantir o posterior desdobramento das orientações práticas junto às unidades produtivas atendidas nas regiões.
Ao elevar o nível técnico dos produtores a capacitação contribui diretamente para a formalização das agroindústrias, a melhoria da qualidade dos produtos ofertados e a ampliação do acesso ao mercado. 
A iniciativa integra o cumprimento do Plano de Trabalho estabelecido no Termo de Cooperação Protocolo nº 22.460.288-0, firmado entre o IDR-Paraná e a SEIC. Dessa forma, a realização contínua dessas turmas representa uma demanda institucional para consolidar o Programa Queijos Nobres Paraná e sustentar os resultados estratégicos do Programa Agroindústria.</t>
  </si>
  <si>
    <t>Queijos Nobres Paraná - Turma 02</t>
  </si>
  <si>
    <t>Biopark/SEIC</t>
  </si>
  <si>
    <t>Boas práticas de produção e maturação de queijos artesanais e de especialidade, com foco no controle da qualidade do leite, nos parâmetros físico-químicos e microbiológicos do produto, e nas tecnologias de processamento adotadas pelas agroindústrias familiares. A formação integra conteúdos teóricos e práticas laboratoriais no Biopark, orientadas ao aprimoramento técnico do processo produtivo, da segurança alimentar e da conformidade sanitária.</t>
  </si>
  <si>
    <t>Queijos Nobres Paraná - Turma 03</t>
  </si>
  <si>
    <t>Queijos Nobres Paraná - Turma 04</t>
  </si>
  <si>
    <t>Cultivo do Maracujazeiro</t>
  </si>
  <si>
    <t>FAEP/SENAR</t>
  </si>
  <si>
    <t>Mercado, produção de mudas altas, Implantação, tratos culturais, Tratamento fitossanitario</t>
  </si>
  <si>
    <t>Transferência de tecnologia na produção de maracujá, para servidores do IDR PARANA, e para publico externo (cooperativas, Secretarias Municipais de Agricultura)</t>
  </si>
  <si>
    <t>cjlemes@idr.pr.gov.br</t>
  </si>
  <si>
    <t xml:space="preserve"> Solidworks</t>
  </si>
  <si>
    <t>Claudemir Jorge Lemes</t>
  </si>
  <si>
    <t>Desenvolvimento e criação de projeto de peças e equipamentos em formato Cad 3D.</t>
  </si>
  <si>
    <t xml:space="preserve">A capacitação na plataforma Solidworks, se faz necessário tendo em vista as atividades   de prototipagem em projetos de pesquisa devolvidos na Área de Engenharia Rural, saliento que o Laboratório detém de licença do software destinado a este fim.  </t>
  </si>
  <si>
    <t>Programação Java</t>
  </si>
  <si>
    <t>Curso voltado a atender a demanda de projetos de pesquisa desenvolvidos no laboratório de Engenharia Rural</t>
  </si>
  <si>
    <t>Programação Java Web</t>
  </si>
  <si>
    <t xml:space="preserve">Programação criação de sistemas Web </t>
  </si>
  <si>
    <t>Curso voltado a atender demanda de projeto de pesquisa desenvolvidos no Laboratório de Engenharia Rural.</t>
  </si>
  <si>
    <t>Programação JavaScript</t>
  </si>
  <si>
    <t>Programação em JavaScript para ambiente Web</t>
  </si>
  <si>
    <t>Curso voltado a atender a demanda em projeto de pesquisa desenvolvidos no Laboratório de Engenharia Rural.</t>
  </si>
  <si>
    <t>Programação Python</t>
  </si>
  <si>
    <t>Concurso</t>
  </si>
  <si>
    <t xml:space="preserve">Programação Pytohon </t>
  </si>
  <si>
    <t>Programação Pytohon destinada a criação de soluções em automação para projeto de pesquisa ligados a Engenharia Rural</t>
  </si>
  <si>
    <t>joaohill@idr.pr.gov.br</t>
  </si>
  <si>
    <t>Pos doutorado</t>
  </si>
  <si>
    <t>João Ari Gualberto Hill</t>
  </si>
  <si>
    <t>UFPR</t>
  </si>
  <si>
    <t>Ainda será definida, mas entre os temas parasitologia, buiatria e agroecologia</t>
  </si>
  <si>
    <t>A realização do pós doutorado é fundamental para aprimorar a formação de pesquisador, aprofundando a experiência científica e a participação em grupos de pesquisa através da cooperação acadêmica.</t>
  </si>
  <si>
    <t>Produção e comercialização do Mamão</t>
  </si>
  <si>
    <t>Produção de mudas, implantação, tratos culturais, tratamento fitossanitario, colheita e comercialização</t>
  </si>
  <si>
    <t>ampliação da área de cultivo de mamão com alternativa de renda,</t>
  </si>
  <si>
    <t>Produção e comercialização de Citricultura Modulo I</t>
  </si>
  <si>
    <t>Atualização na citricultura principal fruta produzida no Estado. Ambrange Cultivos de Lima acida Tahiti, Tangerinas e Laranja tanto para mercado de Mesa como para Industria</t>
  </si>
  <si>
    <t>Ampliação da Citricultura para regiões não tradicionais, juntamente com avanço do HLB/Greening. Havendo ha necessidade de atualização dos profissionais que atuam na cadeia e nas regiões de avanço da cultura.</t>
  </si>
  <si>
    <t>Produção e comercialização de banana</t>
  </si>
  <si>
    <t>faep/senar</t>
  </si>
  <si>
    <t>Produção de mudas,variedades, tratos culturais, tratamento fitossanitario, Colheita e comercialização</t>
  </si>
  <si>
    <t xml:space="preserve">ampliação do cultivo de banana, com potencial para diversificação para diferentes regiões do Estado. A capacitação será próximo ao polo de produção. Permitindo acessar todas as etapas de produção e comercialização da fruta. </t>
  </si>
  <si>
    <t>Produção e comercialização de Pitaya</t>
  </si>
  <si>
    <t>Produção de mudas, implantação, tratos culturais, variedades, Indução por Iluminação artificial, Tratamento fitossanitario, colheita e comercialização.</t>
  </si>
  <si>
    <t>cultivo em expansão, opção para pequenas propriedades, ainda com desconhecimento de muitos profissionais quanto a Produção sustentavel desta fruta. Produtores espalhadados nas diferentes regioões do estado</t>
  </si>
  <si>
    <t>Produção e comercialização de abacate</t>
  </si>
  <si>
    <t>Produção de mudas, variedades, tratos culturais, tratamento fitossanitario, colheira e comercialização</t>
  </si>
  <si>
    <t>Cultura de grande potencial para Estado, com avanço para exportação e mercado internos. Melhoria nos tratos culturais com potencial de ampliar as produtividades e renda para os produtores. Oportunidade para regiões Norte, Noroeste, Oeste do Estado, além do Vale do Ribeira. Alternativa aos produtores de Citros frente a ameaça do Greening/HLB</t>
  </si>
  <si>
    <t>germano@idr.pr.gov.br</t>
  </si>
  <si>
    <t>Produção de Grãos (Extensão Rural)</t>
  </si>
  <si>
    <t>Manejo Integrado de Pragas do Feijão - MIP-Feijão 3ª edição.</t>
  </si>
  <si>
    <t>Senar</t>
  </si>
  <si>
    <t>Identificação de pragas, Protocolo de monitoramento e manejo, Pratica de campo.</t>
  </si>
  <si>
    <t>A realização da terceira edição do Treinamento em Manejo Integrado de Pragas (MIP) na Cultura do Feijão) em 2026 é fundamental para consolidar o avanço técnico alcançado nas edições anteriores e fortalecer a capacidade institucional do IDR-Paraná na transferência de tecnologias estratégicas para a cadeia produtiva do feijão. O Paraná é líder nacional em produção e responde por uma parcela essencial do abastecimento interno; porém, a pressão crescente de pragas, a expansão de sistemas sustentáveis e a necessidade de reduzir custos reforçam a urgência de capacitações continuadas e atualizadas.
O MIP Feijão tem se mostrado uma ferramenta efetiva para qualificar extensionistas, pesquisadores e técnicos das cooperativas e empresas parceiras, promovendo o uso racional de inseticidas, a adoção de práticas preventivas e a correta identificação de insetos-praga, vetores de viroses e inimigos naturais. Além disso, o treinamento fortalece a adoção do Protocolo de MIP Feijão e amplia o uso de ferramentas tecnológicas desenvolvidas pelo IDR-Paraná, como o aplicativo IDR MIP Feijão, ampliando padronização e eficiência no manejo.
A terceira edição permitirá atualizar conteúdos, incorporar novos resultados de pesquisa, ampliar a capacidade de atendimento técnico e fortalecer a integração institucional necessária para elevar produtividade, reduzir perdas e promover sustentabilidade na cultura do feijão em todo o Estado.</t>
  </si>
  <si>
    <t>Cultivo de cereais de inverno e manejo das principais cultivares do IDR-Paraná</t>
  </si>
  <si>
    <t>Fundação Meridional e Embrapa Soja</t>
  </si>
  <si>
    <t>O treinamento aborda o cultivo de cereais de inverno e o manejo das principais cultivares do IDR-Paraná, capacitando extensionistas para recomendações técnicas atualizadas, manejo eficiente, compreensão das características das cultivares e adequada transferência de tecnologia aos produtores. Foca em produtividade, sustentabilidade e padronização das orientações em campo.</t>
  </si>
  <si>
    <t>A realização do treinamento Cultivo de Cereais de Inverno e Manejo das Principais Cultivares do IDR-Paraná é fundamental para fortalecer a atuação técnica dos profissionais da instituição, especialmente dos extensionistas que atendem as principais regiões produtoras do estado. O avanço das tecnologias de cultivo, aliado às mudanças climáticas e às demandas crescentes por sistemas produtivos mais eficientes e sustentáveis, exige atualização contínua e alinhamento metodológico. O treinamento permitirá uniformizar recomendações técnicas, aprofundar o conhecimento sobre as cultivares desenvolvidas pelo IDR-Paraná e qualificar o manejo agronômico adotado em campo, ampliando a capacidade de resposta às demandas dos agricultores. Além disso, fortalece a integração entre pesquisa e extensão, potencializando a transferência de tecnologias, a adoção de boas práticas e o aumento da competitividade das cadeias produtivas. Trata-se de uma ação estratégica para consolidar o papel do IDR-Paraná como referência técnica em cereais de inverno.</t>
  </si>
  <si>
    <t>Cultivo de feijão e manejo das principais cultivares do IDR-Paraná</t>
  </si>
  <si>
    <t>Embrapa Arroz e Feijão</t>
  </si>
  <si>
    <t>O treinamento trata do cultivo de feijão nas diferentes regiões do Paraná, abordando manejo das principais cultivares do IDR-Paraná — suas características, exigências, desempenho regional e recomendações específicas de manejo — capacitando extensionistas para orientar produtores com maior precisão, segurança técnica e padronização institucional.</t>
  </si>
  <si>
    <t>A realização do treinamento Cultivo de Feijão e Manejo das Principais Cultivares do IDR-Paraná é estratégica para qualificar a atuação técnica dos extensionistas que atendem as principais regiões produtoras do estado. O feijão é uma cultura de grande importância econômica e social no Paraná, exigindo manejo especializado e constante atualização diante das inovações tecnológicas, da variabilidade climática e da evolução das cultivares. O treinamento permitirá aprofundar o conhecimento sobre as cultivares desenvolvidas pelo IDR-Paraná, suas características agronômicas, exigências de manejo e desempenho regional, fortalecendo a padronização das recomendações técnicas disseminadas aos agricultores. Além disso, promove maior integração entre pesquisa e extensão, garantindo que as tecnologias validadas pela instituição sejam corretamente transferidas ao campo. Ao capacitar sua equipe interna, o IDR-Paraná amplia a eficiência das ações de assistência técnica, contribui para o aumento da produtividade e da sustentabilidade das lavouras e reforça seu papel como referência nacional na cultura do feijão.</t>
  </si>
  <si>
    <t>Queijos Nobres Paraná - Turma 05</t>
  </si>
  <si>
    <t>boas práticas de produção e maturação de queijos artesanais e de especialidade, com foco no controle da qualidade do leite, nos parâmetros físico-químicos e microbiológicos do produto, e nas tecnologias de processamento adotadas pelas agroindústrias familiares. A formação integra conteúdos teóricos e práticas laboratoriais no Biopark, orientadas ao aprimoramento técnico do processo produtivo, da segurança alimentar e da conformidade sanitária.</t>
  </si>
  <si>
    <t>Queijos Nobres Paraná - Turma 06</t>
  </si>
  <si>
    <t>Queijos Nobres Paraná - Turma 07</t>
  </si>
  <si>
    <t>Queijos Nobres Paraná - Turma 08</t>
  </si>
  <si>
    <t>Queijos Nobres Paraná - Turma 09</t>
  </si>
  <si>
    <t>40 Reunião de Pesquisa de Soja</t>
  </si>
  <si>
    <t>Embrapa Soja</t>
  </si>
  <si>
    <t>Cultura da soja</t>
  </si>
  <si>
    <t>Sou Assessor do programa grãos: soja e milho. Vou levar um resumo científico para o evento. Tenho várias pesquisas relacionadas ao tema.</t>
  </si>
  <si>
    <t>Treino Visita em Café - Março</t>
  </si>
  <si>
    <t>Planejamento do quadrimestre e preparo técnico em mercado, colheita e pós colheita.</t>
  </si>
  <si>
    <t>Capacitação dos extensionistas e técnicos da iniciativa privada na cultura do café especificamente em mercado, qualidade e pós colheita.</t>
  </si>
  <si>
    <t>Alta Performance no Ambiente de Trabalho</t>
  </si>
  <si>
    <t>Toda equipe da Estação de Pesquisa de Guarapuava</t>
  </si>
  <si>
    <t>CEBRAC</t>
  </si>
  <si>
    <t>Integração e alinhamento
Trabalho em equipe e colaboração
Regras internas e postura profissional
Pontualidade, disciplina e organização
Proatividade e tomada de iniciativa
Plano de ação e encerramento</t>
  </si>
  <si>
    <t>Fortalecer o trabalho em equipe e a comunicação entre os colaboradores</t>
  </si>
  <si>
    <t>Implementação Guiada dos Programas de Autocontrole (PACs) - Módulo 1</t>
  </si>
  <si>
    <t>Híbrido</t>
  </si>
  <si>
    <t>A capacitação tem como temática central o domínio dos Elementos de Controle (ECs) e a estruturação de Programas de Autocontrole (PACs), visando à conformidade e à adesão de agroindústrias ao SUSAF – Sistema Unificado Estadual de Sanidade Agroindustrial Familiar, Artesanal e de Pequeno Porte. O curso será ofertado em modelo híbrido, combinando oito módulos de aulas online gravadas (assíncronas) com oito Treinos-Visita, destinados à consolidação prática dos conteúdos. O programa tem como objetivo capacitar os 16 técnicos participantes com o conhecimento necessário para a aplicação efetiva dos oito Elementos de Controle, fundamentais para a segurança sanitária e a conformidade das unidades produtivas.</t>
  </si>
  <si>
    <t xml:space="preserve">A capacitação em Elementos de Controle e Programas de Autocontrole para Adesão ao SUSAF é uma ação estruturante do Programa Agroindústria e integra o planejamento anual voltado ao cumprimento da meta institucional relacionada ao eixo Segurança Sanitária da SEAGRI.  
Para a indicação dos estabelecimentos ao SUSAF, a implantação dos Programas de Autocontrole são requisito técnico indispensável. Nesse contexto, a qualificação dos 16 profissionais do IDR-Paraná torna-se um fator determinante para a ampliação de mercados, a formalização destas agroindústrias e o aumento de sua competitividade.
A capacitação foi estruturada para assegurar rigor técnico, padronização metodológica e domínio progressivo dos requisitos sanitários. O desenho pedagógico combina aulas teóricas online à aplicação nos Treinos-Visita, permitindo que cada técnico aplique o conteúdo em uma agroindústria.
O fortalecimento da competência técnica interna é determinante para ampliar a eficiência institucional na orientação às agroindústrias, garantir uniformidade nas entregas e viabilizar a expansão do número de estabelecimentos aptos ao SUSAF. A conclusão da capacitação culminará na elaboração formal dos PACs, um por mês, assegurando a documentação e a implementação dos requisitos sanitários nas agroindústrias atendidas. </t>
  </si>
  <si>
    <t>Implementação Guiada dos Programas de Autocontrole (PACs) - Módulo 2</t>
  </si>
  <si>
    <t>Implementação Guiada dos Programas de Autocontrole (PACs) - Módulo 3</t>
  </si>
  <si>
    <t>Implementação Guiada dos Programas de Autocontrole (PACs) - Módulo 4</t>
  </si>
  <si>
    <t>Implementação Guiada dos Programas de Autocontrole (PACs) - Módulo 5</t>
  </si>
  <si>
    <t>Implementação Guiada dos Programas de Autocontrole (PACs) - Módulo 6</t>
  </si>
  <si>
    <t>Implementação Guiada dos Programas de Autocontrole (PACs) - Módulo 7</t>
  </si>
  <si>
    <t>Implementação Guiada dos Programas de Autocontrole (PACs) - Módulo 8</t>
  </si>
  <si>
    <t>marcoslmsouza@idr.pr.gov.br</t>
  </si>
  <si>
    <t>Organização Rural e Mercado (Extensão Rural)</t>
  </si>
  <si>
    <t>Curso de Gestão Tributária/Contábil/Financeira Cooperativista</t>
  </si>
  <si>
    <t>Conselho Regional de Contabilidade</t>
  </si>
  <si>
    <t>Noções de gestão tributária, contábil e financeira para assessores gerenciais de cooperativismo</t>
  </si>
  <si>
    <t>Os assessores gerenciais de cooperativismo atuam na interface entre a realidade produtiva das cooperativas da agricultura familiar e a gestão técnico-administrativa dessas organizações. Entretanto, a maioria desses profissionais não possui formação específica nas áreas contábil, financeira ou tributária, justamente onde se concentram os principais pontos de atenção e vulnerabilidade das cooperativas. A capacitação supre uma lacuna de formação, proporcionando entendimento técnico mínimo, porém essencial, sobre temas críticos que influenciam a conformidade legal, a sustentabilidade financeira e a capacidade de acesso a políticas públicas.</t>
  </si>
  <si>
    <t>Comunicação e Técnicas de Apresentação</t>
  </si>
  <si>
    <t>Técnicos e bolsista que estão na Estação de Pesquisa</t>
  </si>
  <si>
    <t>SENAR - Pr</t>
  </si>
  <si>
    <t>Técnicas de apresentação de trabalhos e comunicação eficiente.</t>
  </si>
  <si>
    <t xml:space="preserve">
Melhorar a comunicação de nossos colaboradores em eventos promovidos pelo IDR.</t>
  </si>
  <si>
    <t>Noções básicas em microbiologia de alimentos</t>
  </si>
  <si>
    <t>UEPG</t>
  </si>
  <si>
    <t>A capacitação aborda os princípios fundamentais da microbiologia de alimentos, contemplando a identificação dos micro-organismos de interesse sanitário, os mecanismos de contaminação e deterioração, e os fatores que influenciam o crescimento e controle microbiológico no processamento de alimentos. O curso integra conteúdos teóricos com práticas laboratoriais, permitindo que os técnicos compreendam, de forma aplicada, a relação entre micro-organismos, segurança alimentar e qualidade dos produtos das agroindústrias familiares.</t>
  </si>
  <si>
    <t xml:space="preserve">A capacitação em Noções Básicas de Microbiologia de Alimentos é uma ação essencial diante das demandas crescentes relacionadas à segurança sanitária, conformidade legal e qualificação dos processos produtivos. O domínio dos fundamentos microbiológicos é determinante para que os técnicos avaliem riscos inerentes aos alimentos processados e orientem os produtores quanto às boas práticas de fabricação, higienização, controle de contaminação e adequação estrutural.
O curso combina fundamentos teóricos com atividades práticas em laboratório, possibilitando que os participantes compreendam, de forma aplicada, o comportamento dos micro-organismos de interesse sanitário, os mecanismos de deterioração dos alimentos e interpretação inicial de resultados laboratoriais. Essa vivência prática amplia a segurança técnica dos profissionais, fortalece a capacidade de análise crítica e contribui para a padronização das orientações repassadas nas ações de extensão.
A qualificação em microbiologia é especialmente estratégica no contexto do Programa Agroindústria, pois subsidia  a melhoria dos processos produtivos, o atendimento às normativas sanitárias e a impacta diretamente no shelf-life de produtos processados. </t>
  </si>
  <si>
    <t xml:space="preserve">Visita técnica a indústrias </t>
  </si>
  <si>
    <t>A visita técnica tem como foco a observação in loco de indústrias de alimentos plenamente regularizadas, permitindo que o time conheça fluxos produtivos, padrões estruturais, práticas de higiene e processos de gestão da qualidade alinhados às exigências legais. A vivência oferece uma visão clara de cenários ideais de conformidade sanitária e de produção segura de alimentos, gerando insights aplicáveis à realidade das agroindústrias familiares atendidas pelo IDR-Paraná e fortalecendo a capacidade de orientar adequações com maior precisão técnica.</t>
  </si>
  <si>
    <t>A realização da visita técnica é estratégica para o fortalecimento das competências do time no acompanhamento das agroindústrias familiares, pois proporciona a imersão em ambientes industriais que operam em plena conformidade sanitária e com processos robustos de gestão da qualidade. Ao vivenciarem estruturas, fluxos produtivos, padrões de higienização e práticas de autocontrole consolidadas, os técnicos ampliam sua capacidade de análise crítica, recebem referências concretas de cenários ideais e internalizam parâmetros que norteiam tanto a regularização quanto a produção segura de alimentos. A experiência gera repertório técnico aplicado, fortalece a padronização das orientações prestadas em campo e contribui para que o IDR-Paraná eleve o nível das intervenções realizadas no Programa Agroindústria, potencializando a formalização, a competitividade e a segurança sanitária das agroindústrias atendidas.</t>
  </si>
  <si>
    <t>Gestão de Pessoas - métodos operacionais - 80 h</t>
  </si>
  <si>
    <t>COMUNICAÇÃO EFICIENTE
MEDIAÇÃO DE CONFRITOS 
ORGANIZAÇÃO DO AMBIENTE DE TRABALHO</t>
  </si>
  <si>
    <t>Precisamos treinar nossos colaboradores para uma liderança mais eficiente no campo.</t>
  </si>
  <si>
    <t>elianimarson@idr.pr.gov.br</t>
  </si>
  <si>
    <t>Agroecologia (Extensão Rural)</t>
  </si>
  <si>
    <t>Produção e Uso de Bioinsumos</t>
  </si>
  <si>
    <t>IFSP - Instituto Federal de Educação, Ciência e Tecnologia de São Paulo, Campus Avaré</t>
  </si>
  <si>
    <t>Métodos de produção de bionsumos em material sólido e uso nas lavouras</t>
  </si>
  <si>
    <t>A capacitação é importante para a qualificação dos nossos técnicos que atuam na produção orgânica. A região já fez um curso sobre o tema esse ano, mas ainda há necessidade de maior aperfeiçoamento no assunto. Esta é uma demanda dos próprios técnicos do grupo que atuam com orgânico na região. Atualmente o tema bioinsumos tem sido muito discutido e nossos técnicos precisam ter conhecimento técnico qualificado sobre o assunto.</t>
  </si>
  <si>
    <t>Insumos liberados para Uso produção Orgânica</t>
  </si>
  <si>
    <t>MAPA e certificadoras</t>
  </si>
  <si>
    <t>Alinhamento com certificadoras e ministério com relação aos insumos autorizado para produção orgânica</t>
  </si>
  <si>
    <t xml:space="preserve">Este treinamento é uma demanda dos técnicos que atuam na produção orgânica, pois existem diferenças entre as certificadoras com relação a quais produtos podem ser usados. </t>
  </si>
  <si>
    <t>odenath@idr.pr.gov.br</t>
  </si>
  <si>
    <t>Congresso Brasileiro da Ciência das Plantas Daninhas 2026</t>
  </si>
  <si>
    <t>Luiz Antonio Odenath Penha</t>
  </si>
  <si>
    <t>Sociedade Brasileira da Ciência das Plantas Daninhas</t>
  </si>
  <si>
    <t>Pesquisa e manejo de plantas daninhas, herbicidas, controle integrado</t>
  </si>
  <si>
    <t>Principal congresso da área de Plantas Daninhas no Brasil, realizado a cada dois anos. Onde são apresentados as inovações no setor, discutidos os principais problemas e evento onde são apresentados os resultados mais importantes na ciência de plantas daninhas</t>
  </si>
  <si>
    <t xml:space="preserve">40ª Reunião de Pesquisa de Soja </t>
  </si>
  <si>
    <t>EMBRAPA</t>
  </si>
  <si>
    <t>Discussão da cultura da soja, principais problemas e inovações ligados a cultura</t>
  </si>
  <si>
    <t>Avaliar e discutir resultados de pesquisas, planejar trabalhos e promover a integração entre instituições de pesquisa, assistência técnica e extensão rural. É a cultura principal nos meus projetos de pesquisa, indispensável estar atualizado e acompanhando as discussões mais recentes.
Como o evento ocorre em Londrina, o custo é reduzido, sendo totalmente justificado a participação</t>
  </si>
  <si>
    <t>Treino Visita em Café - Junho</t>
  </si>
  <si>
    <t>Tratos Culturais na cultura do Café</t>
  </si>
  <si>
    <t>Capacitação dos extensionistas e técnicos da iniciativa privada em Cafeicultura Regenerativa.</t>
  </si>
  <si>
    <t>Treino Visita em Café - Setembro</t>
  </si>
  <si>
    <t>Manejo Fitossanitário em Café</t>
  </si>
  <si>
    <t>Capacitação dos extensionistas e técnicos da iniciativa privada em Manejo da Cultura do Café.</t>
  </si>
  <si>
    <t>Juri do Concurso de Café</t>
  </si>
  <si>
    <t>Nenhuma</t>
  </si>
  <si>
    <t>Aprimoramento na prova e degustação de cafés.</t>
  </si>
  <si>
    <t>Os extensionistas Q-Graders se reúnem para provar e avaliar os cafés dos cafeicultores que se inscreveram no concurso Estadual de Café Qualidade Paraná.</t>
  </si>
  <si>
    <t>Encontro técnico de Alho Livre de Vírus</t>
  </si>
  <si>
    <t>Embrapa</t>
  </si>
  <si>
    <t>Cultivo do Alho livre de vírus</t>
  </si>
  <si>
    <t>Necessidade de qualificação técnica dos extensionistas para atuação no projeto junto aos agricultores, visando a produção de sementes livres de vírus e com alto poder genético.</t>
  </si>
  <si>
    <t>Produção de Batata doce livre de vírus</t>
  </si>
  <si>
    <t>Embrapa, Senar</t>
  </si>
  <si>
    <t>Cultivo da batata doce livre de vírus</t>
  </si>
  <si>
    <t>Capacitar os extensionista no cultivo de batata doce</t>
  </si>
  <si>
    <t>Classificação e Degustação de Café - Metodologia COB - MODULO 2</t>
  </si>
  <si>
    <t>fitossanidade e tecnologia de aplicação em fruticultura</t>
  </si>
  <si>
    <t>Equipamentos para aplicação, regulagem, "alvos biológicos" para controle fitossanitário, insumos utilizados para melhoria da aplicação e anti deriva</t>
  </si>
  <si>
    <t>A tecnologia de aplicação na fruticultura com diferentes fruteiras importante para redução de desperdício, para melhorar a qualidade do produto obtido com maior segurança alimentar. Como há aplicação de produtos fitossanitários desde os agroquimicos até produtos biológicos. Os alvos biológicos desejável no controle eficaz, adequação com os equipamentos para maior eficiência. Este curso esta dentro do convenio FAEP/SENAR</t>
  </si>
  <si>
    <t>Produção de Bioinsumos</t>
  </si>
  <si>
    <t>Não tem</t>
  </si>
  <si>
    <t>Produção de bioinsumos liquido e seco, além da sua utilização.</t>
  </si>
  <si>
    <t>Qualificação técnica dos extensionistas para uso de boas práticas de produção</t>
  </si>
  <si>
    <t>Frutas Vermelhas (Amora Preta, Framboesa, Mirtilo)</t>
  </si>
  <si>
    <t>ASSIS CHATEAUBRIAND</t>
  </si>
  <si>
    <t>Produção a comercialização de frutas vermelhas (Amora Preta, Framboesa, Mirtilo)</t>
  </si>
  <si>
    <t>A demanda de mercado e das agroindustria no Parana, por estas fruteiras. Esta demanda vem ocorrendo em todo o Estado. A pesquisa do IDR PARANA, tem estudos na Lapa e Santa Tereza do Oeste, além de pesquisa nessa area. O Senar PR tem no catologo estas fruteiras ofertado no Estado. Os principais eventos de fruticultura no Estado seja no Encontro como no Simposio que tem abrangencia estadual, foram apresentados a tecnicos produtores e empresas. O Fomento vem sendo feito nas agroindustrias no Estado nas regiões produtoras. A formação dos profissionais que vai da produção de mudas, escolhas das variedades, tratos culturais e fitossanitarios, alem da collheita e armazenagem e processo de comercialização.</t>
  </si>
  <si>
    <t>Produção de mudas de hortaliças</t>
  </si>
  <si>
    <t>Como produzir mudas de hortaliças e quais insumos a serem utilizados</t>
  </si>
  <si>
    <t>Capacitar extensionistas e viveiristas na produção de mudas</t>
  </si>
  <si>
    <t>Produção a comercialização Modulo II</t>
  </si>
  <si>
    <t>Produção, manejo integrado de pragas e doenças, tratos culturais</t>
  </si>
  <si>
    <t>formação de grupo de referencia em citricultura para atender a demanda do setor, em função da expansão em areas não tradicionais do Estado, mesmo para enfretamento do HLB/Greening. Atender os polos de produção existentes no Estado. Esta previsto no convenio FAEP/SENAR.</t>
  </si>
  <si>
    <t>Produção Programada de hortaliças</t>
  </si>
  <si>
    <t>Fetaep</t>
  </si>
  <si>
    <t>Estimular técnicos, agricultores e suas organizações a trabalharem a Produção programada, visando abastecimento do mercado.</t>
  </si>
  <si>
    <t>Curso dividido em 4 módulos  que visa mostrar aos participantes a importância de fazer o planejamento de plantio e organizar a produção para o fornecimento de produtos o ano todo.</t>
  </si>
  <si>
    <t>Cultivo de Mandioca de mesa</t>
  </si>
  <si>
    <t>Cultivo de mandioca de mesa</t>
  </si>
  <si>
    <t>Qualificar extensionista para a produção de mandioca de mesa</t>
  </si>
  <si>
    <t>Produção e comercialização na Viticultura - REVITIS</t>
  </si>
  <si>
    <t>FAEP/SENAR; SEAGRI</t>
  </si>
  <si>
    <t>implantação, tratos culturais, variedades, fitossanidade, comercialização</t>
  </si>
  <si>
    <t>O programa REVITIS aplicou 9 milhões de reais, beneficiando 400 produtores, porem há compromisso de assistência técnica por 4 anos, para os beneficiários. A atualização da tecnologia de produção é fundamental para formação dos profissionais que atuam nesta cadeia produtiva. A profissionalização do setor fundamental para ampliar areas e mesmo da sustentabilidade deste setor no Estado.</t>
  </si>
  <si>
    <t>Cultivo de morango seguindo a metodologia de treino e visita</t>
  </si>
  <si>
    <t>Manejo da cultura do morango em sistema semi-hidropônico</t>
  </si>
  <si>
    <t>Qualificação dos extensionistas com atuação no cultivo de morango</t>
  </si>
  <si>
    <t>Cultivo de Morangueiro</t>
  </si>
  <si>
    <t>Manejo da cultura do morango, cultivares</t>
  </si>
  <si>
    <t>Qualificar corpo técnico para atuar na cultura do morango</t>
  </si>
  <si>
    <t>celso@idr.pr.gov.br</t>
  </si>
  <si>
    <t>Pós-graduação Lato sensu FERTILEADER - FERTIRRIGAÇÃO DE ALTA PERFORMANCE (Reconhecida pelo MEC)</t>
  </si>
  <si>
    <t>CELSO HELBEL JUNIOR</t>
  </si>
  <si>
    <t>Fertirrigação para as maiores classes de culturas: Café, Cana-de-açúcar, Fruticultura, Grãos e Fibras, Hortaliças e Pastagens.</t>
  </si>
  <si>
    <t>Considerando que o servidor Celso Helbel Junior atua como gerente do projeto em andamento no Polo de Pesquisa e Inovação de Paranavaí – “Centro de Inteligência em Pesquisa na Agricultura Irrigada Caiuá (CIAIC) – SETI/Irrigação 2023 – Fonte 132”, cujo escopo envolve o desenvolvimento e a difusão de tecnologias voltadas à agricultura irrigada, e que o referido servidor também integra a equipe de instrutores do Curso de Capacitação Técnica em Irrigação (parceria UEM/SETI/IDR), sendo responsável pelo módulo de Fertirrigação, destinado à formação de profissionais da extensão rural do IDR e de instituições públicas e privadas, torna-se evidente a relevância de sua participação na capacitação em Fertirrigação de Alta Performance.
A realização deste aperfeiçoamento representa uma oportunidade estratégica para ampliar sua qualificação técnica, permitindo-lhe atuar como um agente de difusão ainda mais preparado, atualizado e alinhado às inovações e às novas tecnologias aplicadas à área de fertirrigação, fortalecendo tanto o projeto CIAIC quanto as ações de capacitação oferecidas pelo curso.</t>
  </si>
  <si>
    <t>Capacitar os extensionista no cultivo de batata doce.</t>
  </si>
  <si>
    <t>Treinamento dos servidores no uso correto do SisPont, e-protocolo e Central de ViagensONT</t>
  </si>
  <si>
    <t xml:space="preserve">Atualizar os servidores no uso correto dos sistemas </t>
  </si>
  <si>
    <t>Devido a dúvidas frequentes dos servidores, na utilização correta dos sistemas do SisPont, e-protocolo, central de viagens, há essa necessidade, a equipe regional que tem familiaridades com os sistema devido ao uso contínuo irá fazer uma oficina para os esclarecimentos.</t>
  </si>
  <si>
    <t>Curso de Instrumentalidade na Assessoria Gerencial para Cooperativas da Agricultura Familiar</t>
  </si>
  <si>
    <t>Desenvolvimento das competências, ferramentas e metodologias necessárias para qualificar a atuação dos assessores gerenciais junto às cooperativas da agricultura familiar</t>
  </si>
  <si>
    <t>É importante reconhecer que grande parte dos assessores gerenciais de cooperativismo não possui formação na área de administração, gestão empresarial ou governança cooperativa. Esses profissionais, em sua maioria oriundos das ciências agrárias ou de áreas técnicas correlatas, dominam conteúdos agronômicos, produtivos e tecnológicos, mas ainda carecem de um repertório sólido de instrumentos administrativos, financeiros, organizacionais e metodológicos que sustentam a atuação gerencial qualificada. Essa lacuna gera limitações na capacidade de orientar cooperativas que, por sua própria natureza jurídica e complexidade institucional, demandam alta competência técnica em planejamento, gestão democrática, avaliação de indicadores e análise econômica.</t>
  </si>
  <si>
    <t>Encerramento Concurso Café Qualidade Paraná - Etapa 2026</t>
  </si>
  <si>
    <t>FAEP - PR</t>
  </si>
  <si>
    <t>Evento de divulgação dos melhores Cafés para com os produtores assistidos pelos extensionistas - Qualidade Café</t>
  </si>
  <si>
    <t>A presença dos extensionistas na divulgação e premiação junto aos agricultores assistidos levados em excursão valoriza o trabalho executado durante toda a safra.</t>
  </si>
  <si>
    <t>orivalstolf@idr.pr.gov.br</t>
  </si>
  <si>
    <t>Sanidade Animal (Extensão Rural)</t>
  </si>
  <si>
    <t>Capacitação em meliponicultura</t>
  </si>
  <si>
    <t>Capacitação básica em meliponicultura</t>
  </si>
  <si>
    <t>Há um grupo de 23 extensionistas que foram capacitados em apicultura (abelhas com ferrão) que precisam do conteúdo de meliponicultura para atender os criadores de abelhas sem ferrão.</t>
  </si>
  <si>
    <t>Capacitação em apicultura módulo avançado</t>
  </si>
  <si>
    <t>Curso de apicultura Módulo III avançado para os extensionistas treinados nos módulos i e II</t>
  </si>
  <si>
    <t>Este curso é continuidade da capacitação realizada em 2025 com os módulo I e II.</t>
  </si>
  <si>
    <t>Capacitação básica em apicultura Módulo I</t>
  </si>
  <si>
    <t>Capacitação básica em apicultura módulo I</t>
  </si>
  <si>
    <t>Esta capacitação destina-se para capacitar em apicultura os extensionistas que fizeram o curso de meliponicultura em 2024</t>
  </si>
  <si>
    <t>Pos colheita, embalagem e comercialização</t>
  </si>
  <si>
    <t>CEASA/UEL</t>
  </si>
  <si>
    <t>frutos não climatérios e climatérios, métodos de conservação, embalagem, fisiologia dos frutos pós colheita.Comercialização de frutas</t>
  </si>
  <si>
    <t>A área de pós colheita, há necessidade de melhorar os aspectos de qualidade na conservação e melhoria da apresentação das frutas paranaense para atender mercados mais exigentes seja nacional ou destinado a exportação.  Permite reduzir perdas num setor que estima se 40% de perdas no pos colheita. A profissionalização do setor, cooperativas e empresas paranaense já exportam na fruticultura R$ 15 milhões de reais com potencial de ampliar esses mercados, como atender consumo domestico, com produtos de melhor qualidade e aspectos comerciais na apresentação da embalagens, e mesmo na duração da métodos com atmosfera modificada, as pesquisa mantendo a qualidade da uva fina, 3 meses. Isto permitira planejamento e programação de mercados a serem destinados, como os custos das novas tecnologia e necessidade de investimentos para garantir a competitividade aos produtores paranaenses.</t>
  </si>
  <si>
    <t>Produção e comercialização Frutas de caroço (Pessego, Nectarina, Ameixa, Nespera)</t>
  </si>
  <si>
    <t>EMBRAPA/UTFPR/UEPG</t>
  </si>
  <si>
    <t>Produção e comercialização de Frutas de Caroço (Ameixa, Pêssego, Nectarina e Nespera) Modulo I</t>
  </si>
  <si>
    <t>Potencial para frutas de caroço na região Centro-Sul e Metropolitana, e alguns microclima no Estado. A profissionalização do setor abre novas oportunidades desde comercialização para mercados mais exigentes, como avanço em tecnologia. Mesmo novas preocupações com as mudanças climáticas, principalmente perdas de horas frio, e aumento de temperaturas que podem afetar o florescimento e pegamento de frutas. Trazendo novos desafios de manejo e adoção de novas tecnologias. Há oportunidade pela qualidade obtida atender mercados externos e internos. Como implantação de novos sistema de condução e renovação dos pomares e sucessão familiar.</t>
  </si>
  <si>
    <t>nelma@idr.pr.gov.br</t>
  </si>
  <si>
    <t>Divisão de Compras, Contratos e Almoxarifado</t>
  </si>
  <si>
    <t>Compras publicas na prática: GRMS, SRP, COMPRA DIRETA, LICITAÇÃO, CONTRATAÇÃO EVENTOS (CREDENCIAMENTO)</t>
  </si>
  <si>
    <t>IDR-Parana, Escola de Gestão.</t>
  </si>
  <si>
    <t>Uso do GRMS, GMS, PROTOCOLO, FLUXOS, PROCEDIMENTOS DE PROCESSOS DE COMPRAS</t>
  </si>
  <si>
    <t>A capacitação é essencial para aprimorar o trabalho da equipe administrativa do IDR-Paraná, especialmente no uso do GRMS, GMS, Protocolo, SRP, compra direta, licitações e credenciamentos, que fazem parte das rotinas diárias do setor.
Diante das constantes atualizações normativas e da necessidade de padronização dos processos, é fundamental que a equipe esteja capacitada para executar suas atividades com segurança, agilidade e conformidade. O curso contribuirá diretamente para a redução de retrabalhos, melhoria do atendimento às unidades, correto encaminhamento dos processos e maior eficiência nas compras e contratações realizadas pelo Instituto.</t>
  </si>
  <si>
    <t>Capaitação Programa de Aquisição de Alimentos</t>
  </si>
  <si>
    <t>DESAN/SEAB/SEFA</t>
  </si>
  <si>
    <t>Mercados Institucionais - nota eletrônica</t>
  </si>
  <si>
    <t>O Programa de Aquisição de Alimentos é uma política estratégica de segurança alimentar e nutricional e de geração de renda para as famílias agricultoras. Possibilita que haja beneficiários recebedores e fornecedores. Para que a implementação do programa seja efetiva, há necessidade de ajustes de processos na execução, sendo que, a correta emissão da nota eletrônica, é essencial para o desenvolvimento da política. Deste modo, a capacitação dos Técnicos da Extensão Rural se torna imprescindível para atualizá-los na temática enquanto executores desta ação.</t>
  </si>
  <si>
    <t>ctrentin@idr.pr.gov.br</t>
  </si>
  <si>
    <t>Estação de Pesquisa de Palotina</t>
  </si>
  <si>
    <t>Trabalhador em Altura - NR 35</t>
  </si>
  <si>
    <t>Será abordado normas e regulamentos no trabalho em altura, análise de riscos, potenciais riscos com prevenção e controle, equipamentos e procedimentos de proteção coletiva, equipamentos de proteção individual, acidentes típicos em trabalho em altura, além de condutas em situações de emergências</t>
  </si>
  <si>
    <t>A NR 35 é uma norma regulamentadora para trabalho em altura, ela define trabalho em altura, toda a atividade executada acima de 2 m do nível do solo, onde há risco de queda, sendo necessária para atividades de limpeza dos elevadores das máquinas de beneficiamento de sementes da UBS da estação de pesquisa de Palotina, que possuem 3 a 4 metros de altura, exigência do técnico de segurança do trabalho para que as atividades sejam realizadas e emissão de laudo permitindo que os servidores realizem tais atividades. Sem o curso as atividades serão paralisadas comprometendo o beneficiamento das sementes genéticas que serão repassadas aos parceiros multiplicadores de sementes, mantendo assim a segurança dos servidores</t>
  </si>
  <si>
    <t>Produção e comercialização de frutas de caroço Modulo II</t>
  </si>
  <si>
    <t>UEPG/UTFPR/UFPR/EMBRAPA</t>
  </si>
  <si>
    <t>tratamentos fitossanitario, tratos culturais, colheita, pos colheita e comercialização</t>
  </si>
  <si>
    <t>As frutas de caroço, apresenta potencial e melhoria na qualidade para atender mercados mais exigentes, além de opção de renda para os agricultores familiares, a região proposta tem grande potencial de expansão e condições edafoclimaticas muito favoravel para seu desenvolvimento. A profissionalização permitira maior competividade do setor.</t>
  </si>
  <si>
    <t>Primeiro Socorros</t>
  </si>
  <si>
    <t>Conceitos e informações essenciais sobre primeiros socorros, abordagem primários, desobstrução das vias aéreas, paradas cardiorrespiratórias, bandagem, hemorragias ferimentos, queimaduras, choque térmico, intoxicação e acidentes com animais peçonhentos, transporte de vitimas, remoção de emergência</t>
  </si>
  <si>
    <t>A importância está em salvar vidas e evitar graves lesões até a chegada da ajuda médica especializada. Conhecimento e ação rápida pode reduzir danos, minimizar o sofrimento, fazendo a diferença entre a vida e morte. Como vamos passar a trabalhar durante algum tempo em altura para limpeza dos elevadores das máquinas e possíveis acidentes com animais peçonhentos, o conhecimento em primeiros socorros é de grande importância para a execução das atividades</t>
  </si>
  <si>
    <t>Produção e comercialização de Maçã e Pera Modulo I</t>
  </si>
  <si>
    <t>UTFPR/EPAGRI/IFPR</t>
  </si>
  <si>
    <t>Planejamento, Implantação, Variedades, sistemas de condução, tratos culturais, fitossanidade</t>
  </si>
  <si>
    <t>A área de fruticultura temperada, nas principais regiões produtoras do Estado vem reduzindo as horas de frio. Isso faz buscar novas estratégias e formação de novos pomares, com variedades com menores exigência em frio, sistemas de condução, melhoria nas boas praticas agronômicas, buscando maior produtividade, com fomento da atividade nas regiões com potencial para desenvolvimento dessas A maçã e pera podem ser alternativas econômicas para aumento de renda e buscar maior competitividade da cadeia produtiva.</t>
  </si>
  <si>
    <t>krzapella@idr.pr.gov.br</t>
  </si>
  <si>
    <t>Sustentabilidade (Extensão Rural)</t>
  </si>
  <si>
    <t>Curso de QGIS aplicado ao manejo de bacias hidrográficas</t>
  </si>
  <si>
    <t>SANEPAR, IAT, IDR-Paraná e UEM</t>
  </si>
  <si>
    <t>O curso tem como temática central o uso do QGIS como ferramenta de apoio ao planejamento, diagnóstico e gestão da água em bacias de mananciais, com foco na atuação prática dos extensionistas do IDR-Paraná. A capacitação abordará os fundamentos do geoprocessamento aplicados aos recursos hídricos, permitindo aos participantes realizar delimitação de bacias e áreas de contribuição, analisar rede de drenagem, mapear nascentes, áreas sensíveis e zonas de proteção, e interpretar informações espaciais relevantes para o uso sustentável da água, conservação do solo e segurança hídrica.</t>
  </si>
  <si>
    <t>A capacitação se justifica pela necessidade de fortalecer a atuação dos extensionistas do IDR Paraná na gestão da água em bacias de mananciais, diante dos crescentes desafios climáticos e da pressão sobre os recursos hídricos. O uso do QGIS é essencial para qualificar diagnósticos, mapear áreas sensíveis, orientar práticas sustentáveis e apoiar o planejamento territorial. Ao aprimorar essas competências, o curso contribui diretamente para a proteção dos mananciais, a segurança hídrica e a eficácia das ações de extensão rural no estado.</t>
  </si>
  <si>
    <t>josefrancisco@idr.pr.gov.br</t>
  </si>
  <si>
    <t>Sericultura (Extensão Rural)</t>
  </si>
  <si>
    <t>PLANO DE CAPACITAÇÃO PARA EXTENSIONISTAS DO PROJETO SERICICULTURA – IDR-PARANÁ</t>
  </si>
  <si>
    <t>SEAB/DERAL, ADAPAR, UEM, UNIOESTE e UFPR</t>
  </si>
  <si>
    <t>08</t>
  </si>
  <si>
    <t xml:space="preserve">Introdução geral à sericicultura
Bases para implantação da amoreira
Técnicas de manejo da lavoura de amoreira
Sanidade da planta hospedeira
Manejo zootécnico das lagartas
Tecnologias aplicadas à sericicultura
Maximização da qualidade do casulo no campo
Qualidade industrial dos casulos verdes
Planejamento e eficiência econômica
Metodologias de assistência técnica
</t>
  </si>
  <si>
    <t xml:space="preserve">A capacitação proposta possui relevância estratégica para o fortalecimento da sericicultura no Paraná e representa um investimento direto na qualificação da equipe técnica que atua em uma das cadeias produtivas mais tradicionais e, ao mesmo tempo, mais desafiadoras da agricultura familiar do Estado. Sua importância ultrapassa o âmbito individual, refletindo-se de maneira direta nos resultados das regionais, no desempenho dos produtores atendidos e na capacidade institucional do IDR-Paraná de liderar políticas, projetos e ações de impacto no setor.
A sericicultura é uma atividade de alta complexidade técnica, que depende de uma cadeia integrada composta por produção de folha, manejo zootécnico do bicho-da-seda, ambiência controlada, sanidade rigorosa, logística eficiente e parâmetros industriais precisos de qualidade. Cada um desses elementos exige domínio técnico atualizado, capacidade analítica refinada e uniformidade nas orientações fornecidas pelos extensionistas. Sem capacitação contínua, há risco de perda de produtividade, aumento do descarte industrial, maior vulnerabilidade sanitária e dificuldades para consolidar projetos estruturantes de médio e longo prazo.
A realização desta capacitação é fundamental para o aprimoramento das competências técnicas dos extensionistas que planejaram e executam ações no projeto de sericicultura. Ela garante que todos os profissionais envolvidos dominem as bases científicas e tecnológicas associadas ao preparo do solo, ao manejo da amoreira, ao uso de adubos orgânicos, adubação verde e fertirrigação, até o controle ambiental das sirgarias, automação digital, instalação de biossensores e interpretação de dados climáticos. Esses conteúdos atualizados são indispensáveis para orientar adequadamente os produtores em um contexto de forte variabilidade climática e crescente adoção de tecnologias de precisão.
Além disso, a capacitação fortalece a capacidade institucional do IDR-Paraná ao padronizar recomendações técnicas e criar uma linguagem comum entre os extensionistas. Isso melhora a qualidade das visitas, qualifica a comunicação com a empresa de fiação, evita divergências técnicas entre regionais e aumenta a credibilidade do Instituto perante produtores, parceiros e gestores públicos. A unificação de critérios técnicos também é essencial para a implementação eficaz das Unidades de Referência em Sericicultura, que dependem de rigor metodológico e consistência nas práticas adotadas.
Do ponto de vista estratégico, a capacitação contribui diretamente para que o IDR-Paraná cumpra sua função pública de promover o desenvolvimento sustentável da agropecuária. A sericicultura é uma atividade que gera renda estável para famílias rurais, fixa produtores no campo, estimula o uso de compostos orgânicos, promove cobertura vegetal com adubos verdes e favorece práticas conservacionistas. Extensionistas capacitados são capazes de identificar oportunidades de melhoria, antecipar riscos, auxiliar na formulação de políticas públicas e apoiar municípios na implantação de ações de mitigação diante de doenças, perdas e eventos climáticos extremos.
Outro fator essencial é que a sericicultura passa por um momento decisivo no Paraná: há necessidade de ampliar a produtividade, reduzir perdas sanitárias, incorporar tecnologias e revitalizar áreas produtoras tradicionais. Esse esforço só será bem-sucedido se os extensionistas estiverem tecnicamente preparados para atuar como agentes transformadores. A capacitação amplia a capacidade de diagnóstico, fortalece a habilidade de orientar ajustes nas lavouras, melhora a qualidade das sirgarias e cria condições para que os produtores obtenham melhor rendimento industrial e maior renda por ciclo.
Por fim, a capacitação representa um movimento institucional de valorização dos servidores, pois demonstra que o IDR-Paraná reconhece a importância da formação contínua, investe na atualização científica dos seus quadros e promove condições reais para que a equipe se mantenha alinhada às demandas atuais da cadeia produtiva. Trata-se de uma ação que reforça o papel do Instituto como referência técnica nacional e fortalece sua capacidade de planejar, executar, monitorar e entregar resultados concretos ao Paraná.
Em síntese, a capacitação é indispensável não apenas para a melhoria do desempenho técnico dos extensionistas, mas para o avanço da cadeia da seda como um todo, contribuindo diretamente para a modernização da produção, o aumento da competitividade, a qualificação das políticas públicas e o fortalecimento institucional do IDR-Paraná.
</t>
  </si>
  <si>
    <t>apgomes@idr.pr.gov.br</t>
  </si>
  <si>
    <t>Oficina de elaboração e retificação de CAR</t>
  </si>
  <si>
    <t>O curso de Elaboração e Retificação do CAR tem como foco capacitar extensionistas para compreender o marco legal do Cadastro Ambiental Rural, coletar e organizar as informações necessárias do imóvel, utilizar corretamente as ferramentas do SICAR, delimitar APP, Reserva Legal e demais áreas ambientais, identificar e corrigir inconsistências, além de orientar produtores na regularização ambiental e na adesão ao PRA. A formação integra teoria e prática, com exercícios aplicados que simulam situações reais, garantindo maior segurança técnica e padronização no atendimento aos agricultores.</t>
  </si>
  <si>
    <t>A realização do curso de Elaboração e Retificação do CAR é fundamental para aprimorar a atuação técnica dos extensionistas diante das constantes demandas de regularização ambiental no meio rural. O CAR é um instrumento obrigatório e decisivo para o acesso a programas de regularização, crédito rural e políticas públicas, e sua correta elaboração evita retrabalho, pendências e conflitos com órgãos ambientais. Capacitar a equipe garante maior precisão nas análises, padronização dos procedimentos, redução de erros cartográficos e fortalecimento da orientação aos produtores, contribuindo diretamente para a sustentabilidade ambiental, a segurança jurídica das propriedades e a eficiência das ações institucionais do IDR Paraná.</t>
  </si>
  <si>
    <t>Produção e comercialização de Maçã e Pera Modulo II</t>
  </si>
  <si>
    <t>IFPR; UTFPR, EPAGRI</t>
  </si>
  <si>
    <t>fitossanidadade, sistemas de condução, poda, tratos culturais, colheita e pos colheita, armazenagem</t>
  </si>
  <si>
    <t>A produção de maçã e pera no Estado tem potencial produtivo, permite uma alternativa de renda para agricultura familiar, além das condições edafoclimaticas permitirem cultivo da fruta em diversas regiões do Estado, além do IDR PARANA, ter várias variedades de baixa necessidade de frio.  A assistência técnica que atua com esta fruteira requer investimento em conhecimento, pois consiste numa cadeia produtiva muito competitiva. A organização e fomento dessa atividade no Estado precisa de uma Assistência técnica presente e constante dentro da cadeia produtiva, para estimular e fomentar os agricultores familiares, para poderem aumentar a renda de suas famílias.</t>
  </si>
  <si>
    <t>Regularização ambiental da propriedade rural</t>
  </si>
  <si>
    <t>IDR-Paraná, IAT</t>
  </si>
  <si>
    <t>O curso Regularização Ambiental da Propriedade Rural aborda de forma prática e objetiva todas as etapas e instrumentos necessários para a conformidade legal das propriedades rurais, desde o diagnóstico de APP, Reserva Legal e áreas de uso restrito até o uso adequado do CAR e do PRA. Inclui também o processo de obtenção de licenças ambientais, autorizações específicas e outorgas de uso da água, orientando sobre requisitos, fluxos e responsabilidades. A formação capacita extensionistas a apoiar produtores na recuperação de passivos, na condução dos trâmites administrativos e no acesso a políticas públicas, fortalecendo a sustentabilidade e a segurança jurídica das propriedades rurais.</t>
  </si>
  <si>
    <t>A realização do curso Regularização Ambiental da Propriedade Rural é essencial para qualificar extensionistas frente às crescentes exigências legais e à complexidade dos processos de regularização no meio rural. A correta elaboração do CAR e adesão ao PRA, somadas à necessidade de obtenção de licenças ambientais, autorizações e outorgas de uso da água, demandam domínio técnico, atualização normativa e capacidade de orientar produtores de forma segura e padronizada. Ao fortalecer a atuação das equipes no atendimento e na condução dos trâmites ambientais, o curso contribui para reduzir passivos, ampliar o acesso dos agricultores a políticas públicas e assegurar a conformidade ambiental das propriedades, gerando impactos positivos na sustentabilidade, na gestão territorial e na segurança jurídica das atividades agropecuárias.</t>
  </si>
  <si>
    <t>Drones na Gestão Ambiental e Hidrológica de Microbacias</t>
  </si>
  <si>
    <t>IDR-Paraná, SENAR</t>
  </si>
  <si>
    <t>O curso aborda o uso de drones como ferramenta estratégica para o diagnóstico, monitoramento e planejamento de microbacias, incluindo fundamentos de hidrologia, planejamento de missões, coleta de imagens, processamento fotogramétrico e geração de produtos como ortofotos, modelos digitais e mapas temáticos. Os participantes aprendem a identificar áreas críticas, mapear APPs e nascentes, avaliar processos erosivos e apoiar ações de conservação do solo e da água, integrando os dados obtidos aos sistemas de geoprocessamento para embasar decisões técnicas e fortalecer a gestão sustentável das microbacias.</t>
  </si>
  <si>
    <t>A adoção de drones na gestão de microbacias representa um avanço significativo na precisão, agilidade e qualidade das informações utilizadas no planejamento ambiental e hidrológico. A geração de ortofotos, modelos digitais e mapas detalhados permite identificar erosões, áreas degradadas, APPs, nascentes e conflitos de uso do solo com muito mais eficiência do que os métodos convencionais. Diante da crescente demanda por diagnósticos rápidos, monitoramento contínuo e ações de conservação baseadas em dados técnicos, a capacitação de extensionistas no uso dessas tecnologias torna-se essencial. O curso fortalece a atuação do IDR Paraná ao qualificar equipes para apoiar produtores, planejar intervenções sustentáveis e aprimorar a gestão territorial das microbacias, resultando em maior efetividade ambiental e melhor direcionamento das políticas públicas.</t>
  </si>
  <si>
    <t>Gestão Hídrica e Conservação da Água no Meio Rural</t>
  </si>
  <si>
    <t>IDR-Paraná, Sanepar, IAT</t>
  </si>
  <si>
    <t>O curso aborda os princípios essenciais do manejo da água na propriedade rural, incluindo diagnóstico das fontes hídricas, práticas de conservação do solo e da água, técnicas de captação e armazenamento, uso eficiente da irrigação, qualidade da água e exigências legais como outorga e regularização. A formação prepara extensionistas para orientar produtores no planejamento hídrico integrado, reduzir perdas, aumentar a eficiência produtiva e fortalecer a sustentabilidade ambiental das propriedades rurais.</t>
  </si>
  <si>
    <t>A oferta do curso de Gestão Hídrica e Conservação da Água no Meio Rural é essencial diante dos desafios crescentes de escassez, variabilidade climática e aumento da demanda por eficiência hídrica no meio rural. A qualificação dos extensionistas permite melhorar o diagnóstico das fontes de água, orientar sobre técnicas de conservação do solo e da água, apoiar a regularização de outorgas e promover práticas mais sustentáveis de uso e armazenamento hídrico. Além disso, o curso fortalece a atuação do IDR Paraná no apoio às políticas públicas, especialmente em alinhamento com o Programa Estadual de Segurança Hídrica, que prioriza ações estruturantes para proteção de mananciais, uso racional da água e resiliência das comunidades rurais. Dessa forma, a capacitação contribui diretamente para ampliar a segurança hídrica, reduzir riscos ambientais e garantir maior sustentabilidade às atividades agropecuárias no estado.</t>
  </si>
  <si>
    <t>Capacitação em Gestão de Almoxarifado: Controle de Entrada, Saída e Movimentação no GMS</t>
  </si>
  <si>
    <t>Escola de Gestão</t>
  </si>
  <si>
    <t>A temática básica da capacitação abrange as rotinas essenciais de almoxarifado no Sistema GMS, com foco no controle de entrada, saída e movimentação de materiais. Serão abordados os procedimentos operacionais necessários para registrar, acompanhar e validar todas as movimentações de estoque, garantindo padronização, acurácia das informações e suporte à gestão patrimonial e administrativa da unidade.</t>
  </si>
  <si>
    <t>A capacitação é essencial para aprimorar as rotinas de almoxarifado no Sistema GMS, garantindo maior precisão nos registros de entrada, saída e movimentação de materiais. O correto uso do sistema reduz erros, agiliza processos, melhora a confiabilidade dos estoques e assegura conformidade com as normas de controle interno. Para o IDR-Paraná, o investimento na qualificação fortalece a gestão dos materiais, contribui para o planejamento de compras, otimiza recursos públicos e padroniza procedimentos administrativos, resultando em maior eficiência e segurança nas informações institucionais.</t>
  </si>
  <si>
    <t>Produção e comercialização de Goiaba</t>
  </si>
  <si>
    <t>Empresas, Cooperativas</t>
  </si>
  <si>
    <t>Implantação, porta enxertos, variedades, tratos culturais, fitossanidade, colheita e pos colheita e comercialização</t>
  </si>
  <si>
    <t>Principais polos de produção de Goiaba (Carlopolis, Lidianopolis, Cianorte), esta cultura se apresenta em outras regiões como alternativa. Há necessidade de forma extensionistas e profissionais da ATER para atuarem nesta cadeia produção. Buscando maior competitividade desse setor frente as novas realidades que vão de ter fruta de alta qualidade para mercados internos e externos</t>
  </si>
  <si>
    <t>Divisão Financeira</t>
  </si>
  <si>
    <t>Aperfeiçoamento em Rotinas Financeiras e Uso dos Sistemas Corporativos</t>
  </si>
  <si>
    <t xml:space="preserve">Escola de Gestão </t>
  </si>
  <si>
    <t>A capacitação abordará os principais fluxos e procedimentos financeiros utilizados no IDR-Paraná, com foco na correta utilização dos sistemas SIAFIC, SAFE e dos processos de protocolo administrativo. Serão trabalhadas as etapas de execução orçamentária e financeira, registros e controles sistêmicos, padronização de rotinas e conformidade com as normas institucionais.</t>
  </si>
  <si>
    <t>A capacitação é essencial para aprimorar os fluxos e procedimentos financeiros do IDR-Paraná, garantindo o uso correto dos sistemas SIAFIC, SAFE e protocolo. O treinamento fortalecerá a padronização das rotinas, reduzirá erros operacionais e assegurará a conformidade com normas e exigências dos órgãos de controle. Com isso, a área administrativa ganha maior eficiência, precisão e segurança na gestão dos recursos públicos, contribuindo diretamente para a qualidade e transparência dos processos do IDR-Paraná.</t>
  </si>
  <si>
    <t>Produção e comercialização de abacaxi</t>
  </si>
  <si>
    <t>LONDRINA</t>
  </si>
  <si>
    <t xml:space="preserve">Preparo de solo, implantação, planejamento, variedades, sistemas de condução convencional, mulching, fitossanidade, indução florescimento, colheita e pos colheita e comercialização </t>
  </si>
  <si>
    <t>cultivo convencional sem irrigação, apesar de termos boa produtividade, vem reduzindo a área de cultivo. Contudo o abacaxi com mulching, com cultivo familiar vem ampliando suas áreas e vem sendo alternativas de negócios. Precisa preparar melhor os profissionais que atuam no Estado para devido fomento. Há pontos de estragulamentos como a produção de mudas e sanidade. Com a capacitação podemos estruturar melhor os trabalhos dentro das cadeias produtivas. Podendo melhor o apoio aos fruticultores e na diversificação de atividades dentro das propriedades.</t>
  </si>
  <si>
    <t>Boas Práticas na Gestão da Frota: Manutenções, Multas, Acidentes e Procedimentos Administrativos</t>
  </si>
  <si>
    <t>A capacitação abordará os procedimentos essenciais para a gestão da frota oficial, incluindo orientações sobre manutenção preventiva e corretiva, controle e organização da documentação dos veículos, tratamento de multas, procedimentos para acidentes envolvendo veículos oficiais e etapas relacionadas a leilões e desmobilização de bens. Serão apresentadas práticas e ferramentas para aperfeiçoar o controle, a segurança e a eficiência operacional da frota.</t>
  </si>
  <si>
    <t>A capacitação é essencial para aprimorar a gestão da frota oficial do IDR-Paraná, garantindo maior eficiência nos processos de manutenção preventiva e corretiva, controle de documentação, multas, acidentes e procedimentos de leilão. O conhecimento atualizado permitirá padronizar rotinas, reduzir custos, evitar falhas operacionais e assegurar conformidade com normas internas e legais. Com isso, a área administrativa ganha mais segurança, precisão nas informações e melhor utilização dos recursos públicos, fortalecendo a qualidade dos serviços prestados pela instituição</t>
  </si>
  <si>
    <t>Capacitação em Patrimônio Público: Inventário, Movimentação Física, leilão e Uso do GPM</t>
  </si>
  <si>
    <t>Capacitação voltada à compreensão e aplicação das boas práticas de gestão do patrimônio público, abordando os conceitos de coisa pública, procedimentos da comissão de inventário, rotinas de controle de bens móveis , utilização do sistema GPM, movimentação física de bens, registro, atualização e regularização patrimonial no âmbito do IDR-Paraná.</t>
  </si>
  <si>
    <t>Essencial para aprimorar o controle e a gestão do patrimônio público do IDR-Paraná, garantindo registros corretos, transparência e conformidade com as exigências da Diretoria Administrativa e dos órgãos de controle. O treinamento fortalecerá as competências relacionadas ao inventário anual, movimentação de bens, atuação da comissão, regularização patrimonial e uso adequado do sistema GPM. Com procedimentos padronizados e boas práticas aplicadas, a instituição reduz riscos, evita inconsistências e assegura maior eficiência, economicidade e preservação dos bens públicos.</t>
  </si>
  <si>
    <t>Capacitação em Gestão Patrimonial: Regularidade de Bens Imóveis, Procedimentos de Cessão e Doação e Operacionalização do GPMuso do GPM</t>
  </si>
  <si>
    <t>Capacitação voltada ao aprimoramento da gestão do patrimônio público, com foco na administração de bens imóveis, regularidade e atualização documental, procedimentos de cessão e doação, e na correta utilização do sistema GPM. Serão abordadas as normas, rotinas e boas práticas necessárias para garantir controle, transparência e conformidade patrimonial no âmbito do IDR-Paraná.</t>
  </si>
  <si>
    <t>O aprimoramento das competências na gestão de bens imóveis é fundamental para garantir a regularidade documental, a correta aplicação dos procedimentos de cessão e doação e o uso adequado do sistema GPM. Essa formação contribui para evitar inconsistências, fortalecer a segurança jurídica, padronizar processos e assegurar conformidade com normas internas e exigências dos órgãos de controle. Ao qualificar o servidor, o IDR-Paraná avança em eficiência, transparência e responsabilidade na administração do patrimônio público.</t>
  </si>
  <si>
    <t>Introdução a análise estatística e teste de médias com o programa R</t>
  </si>
  <si>
    <t>Introdução ao uso do programa R Studio para analise estatística (ANOVA) e teste de média. uso de dados de planilha de Excel.</t>
  </si>
  <si>
    <t>A análise estatística é atividade comum na pesquisa, e os bolsistas de iniciação científica frequentemente necessitam realizar análises nos ensaios em que participam. O programa R é amplamente usado por pesquisadores em todo o mundo, mas por ser um sistema que necessita de programação dos comandos, tem certa dificuldade para começar a ser usado. Com esse curso espera-se desmistificar o programa R, mostrando um script (programação) básica para uso com teste de médias, que pode ser mais facilmente adaptado e utilizado pelos bolsistas e servidores do IDR-Paraná. Também se propõe a apresentar o uso da ferramenta de tabela dinâmica do Excel, como ferramenta auxiliar para organização, conferência e gerar médias de grupos de dados.</t>
  </si>
  <si>
    <t>Oficina de Protocolo para Organizações da Agricultura Familiar</t>
  </si>
  <si>
    <t>Sistematização da ATER para organizações da agricultura familiar</t>
  </si>
  <si>
    <t>Para atingir os objetivos da área de Organizações Sociais e Mercados, o IDR-Paraná desenvolveu um protocolo de ATER para Cooperativas da Agricultura Familiar, com metodologia e ferramentas específicas. Com o protocolo pretende-se padronizar a ATER para Organizações da Agricultura Familiar com foco em resultados. Depois de alguns anos usando o protocolo faz-se necessário uma revisão para que ele seja qualificado e dessa forma qualificar o trabalho dos técnicos assessores gerenciais.</t>
  </si>
  <si>
    <t>Boas Práticas na Central de Viagens do Governo do Paraná: Planejamento, Orientações e Controle</t>
  </si>
  <si>
    <t>A capacitação abordará os procedimentos, orientações e boas práticas relacionados à utilização da Central de Viagens do Governo do Paraná, incluindo etapas de solicitação, planejamento, acompanhamento e controle das viagens oficiais. Serão apresentadas as normas vigentes, fluxos operacionais, responsabilidades dos setores envolvidos e ferramentas utilizadas para garantir eficiência, conformidade e transparência na gestão das viagens institucionais.</t>
  </si>
  <si>
    <t>A participação na capacitação é fundamental para aprimorar o conhecimento sobre os procedimentos da Central de Viagens do Governo do Paraná, garantindo solicitações corretas, organização adequada e conformidade com as normas vigentes. Esse aprendizado contribui para reduzir erros, otimizar o planejamento e fortalecer o controle das viagens oficiais, promovendo eficiência, transparência e melhor uso dos recursos públicos no âmbito do IDR-Paraná.</t>
  </si>
  <si>
    <t xml:space="preserve">Capacitação Integrada Políticas Públicas de Inclusão Social e Produtiva - CURITIBA </t>
  </si>
  <si>
    <t>SEAB e SEDEF</t>
  </si>
  <si>
    <t xml:space="preserve">Políticas Públicas </t>
  </si>
  <si>
    <t xml:space="preserve">As políticas públicas voltadas ao meio rural têm repercussões diretas na dinâmica econômica e social do Estado, refletindo a diversidade e a complexidade das realidades regionais. Assim, se faz necessário capacitar os extensionistas enquanto agentes de desenvolvimento rural, para orientar e contribuir na implementação de programas e projetos de inclusão social e produtiva nos municípios, de forma intersetorial e integrada.  Por este motivo esta mesma capacitação deve ser realizada em 4 locais diferentes para abranger os extensionistas com programação em Promoção Social e Cidadania além dos técnicos da SEAB e SEDEF. </t>
  </si>
  <si>
    <t>Divisão de Relações de Trabalho</t>
  </si>
  <si>
    <t>Boas Práticas em RH: Fluxos e Processos para Estatutários e Celetistas</t>
  </si>
  <si>
    <t>A capacitação abordará as boas práticas em relações de trabalho e gestão de recursos humanos, incluindo orientações sobre o uso do SISPONT, organização e atualização do quadro de funções, procedimentos de avaliação de desempenho, gestão de atestados e particularidades dos regimes estatutário e celetista no IDR-Paraná.</t>
  </si>
  <si>
    <t>A capacitação é importante para fortalecer a atuação da área de Recursos Humanos, garantindo a correta aplicação das normas e boas práticas nas relações de trabalho no IDR-Paraná. O aprimoramento sobre SISPONT, quadro de funções, avaliação de desempenho, gestão de atestados e regimes estatutário e celetista contribui para padronizar procedimentos, reduzir erros e oferecer orientações mais precisas às unidades. Com isso, a equipe aprimora a eficiência administrativa e reforça a segurança jurídica e a qualidade da gestão de pessoas na instituição.</t>
  </si>
  <si>
    <t xml:space="preserve">Capacitação Integrada Políticas Públicas de Inclusão Social e Produtiva - NORTE </t>
  </si>
  <si>
    <t>Oficina de Instrumentalidade na assessoria gerencial para organizações da agricultura familiar</t>
  </si>
  <si>
    <t>Competências, ferramentas e metodologias para a atuação dos assessores gerenciais junto às organizações da agricultura familiar</t>
  </si>
  <si>
    <t>A heterogeneidade de formações profissionais entre os assessores gerenciais de organizações da agricultura familiar faz com seja necessário calibrar conhecimentos para a realização do trabalho de assessoria. A oficina vai discutir as ferramentas e metodologias necessárias na abordagem do trabalho com organizações da agricultura fsamiliar</t>
  </si>
  <si>
    <t>Capacitação Integrada Políticas Públicas de Inclusão Social e Produtiva NOROESTE</t>
  </si>
  <si>
    <t>SEAB e  SEDEF</t>
  </si>
  <si>
    <t>Políticas Públicas</t>
  </si>
  <si>
    <t>Capacitação Integrada Políticas Públicas de Inclusão Social e Produtiva LARANJEIRAS DO SUL</t>
  </si>
  <si>
    <t>carolina@idr.pr.gov.br</t>
  </si>
  <si>
    <t>XXIII Congresso Brasileiro de Sementes</t>
  </si>
  <si>
    <t>Carolina Maria Gaspar de Oliveira</t>
  </si>
  <si>
    <t>Abrates</t>
  </si>
  <si>
    <t>Tecnologia de Sementes</t>
  </si>
  <si>
    <t xml:space="preserve">O XXIII Congresso Brasileiro de Sementes é realizado desde 1979, e é o maior evento da área, reconhecido dentro e fora do País. O congresso abrangerá palestras, painéis, sessões pôster com trabalhos científicos, além do showroom tecnológico com exposição de stands de empresas renomadas do segmento de sementes, insumos, máquinas e equipamentos, tecnologia e áreas afins. A programação do congresso abrange também o XVII Simpósio Brasileiro de Patologia de Sementes, o XIII Simpósio Brasileiro de Tecnologia de Sementes Florestais, o VI Simpósio Brasileiro de Sementes de Espécies Forrageiras, II Simpósio de Análise de Sementes e Reunião Nacional das Comissões de Sementes e Mudas. Este evento tem como objetivo principal promover um debate amplos entre os mais variados segmentos do setor de sementes e este ano destaca-se o desafio de produzir de forma sustentável. O resumo que será apresentado é proveniente de um trabalho realizado com cultivares do IDR-Paraná, e tem participação de aluno de Iniciação Científica bolsista do CNPq, e de alunos de mestrado doutorado do programa da UEL em parceria com o IDR-Paraná. Assim a participação da pesquisadora é importante não só para divulgar os resultados das pesquisas, como para adquirir conhecimento através das palestras que terão no evento, como também pela troca de experiências com pesquisadores de diversas áreas do país. </t>
  </si>
  <si>
    <t xml:space="preserve">Oficina integrada de Segurança alimentar e nutricional </t>
  </si>
  <si>
    <t xml:space="preserve">Programa de Agroecologia </t>
  </si>
  <si>
    <t>Segurança Alimentar e Nutricional e Inclusão Produtiva</t>
  </si>
  <si>
    <t xml:space="preserve">A temática da segurança alimentar e nutricional é um dos eixos do Programa de PSC e transpassa todos os demais programas que envolvem a produção de alimentos, além de estar vinculada às políticas de inclusão produtiva no meio rural. Este tema é estratégico nas ações do instituto e esta oficina tem o objetivo de capacitar os extensionistas neste tema, com a área de Agroecologia, bem como estruturar as ações, organizar materiais e compartilhar experiências. </t>
  </si>
  <si>
    <t>Pós-Doutorado</t>
  </si>
  <si>
    <t>UNIOESTE</t>
  </si>
  <si>
    <t>Ainda não definido, podendo ser Pós-colheita, Sementes, Fitotecnia.</t>
  </si>
  <si>
    <t>Um estágio de pós-doutorado tem o objetivo de aperfeiçoar as atividades de pesquisa de um profissional com doutorado, proporcionando o aprofundamento em um tema específico e a expansão de sua experiência acadêmica e profissional.</t>
  </si>
  <si>
    <t>Simpósio Nacional de Feijão</t>
  </si>
  <si>
    <t>IBRAFE</t>
  </si>
  <si>
    <t>Feijão</t>
  </si>
  <si>
    <t xml:space="preserve">Atualização. </t>
  </si>
  <si>
    <t>Viticultura REVITIS</t>
  </si>
  <si>
    <t>SEAB/FAEP/SENAR</t>
  </si>
  <si>
    <t>Sistemas condução, variedades, tratos culturais, Fitossanidade</t>
  </si>
  <si>
    <t>O programa REVITIS, vem avançando no Estado, o Seminário é fundamental para definir próximos etapas do Programa frente aos novos cenários de mercado, da sucessão familiar, e atualização de praticas sustentáveis e da competitividade da viticultura paranaense frente aos outros polos de produção. O engajamento profissional buscando superar os gargalos e desafios da produção e da sucessão. Para nova etapas do REVITIS dentro do Estado.</t>
  </si>
  <si>
    <t>Certificação Origem Fitossanitaria (CFO) da Banana</t>
  </si>
  <si>
    <t>05</t>
  </si>
  <si>
    <t>ADAPAR/MAPA</t>
  </si>
  <si>
    <t>Pragas,  Doenças, quarentenárias, biologia, epidemia, identificação e monitoramento. Processo de certificação fitossanitário de Origem, para poder comercialização fora do Estado do Paraná e nas CEASAs.</t>
  </si>
  <si>
    <t>Na cadeira produtiva dentro dos polos de produção há necessidade de cooperativas e associação de produtores e mesmo produtores para acessarem mercados fora do Estado e as CEASAS, a emissão por profissionais que atuam na cadeia produtiva do CFO. Além de permitir atualização tecnológicas, dentro da cadeia produtiva, e orientar os produtores nos riscos sanitários existentes, que podem comprometer o polo de produção.</t>
  </si>
  <si>
    <t>Curso Sonar - SEBRAE</t>
  </si>
  <si>
    <t>Gestão de projetos e de equipe</t>
  </si>
  <si>
    <t>Necessidade de otimizar as ações de pesquisa, no tocante ao planejamento e execução de atividades. Organização de tempo, metodologia de otimização de resultados. Desenvolver habilidades para estimular a equipe a desenvolver seu melhor potencial, mantendo a motivação dos servidores</t>
  </si>
  <si>
    <t>Pós-Graduação em  Estatística com ênfase em Pesquisa Quantitativa</t>
  </si>
  <si>
    <t>UEL</t>
  </si>
  <si>
    <t>Pós-Graduação em
Estatística Quantitativa</t>
  </si>
  <si>
    <t>Aprofundar os conhecimentos em estatística, com foco em pesquisa experimental. A formatação do curso com uso do programa R permite conhecer o  programa também, de forma a conseguir aplicar facilmente os conhecimentos, uma vez que o programa é gratuito. O curso objetiva habilitar o profissional a realizar um planejamento estatístico no contexto da pesquisa científica quantitativa; aperfeiçoar o conhecimento de estatística com ênfase na pesquisa científica quantitativa;  capacitar os profissionais a utilizar ferramentas estatísticas e programas estatísticos para análise de dados nas diversas áreas de pesquisa; desenvolver capacidade de expressar resultados da análise estatística em linguagem adequada.</t>
  </si>
  <si>
    <t>Curso de Microrganismos Aplicado a Agricultura da PECCA-UFPR</t>
  </si>
  <si>
    <t>André Luiz Oliveira de Francisco</t>
  </si>
  <si>
    <t xml:space="preserve">Eficiência da utilização de microrganismos na agricultura. Apresentar tecnologias de aplicação de inoculantes comerciais com vistas ao aumento de produtividade. </t>
  </si>
  <si>
    <t>Atualização de conhecimentos nas analises de laboratório realizadas hoje nas atividades de pesquisa/demandas de analise.</t>
  </si>
  <si>
    <t>Reunião Brasileira Pesquisa Soja</t>
  </si>
  <si>
    <t>Soja</t>
  </si>
  <si>
    <t>Evento científico  ligado à cultura da soja, a participação será importante para conhecimento e atualização das novas linhas de pesquisas em solos, será apresentado em pôster resultados de pesquisa do IDR-Paraná, bem como, participação em palestras, conferências e dialogar com cientistas da área. A experiência adquirida será importante para o desenvolvimento da pesquisa na área do solo pelo IDR no Paraná</t>
  </si>
  <si>
    <t>5° Congresso Internacional de Engenharia Ambiental</t>
  </si>
  <si>
    <t>Graziela Moraes de Cesare Barbosa e José Francirlei de Oliveira</t>
  </si>
  <si>
    <t>UTFPR</t>
  </si>
  <si>
    <t>Discussões sobre os imcatos dos processos erosivos.</t>
  </si>
  <si>
    <t>Apresentar resultados de pesquisa e integração com outros pesquisadores.</t>
  </si>
  <si>
    <t>Aprovado para Graziela Barbosa e José Francirlei</t>
  </si>
  <si>
    <t>Evento científico  ligado à cultura do feijão, a participação será importante para conhecimento e atualização das novas linhas de pesquisas em solos, será apresentado em pôster resultados de pesquisa do IDR-Paraná, bem como, participação em palestras, conferências e dialogar com cientistas da área. A experiência adquirida será importante para o desenvolvimento da pesquisa na área do solo pelo IDR no Paraná.</t>
  </si>
  <si>
    <t>Qualificação técnica dos extensionistas para uso de boas práticas de produção.</t>
  </si>
  <si>
    <t>Estação de Pesquisa de Londrina</t>
  </si>
  <si>
    <t>Curso de tecnologia de aplicação</t>
  </si>
  <si>
    <t>Luiz Gustavo dos Santos e Roberto Ribeiro dos Santos</t>
  </si>
  <si>
    <t>Tecnologia de aplicação</t>
  </si>
  <si>
    <t>Os dois servidores operam pulverizadores</t>
  </si>
  <si>
    <t>Cultivo de mandioca de mesa.</t>
  </si>
  <si>
    <t>Qualificar extensionista para a produção de mandioca de mesa.</t>
  </si>
  <si>
    <t>jsburatto@idr.pr.gov.br</t>
  </si>
  <si>
    <t>Programa de Grãos Sustentáveis - Feijão e Cultivos de Inverno (Pesquisa)</t>
  </si>
  <si>
    <t xml:space="preserve">MOATRIGO 2026 </t>
  </si>
  <si>
    <t>Juliana Sawada Buratto e Carlos Roberto Riede</t>
  </si>
  <si>
    <t>Sinditrigo</t>
  </si>
  <si>
    <t>Workshop das industrias que beneficiam trigo</t>
  </si>
  <si>
    <t xml:space="preserve">O MOATRIGO é realizado pelo Sinditrigo -PR e promovido por suas Associadas e Colaboradoras, o Moatrigo é um evento cuidadosamente elaborado a partir da opinião da Indústria para ampliar o desenvolvimento profissional na cadeia produtiva do Trigo. </t>
  </si>
  <si>
    <t>XXII Congresso Brasileiro de Sementes</t>
  </si>
  <si>
    <t>ABRATES</t>
  </si>
  <si>
    <t xml:space="preserve">A tematica central do Congresso Brasileiro de sementes abrange capacitação e discussão de inovações tecnológicas e científicas do setor. As atividades incluem palestras, painéis e workshops sobre temas como políticas públicas, biotecnologia, edição gênica, qualidade das sementes e sustentabilidade. </t>
  </si>
  <si>
    <t xml:space="preserve">O congresso abordará o papel das sementes como a matéria-prima fundamental da sustentabilidade agrícola. Discutir a interface entre inovação, qualidade e rentabilidade do setor, mantendo o foco na preservação de recursos naturais e biodiversidade, está diretamente alinhado aos nossos objetivos de longo prazo. A semente é o veículo do progresso genético e o produto final de todo o nosso trabalho em melhoramento de plantas. O congresso é o principal fórum para garantir que o potencial genético das cultivares que desenvolvemos seja plenamente expresso no campo. </t>
  </si>
  <si>
    <t>crriede@idr.pr.gov.br</t>
  </si>
  <si>
    <t>MOATRIGO 2026</t>
  </si>
  <si>
    <t>Carlos Roberto Riede e Juliana Sawada Buratto</t>
  </si>
  <si>
    <t>SINDITRIGO - Sindicato das Indústrias de Trigo</t>
  </si>
  <si>
    <t>Atualização da Cadeia Produtiva do Trigo</t>
  </si>
  <si>
    <t>O MOATRIGO é realizado anualmente pelo Sindicato da Indústria do Trigo do Paraná (Sinditrigo-PR) com o objetivo de promover o desenvolvimento profissional e discutir tendências e inovações na indústria moageira.</t>
  </si>
  <si>
    <t>Aprovado para os 2 solicitantes</t>
  </si>
  <si>
    <t>Formação e capacitação em conselhos</t>
  </si>
  <si>
    <t>Formação de CONSELHOS</t>
  </si>
  <si>
    <t xml:space="preserve">Temática necessária permanentemente tanto para técnicos como para os beneficiários da ATER, pois diz respeito à participação social nas políticas públicas, monitoramento, execução e avaliação.  </t>
  </si>
  <si>
    <t>orlando.assis@idr.pr.gov.br</t>
  </si>
  <si>
    <t>Módulo I do Curso em Agroecologia</t>
  </si>
  <si>
    <t>IDR-PR</t>
  </si>
  <si>
    <t>Introdução à Agroecologia: Princípios</t>
  </si>
  <si>
    <t xml:space="preserve">O curso básico em Agroecologia é de extrema importância para a formação técnica dos extensionistas. Serão abordadas tecnologias que possibilitam o técnico a iniciar sua atividade na agroecologia em qualquer sistema de produção. </t>
  </si>
  <si>
    <t>Módulo II do Curso em Agroecologia</t>
  </si>
  <si>
    <t>Manejo de solos e águas na Agroecologia</t>
  </si>
  <si>
    <t>Módulo III do Curso em Agroecologia</t>
  </si>
  <si>
    <t>Bioinsumos técnicas de ativação de cepas concentradas em 3 metodologias</t>
  </si>
  <si>
    <t>Módulo IV do Curso em Agroecologia</t>
  </si>
  <si>
    <t>Elaboração de Caldas, compostos, inoculantes para Agroecologia</t>
  </si>
  <si>
    <t>Módulo V do Curso em Agroecologia</t>
  </si>
  <si>
    <t>O uso da Homeopatia vegetal e animal na Agroecologia</t>
  </si>
  <si>
    <t>Módulo VI do Curso em Agroecologia</t>
  </si>
  <si>
    <t>Pecuária - Pequenas Criações na Agroecologia</t>
  </si>
  <si>
    <t>Módulo VII do Curso em Agroecologia</t>
  </si>
  <si>
    <t>Olericultura</t>
  </si>
  <si>
    <t>Módulo VIII do Curso em Agroecologia</t>
  </si>
  <si>
    <t>Fruticultura e Grandes culturas na Agroecologia</t>
  </si>
  <si>
    <t>Oficinas Prática de Bioinsumos</t>
  </si>
  <si>
    <t>Elaboração de Caldas e Preparados Agroecologicos</t>
  </si>
  <si>
    <t>A oficina prática em Bioinsumos proporciona a oportunidade dos técnicos praticarem as receitas e assim dominar a tecnologia de preparo e uso dos Bioinsumos</t>
  </si>
  <si>
    <t>Oficina Prática de Elaboração de Bioinsumos</t>
  </si>
  <si>
    <t>Elaboração de Caldas e Preparados Agroecológicos</t>
  </si>
  <si>
    <t>Reunião Estadual de Agroecologia</t>
  </si>
  <si>
    <t>Reestruturação do Time Estadual da Agroecologia</t>
  </si>
  <si>
    <t>Faz-se necessária a reunião dos técnicos remanescentes do Time Estadual da Agroeocologia, bem como incluir novos colegas no time, estabelecer diretrizes e metodologias de trabalho; Ações técnicas a serem desenvolvidas nas regiões, definição de estratégias e métricas a serem uniformizadas.</t>
  </si>
  <si>
    <t>Avaliação do trabalho do I Semestre a definição de ações</t>
  </si>
  <si>
    <t>A reunião se justifica pela necessidade da uniformização das ações e estratégias de trabalho no alcance dos objetivos, bem como na troca de experiências entre os técnicos das diferentes regiões em busca do alcance dos objetivos propostos.</t>
  </si>
  <si>
    <t>Certificação fitossanitaria de Origem - Banana</t>
  </si>
  <si>
    <t>Adapar</t>
  </si>
  <si>
    <t>conhecimento de doenças e pragas no cultivo de banana, para certificação fitossanitária, para apoiar processo de comercialização junto aos polos de produção da fruta.</t>
  </si>
  <si>
    <t>Extensionistas para suporte da cadeia produtiva nos polos de produção, possibilitando a comercialização da fruta nas CEASAs e para outros Estados. Além da atualização em pragas e doenças para trabalho educativo de prevenção de entradas de novas pragas e doenças.</t>
  </si>
  <si>
    <t>Fertirrigação na Fruticultura</t>
  </si>
  <si>
    <t>Empresas</t>
  </si>
  <si>
    <t>dosagem, fertirrigação, nutrição de plantas, curvas de absorção de nutrientes, equipamentos, monitoramento nutricional e de água.</t>
  </si>
  <si>
    <t>Os extensionistas atuam  na fruticultura precisam de conhecimento básico sobre fertirrigação para suporte aos agricultores familiares, nos trabalhos de extensão rural e assistência técnica. Há uma deficiência nesta área do conhecimento nos polos de produção. Esta ferramenta pode incrementar o potencial produtivo das culturas.</t>
  </si>
  <si>
    <t>Fruticultura Oeste Modulo I</t>
  </si>
  <si>
    <t>curso basico de Produção de Frutas Modulo I - Maracujá</t>
  </si>
  <si>
    <t xml:space="preserve">Capacitação das região oeste, Umuarama e laranjeira do Sul, Francisco Beltrão na produção de Maracujá, da produção de mudas, sistemas de produção a comercialização. </t>
  </si>
  <si>
    <t>Fruticultura Oeste Modulo II - Banana</t>
  </si>
  <si>
    <t>Produção a comercialização de banana, para regiões oeste, Umuarama, Laranjeiras do Sul e Sudoeste. Com elaboração de protocolo para cultura.</t>
  </si>
  <si>
    <t>As regiões oeste, sudoeste, laranjeira do Sul vem aproveitando microclimas para desenvolvimento da bananicultura, sendo que região de Umuarama há necessidade obrigatória da irrigação. Fomento da cultura potencial com proximidade de mercados consumidores e potencialidade para exportação para Mercosul. O curso visa estabelecer protocolo para região Oeste do Estado.</t>
  </si>
  <si>
    <t>Fruticultura Oeste Modulo III - Oeste</t>
  </si>
  <si>
    <t>FAEP/SENAR VINOPAR SEAB</t>
  </si>
  <si>
    <t>curso de viticultura para Oeste do Estado, com elaboração de protocolo. Da produção, variedades, fitossanidade, tratos culturais, sistemas de produção, colheita e comercialização.</t>
  </si>
  <si>
    <t xml:space="preserve">Fomento da fruticultura na região e capacitação de parceiros e elaboração de protocolos. A fruticultura opção de renda para produtores da região oeste, além de aproveitar microclimas para produção de uvas para mesa e para processamento. Há presença de vinícolas e potencial para produção de viticultura de frutas de mesa. </t>
  </si>
  <si>
    <t>fruticultura Oeste Modulo IV - Morango</t>
  </si>
  <si>
    <t>Produção, sistemas de condução, fitossanidade, nutrição e adubação, fertirrigação, tratos culturais, colheita e pós colheita.</t>
  </si>
  <si>
    <t>fomento do cultivo, elaboração de protocolo técnico para região.Oportunidade regional para agricultores familiares atender mercados e agroindustria e principalmente diversificação das propriedades.</t>
  </si>
  <si>
    <t>Fitossanidade e tecnologia de aplicação em fruticultura modulo II</t>
  </si>
  <si>
    <t>MagnoJet/FAEP?SENAR</t>
  </si>
  <si>
    <t>tecnologia de aplicação, escolha de bicos, ensaios, insumos usados na tecnologia de aplicação. Demonstração pratica, e regulagem de equipamentos, simuladores no CTA da empresa.</t>
  </si>
  <si>
    <t>Para avanço em termos de qualidade e segurança alimentar, a área fitossanitária é chave, principalmente na tecnologia de aplicação para termos maior eficiência de controle e redução de custos e novos métodos de aplicação. Avaliação e monitoramento quanto manejo fitossanitário e na tecnologia de aplicação.</t>
  </si>
  <si>
    <t>carolina.moreira@idr.pr.gov.br</t>
  </si>
  <si>
    <t>Pecuária de Corte (Extensão Rural)</t>
  </si>
  <si>
    <t>Gestão Financeira e Zootécnica na Bovinocultura</t>
  </si>
  <si>
    <t>Esteio Gestão Agropecuária</t>
  </si>
  <si>
    <t>Treinamento para utilização de plataforma completa para gestão zootécnica e financeira de propriedades rurais que atuam nas atividades de bovinocultura de corte e leite.</t>
  </si>
  <si>
    <t>O treinamento para a correta utilização da ferramenta de gestão é fundamental para seu melhor aproveitamento. Com o uso adequado do sistema é possível mensurar de forma padronizada e profissionalizada os resultados financeiros e zootécnicos de propriedades assistidas pelo IDR-Paraná, gerando informações confiáveis para apoiar a tomada de decisões junto aos produtores. Com os diferentes índices gerados, é possível discutir os gargalos e os pontos fortes da atividade, além de tornar possível para o técnico comparar os resultados entre diferentes unidades produtivas assistidas.</t>
  </si>
  <si>
    <t>Congresso Mundial Brangus</t>
  </si>
  <si>
    <t xml:space="preserve">Evento com participação de pesquisadores, especialistas e pecuaristas de diferentes países para discutir temáticas relevantes à pecuária de corte. </t>
  </si>
  <si>
    <t>O Congresso Mundial de Brangus ocorre a cada dois anos e, em 2026, será em Londrina. É conhecido por sua relevância no cenário internacional da pecuária de corte, destacando a raça Brangus. O evento reúne pesquisadores, técnicos e criadores da raça que tem se destacado no Paraná e em todo o país. Temas como o melhoramento genético serão discutidos durante o evento, o que pode ser aproveitado para benchmarking e aperfeiçoamento de processos relacionados à raças trabalhadas pelo IDR-Paraná.</t>
  </si>
  <si>
    <t>edivanjp@idr.pr.gov.br</t>
  </si>
  <si>
    <t>Atualização em boas práticas na produção da soja</t>
  </si>
  <si>
    <t>Embrapa Soja e Senar-PR</t>
  </si>
  <si>
    <t>MIP, MID, MIPD, manejo de Solos, Fisiologia Vegetal e Outros</t>
  </si>
  <si>
    <t>Trata-se de evento anual que visa atualizar os extensionistas do Programa Grãos sobre boas práticas de manejo integrado na cultura da soja, de forma correlacionada com os protocolos técnicos do Programa Grãos</t>
  </si>
  <si>
    <t>Curso de Produção de Soja - Módulo Manejo Fitossanitário</t>
  </si>
  <si>
    <t>Manejo Fitossanitário da Soja</t>
  </si>
  <si>
    <t>Curso que visa aperfeiçoar os conhecimentos da equipe de grãos em MIP, MID, MIPD e afins.
Sugestão de enviar 01 extensionista de referencia por unidade regional.</t>
  </si>
  <si>
    <t>Reunião de Pesquisa da Soja</t>
  </si>
  <si>
    <t>a definir</t>
  </si>
  <si>
    <t>Evento organizado pela Embrapa Soja, sendo oportunidade de capacitação de extensionistas referencias do Programa Grãos e prospecção de novas ações dentro do programa.
Sugestão de enviar 01 extensionista por unidade regional</t>
  </si>
  <si>
    <t>Consórcio Milho com Braquiária</t>
  </si>
  <si>
    <t>Refere-se a tema relacionado a protocolo técnico em fase inicial de implantação</t>
  </si>
  <si>
    <t>Manejo Integrado de Pragas do Milho</t>
  </si>
  <si>
    <t>Trata-se de tema correlato com  protocolo técnico em fase inicial de implantação no programa</t>
  </si>
  <si>
    <t>Manejo e conservação de Solos</t>
  </si>
  <si>
    <t>Dia de Campo</t>
  </si>
  <si>
    <t>Rede Agropesquisa</t>
  </si>
  <si>
    <t>Manejo e conservação do solo e água</t>
  </si>
  <si>
    <t>Demanda dos extensionistas de campo.
Proposta de aproveitar ações da rede de agropesquisa desenvolvidos no PR.</t>
  </si>
  <si>
    <t>Manejo de Plantas Daninhas e Herbicidas</t>
  </si>
  <si>
    <t>Embrapa Soja e outras</t>
  </si>
  <si>
    <t>Manejo de Plantas Daninhas em Sistemas de Produção de  Grãos e uso de herbicidas</t>
  </si>
  <si>
    <t>Grande demanda dos extensionistas de campo, e relação com protocolo técnico em fase inicial de implantação</t>
  </si>
  <si>
    <t>Fertilidade do solo para cultivo de grãos</t>
  </si>
  <si>
    <t>Fertilidade do solo</t>
  </si>
  <si>
    <t>Demanda enviada pela equipe de campo, com relação com protocolo técnico do Programa Grãos</t>
  </si>
  <si>
    <t>Plantas de Cobertura</t>
  </si>
  <si>
    <t>Plantas de coberturas do solo para uso em sistemas de produção de grãos</t>
  </si>
  <si>
    <t>Demanda enviada pela equipe de campo, com relação com protocolo técnico de rotação de culturas</t>
  </si>
  <si>
    <t>Ecofisiologia de soja, milho, feijão e trigo</t>
  </si>
  <si>
    <t>Embrapa Soja e Outras</t>
  </si>
  <si>
    <t>Ecofisiologia de plantas cultivadas</t>
  </si>
  <si>
    <t>Demanda enviada pela equipe de campo, visando aprimorar as práticas de manejo das principais culturas de grãos do PR</t>
  </si>
  <si>
    <t>Bioinsumos</t>
  </si>
  <si>
    <t>Uso de bioinsumos na produção de grãos</t>
  </si>
  <si>
    <t>Demanda enviada pela equipe de campo e tema atual, demandando atualização dos extensionistas</t>
  </si>
  <si>
    <t>Uso de aminoácidos e estimulantes na soja</t>
  </si>
  <si>
    <t>Aminoácidos e estimulantes para a cultura da soja</t>
  </si>
  <si>
    <t>Demanda enviada pela equipe de campo</t>
  </si>
  <si>
    <t>Curso de Calagem e Adubação de Frutíferas</t>
  </si>
  <si>
    <t>Reciclagem Técnica em Adubação de Frutíferas do plantio a colheita</t>
  </si>
  <si>
    <t>Projeto de Fruticultura é prioridade regional e o tema é pertinente as ações de campo.</t>
  </si>
  <si>
    <t>40º Reunião de Pesquisa de Soja</t>
  </si>
  <si>
    <t>Janaina Dartora</t>
  </si>
  <si>
    <t>A Reunião de Pesquisa de Soja é o principal fórum de pesquisa do complexo agropecuário da soja e tem caráter estritamente técnico. O evento tem por objetivo avaliar os avanços de pesquisas com os sistemas de produção de soja para a sustentabilidade da cadeia produtiva.</t>
  </si>
  <si>
    <t>Devido a presença da cultura nas principais pesquisas conduzidas por mim neste Polo de pesquisa é de extrema importância participar do principal evento técnico da cultura da soja realizado em nosso Estado. Pretendo apresentar um resumo científico no evento. Além disso estamos envolvidos com a Embrapa nos trabalhos de MIP e MID que voltarão a ser conduzidos no Polo de Pesquisa de Pato Branco a partir do próximo ano.</t>
  </si>
  <si>
    <t>Introdução aos fundamentos da Avaliação de Valor do Café (CVA)</t>
  </si>
  <si>
    <t>Introdução aos fundamentos da Avaliação de Valor do Café (CVA), abordando os princípios teóricos e práticos da análise sensorial de cafés. O conteúdo contempla a compreensão dos atributos sensoriais, padronização de métodos de preparo, aplicação de protocolos de avaliação, identificação de defeitos e qualidades, interpretação de resultados e uso da CVA como ferramenta para valorização da qualidade do café ao longo da cadeia produtiva.</t>
  </si>
  <si>
    <t>A realização da capacitação em Introdução à Avaliação de Valor do Café (CVA) é fundamental para qualificar estudantes de graduação e pós-graduação, colaboradores, técnicos e cafeicultores, promovendo a disseminação de conhecimentos técnicos que possam ser aplicados diretamente na melhoria dos processos de produção de cafés especiais. Ao fortalecer a capacidade desses públicos em compreender e avaliar a qualidade do café, o curso contribui para a adoção de práticas mais eficientes no manejo, na colheita, no processamento e na pós-colheita. Essa capacitação impacta de forma direta o fortalecimento da cadeia produtiva do café no Paraná, ampliando a competitividade dos produtores, estimulando a agregação de valor ao produto e consolidando o papel do IDR-Paraná como referência em inovação, transferência de tecnologia e desenvolvimento sustentável da cafeicultura no Estado.</t>
  </si>
  <si>
    <t>patriciasantoro@idr.pr.gov.br.gov.br</t>
  </si>
  <si>
    <t>Introdução aos fundamentos da torra do café</t>
  </si>
  <si>
    <t>Introdução aos princípios teóricos e práticos da torra do café, abordando as transformações físicas e químicas dos grãos durante o processo, os estágios da torra, controle de tempo e temperatura, desenvolvimento de perfis de torra, influência da torra na formação de aromas e sabores, identificação de defeitos relacionados à torra e sua relação direta com a qualidade e a valorização de cafés especiais.</t>
  </si>
  <si>
    <t>A capacitação em Introdução aos fundamentos da torra do café é estratégica para o fortalecimento da cadeia produtiva do café no Paraná, pois a etapa de torra exerce influência direta na formação dos atributos sensoriais, na padronização da qualidade e na agregação de valor aos cafés. Ao proporcionar formação técnica a estudantes de graduação e pós-graduação, colaboradores, técnicos e cafeicultores, o curso contribui para o entendimento das transformações físicas e químicas que ocorrem nos grãos durante a torra e para o desenvolvimento de competências na aplicação de perfis adequados a diferentes tipos de café. Essa qualificação amplia a capacidade dos participantes em tomar decisões técnicas mais precisas, reduz perdas de qualidade, melhora a consistência dos lotes e favorece a inserção de cafés paranaenses em mercados mais exigentes. A capacitação também fortalece a atuação do IDR-Paraná na transferência de tecnologia, na formação de recursos humanos e na promoção da inovação, alinhando-se à missão institucional de promover o desenvolvimento sustentável e competitivo da cafeicultura no Estado.</t>
  </si>
  <si>
    <t>Certificate em Gestão Ágil e Enxuta</t>
  </si>
  <si>
    <t>Faculdade de Belas Artes</t>
  </si>
  <si>
    <t>Modernização da gestão pública e fortalecimento da governança organizacional</t>
  </si>
  <si>
    <t xml:space="preserve">O programa apresenta alinhamento direto com os fundamentos contemporâneos da administração pública moderna, especialmente no que se refere à:
gestão por resultados; eficiência administrativa; racionalização de processos; transparência e responsabilização; inovação organizacional; fortalecimento da capacidade estatal.
A aquisição do curso Certificate em Gestão Ágil e Enxuta caracteriza investimento estratégico, com impacto direto na: modernização da gestão pública; qualificação das equipes; eficiência institucional; inovação organizacional; uso racional dos recursos públicos; entrega de valor à sociedade.
</t>
  </si>
  <si>
    <t>Capacitação básica em apicultura Módulo II</t>
  </si>
  <si>
    <t>Capacitação básica em apicultura módulo II</t>
  </si>
  <si>
    <t>Esta capacitação destina-se para capacitar em apicultura os extensionistas que fizeram o curso de meliponicultura em 2024 e o módulo I de apicultura de 2026</t>
  </si>
  <si>
    <t>Treinamento Dale Carnegie</t>
  </si>
  <si>
    <t>Treinamento de Relações Humanas e Comunicação Eficaz</t>
  </si>
  <si>
    <t>Desenvolvimento de Gerentes voltado à eficiência na entrega de projetos e gestão de pessoas.</t>
  </si>
  <si>
    <t>Este treinamento fornece as habilidades de relações humanas para poder prosperar em qualquer cenário, descobrir como formar relacionamentos mais próximos e recompensadores construídos através da confiança e respeito. Com uma maior confiança e competência ao interagir com outros, possibilitando a influência necessária para alcançar novos patamares na vida pessoal e profissional.</t>
  </si>
  <si>
    <t>Coursera para Governos</t>
  </si>
  <si>
    <t>Coursera</t>
  </si>
  <si>
    <t>Catálogo de cursos para diversas áreas, como gestão, tecnologia, inovação, liderança, dados, estratégia, sustentabilidade e políticas públicas</t>
  </si>
  <si>
    <t>Possibilidade de capacitação em gestão, tecnologia, inovação, liderança, dados, estratégia, sustentabilidade e políticas públicas.</t>
  </si>
  <si>
    <t>kooji@idr.pr.gov.br</t>
  </si>
  <si>
    <t>Estação de Pesquisa de Paranavaí</t>
  </si>
  <si>
    <t>Curso de MOPP</t>
  </si>
  <si>
    <t>Marcelo Vieira da Rocha</t>
  </si>
  <si>
    <t>não se aplica</t>
  </si>
  <si>
    <t>Curso para Condutores de Veículos de Transportes de Produtos Perigosos.</t>
  </si>
  <si>
    <t>O IDR de Paranavaí utiliza inseticidas, herbicidas e outros insumos que exigem transporte adequado por profissionais qualificados, conforme a legislação, para evitar riscos no manuseio. Devido à crescente demanda e à aposentadoria de servidores, é necessário capacitar novos profissionais para realizar esse transporte com segurança, tornando indispensável a realização do curso.</t>
  </si>
  <si>
    <t>8º ENCONTRO ESTADUAL DE ORGANIZADORES DE CAMINHADA</t>
  </si>
  <si>
    <t>PREFEITURAS MUNICIPAIS</t>
  </si>
  <si>
    <t>A realização do Encontro de Organizadores de Caminhada na Natureza justifica-se pela necessidade de fortalecer, qualificar e integrar as iniciativas de turismo rural e de turismo de natureza em nosso Estado. Nos últimos anos, as Caminhadas na Natureza têm se consolidado como importantes ferramentas de promoção da saúde, de valorização da agricultura familiar e de incentivo ao desenvolvimento econômico sustentável local.
Diante desse cenário, torna-se fundamental promover um espaço de diálogo, troca de experiências e capacitação entre os organizadores, possibilitando o aprimoramento das práticas de gestão dos eventos, o alinhamento às diretrizes do projeto, além da construção coletiva de estratégias para ampliar a segurança, a organização e a sustentabilidade das atividades.
O encontro permitirá ainda fortalecer parcerias com instituições públicas e privadas, promover a padronização de procedimentos, estimular o turismo responsável e garantir uma melhor experiência aos caminhantes. Assim, a realização deste evento contribui de maneira significativa para o desenvolvimento territorial, para a conservação ambiental e para a promoção de atividades saudáveis e inclusivas.</t>
  </si>
  <si>
    <t>ENCONTRO ESTADUAL DE ENOTURISMO</t>
  </si>
  <si>
    <t>Não Definido</t>
  </si>
  <si>
    <t>CURITIBA</t>
  </si>
  <si>
    <t>A realização do Encontro Estadual de Enoturismo justifica-se pela crescente relevância econômica, cultural e ambiental do setor vitivinícola no desenvolvimento regional. O enoturismo consolidou-se nas últimas décadas como uma atividade estratégica para diversificar a economia local, fortalecer a identidade territorial e promover experiências qualificadas aos visitantes, integrando agricultura, gastronomia, cultura e serviços.
No contexto estadual, observa-se um aumento expressivo no fluxo de turistas interessados em vivências relacionadas à produção de vinhos, às paisagens vitivinícolas e ao patrimônio histórico associado ao cultivo da uva. Esse movimento tem impulsionado pequenos e médios produtores, estimulando a formalização de empreendimentos, a inovação no atendimento e a ampliação da oferta turística. Entretanto, para que o setor continue avançando de maneira sustentável, torna-se fundamental promover espaços de diálogo, capacitação e articulação entre os diversos atores da cadeia produtiva.
O Encontro Estadual de Enoturismo surge, portanto, como uma oportunidade estratégica para reunir produtores, gestores públicos, pesquisadores, empreendedores, entidades de apoio e demais profissionais vinculados ao turismo e à vitivinicultura. O evento visa fomentar o intercâmbio de conhecimentos, apresentar boas práticas nacionais e internacionais, discutir desafios comuns e construir diretrizes para o fortalecimento do enoturismo como política pública e como vetor de desenvolvimento socioeconômico.</t>
  </si>
  <si>
    <t>VERÃO GASTRONÔMICO</t>
  </si>
  <si>
    <t>NOVA LONDRINA</t>
  </si>
  <si>
    <t>O projeto Estação Gastronômica, proposto pelo IDR-Paraná, justifica-se pela necessidade de fortalecer a cadeia produtiva da agricultura familiar, valorizar a identidade territorial dos alimentos paranaenses e promover o desenvolvimento socioeconômico local por meio da integração entre produção, gastronomia e turismo.
O Paraná possui ampla diversidade agroalimentar, com produtos de origem reconhecida, agricultores organizados em associações e cooperativas e crescente demanda por alimentos diferenciados e de qualidade. No entanto, grande parte desses produtos ainda carece de estratégias eficazes de promoção, agregação de valor e aproximação com consumidores, empreendimentos gastronômicos e mercados institucionais. A execução do projeto também atende às diretrizes estratégicas do IDR-Paraná, especialmente no que se refere à promoção da segurança alimentar e nutricional, diversificação da produção rural, estímulo ao empreendedorismo rural e integração entre campo e cidade.
Diante disso, a Estação Gastronômica constitui uma ação essencial para fortalecer o desenvolvimento rural sustentável, aumentar a visibilidade dos produtos paranaenses, gerar oportunidades de renda e consolidar o Paraná como referência nacional em gastronomia de origem. Assim, sua execução é não apenas pertinente, mas estratégica para o avanço das políticas públicas voltadas à agricultura familiar e ao desenvolvimento territorial</t>
  </si>
  <si>
    <t>PRIMAVERA GASTRONOMICA</t>
  </si>
  <si>
    <t>Não definido</t>
  </si>
  <si>
    <t>OUTONO GASTRONÔMICO</t>
  </si>
  <si>
    <t>JAPURÁ</t>
  </si>
  <si>
    <t>INVERNO GASTRONÔMICO</t>
  </si>
  <si>
    <t>Capacitação de Egressos do PSS</t>
  </si>
  <si>
    <t>Introdução ao Serviço Público</t>
  </si>
  <si>
    <t xml:space="preserve">No dia 05 de janeiro, o IDR-Paraná receberá mais de 160 egressos convocados do Processos Seletivo Simplificado. A capacitação de novos egressos no serviço público é fundamental para assegurar a continuidade e a qualidade das políticas públicas. Ao ingressarem, esses profissionais passam a desempenhar funções diretamente relacionadas à execução de programas, ao atendimento à população e ao cumprimento das normas administrativas. Investir em sua formação inicial garante que atuem com segurança técnica, compreensão dos marcos legais e aderência aos procedimentos internos, reduzindo erros operacionais e fortalecendo a eficiência institucional. Além disso, a capacitação contribui para a construção de uma cultura organizacional sólida, alinhada aos princípios da administração pública e orientada à entrega de resultados à sociedade. </t>
  </si>
  <si>
    <t>ccandrade@idr.pr.gov.br</t>
  </si>
  <si>
    <t>Seminário RESTEC</t>
  </si>
  <si>
    <t>Apresentação dos trabalhos desenvolvidos pelos residentes.</t>
  </si>
  <si>
    <t>A realização do Seminário de Residentes Técnicos do IDR-Paraná justifica-se pela necessidade de consolidar a formação prática dos participantes e de promover a integração institucional entre os residentes, chefes regionais e assessores das áreas de pesquisa. O evento constitui um espaço qualificado para a apresentação dos trabalhos desenvolvidos ao longo do programa, permitindo avaliar a aplicação dos conhecimentos adquiridos, a consistência metodológica das atividades executadas e o alinhamento das entregas às demandas do Instituto.</t>
  </si>
  <si>
    <t>Seminário de Pós-Graduação</t>
  </si>
  <si>
    <t>Apresentação de estudos de pós-graduação sendo realizados por servidores do IDR-Paraná.</t>
  </si>
  <si>
    <t>A realização do Seminário de Servidores Pós-Graduandos do IDR-Paraná fundamenta-se na necessidade de valorizar, socializar e integrar os conhecimentos produzidos pelos profissionais da instituição em seus cursos de especialização, mestrado ou doutorado. Ao apresentar seus temas de pesquisa, os servidores fortalecem a disseminação interna de informações qualificadas, ampliam o diálogo técnico entre áreas e contribuem para a atualização contínua das práticas institucionais.
O seminário também cumpre a função estratégica de aproximar a formação acadêmica das demandas reais do Instituto, permitindo que gestores, chefias regionais e equipes técnicas identifiquem potenciais aplicações dos estudos em andamento. Essa circulação de conhecimento favorece a inovação, aprimora processos de trabalho e reforça a capacidade do IDR-Paraná de responder de forma mais eficiente e fundamentada às necessidades da agricultura e do desenvolvimento rural no Estado. Por fim, a iniciativa incentiva a valorização dos servidores, estimulando a formação continuada e consolidando um ambiente institucional comprometido com a qualificação técnica e com a excelência na prestação de serviços públicos.</t>
  </si>
  <si>
    <t>Metodologia Paranavaí Módulo III - Caracterização do espaço de atuação do extensionista</t>
  </si>
  <si>
    <t>Capacitação em Metodologias para a Extensão Rural</t>
  </si>
  <si>
    <t>Dar seguimento ao curso que fora adiado em 2025. Este segmento apresenta a pesquisa de dados sobre o espaço geográfico de atuação do extensionista no que tange os aspectos físicos, econômicos, ambientais e sociais, permitindo ao extensionista a compreensão da sua ocupação e  transformação. A compreensão destes aspectos que integram um recorte geográfico permite ao extensionista a adoção de estratégias adequadas para sua atuação, priorizando as necessidades dos agricultores familiares e suas organizações.</t>
  </si>
  <si>
    <t>vetemau@gmail.com</t>
  </si>
  <si>
    <t>Saúde mental no e pelo trabalho</t>
  </si>
  <si>
    <t>UNICENTRO Campus Irati</t>
  </si>
  <si>
    <t>Saúde mental , bem estar no trabalho, integração da equipe</t>
  </si>
  <si>
    <t>Na região há muitos servidores sofrendo por problemas de depressão , ansiedade com uso de medicamentos</t>
  </si>
  <si>
    <t>40º Congresso Brasileiro de Nematologia</t>
  </si>
  <si>
    <t>Pernambuco</t>
  </si>
  <si>
    <t>Recife</t>
  </si>
  <si>
    <t xml:space="preserve">Nematologia Agrícola </t>
  </si>
  <si>
    <t>No IDR-Paraná, a pesquisa com defesa hormonal, de genes de resistência/suscetibilidade e da percepção das defesas vegetais contra o ataque de nematoides tem sido realizada no Laboratório de Biotecnologia. Investir na capacitação nesta temática é garantir que o IDR-Paraná elenque no cenário brasileiro entre os geradores de conhecimento molecular (que são poucos grupos, quando se trata de nematologia molecular), além de proporcionar inúmeras possibilidades de aprendizado e parcerias científicas.</t>
  </si>
  <si>
    <t>XX Congresso Brasileiro de Fisiologia Vegetal</t>
  </si>
  <si>
    <t>Petrolina</t>
  </si>
  <si>
    <t>Fisiologia Vegetal, defesa vegetal</t>
  </si>
  <si>
    <t>Será a primeira oportunidade de capacitação do servidor neste evento. Nos últimos anos o IDR-Paraná tem desenvolvido trabalhos com fisiopatologia da interação planta - nematoides, já gerando publicação de caráter inédito da participação de fitormônio (ABA) de defesa contra estresses abióticos desempenhando papel na defesa contra estes parasitas. Atualmente as pesquisas com ABA estão afunilando e com outros fitormônios estão em condução, o que demonstra a importância da participação da instituição neste congresso, como geradora de conhecimento e potencial colaboradora com outras instituições brasileiras para o desenvolvimento científico.</t>
  </si>
  <si>
    <t>Dhalton Shiguer Ito
Orazilia França Dorigo</t>
  </si>
  <si>
    <t>Sociedade Brasileira de Nematologia</t>
  </si>
  <si>
    <t>Pesquisa em nematologia</t>
  </si>
  <si>
    <t>Este é principal evento relacionado à especialidade de trabalho dos participantes. Reúne a cada dois anos os maiores especialistas da área para discutir atualidades e apresentar resultados de pesquisa. É uma grande oportunidade para atualização de conhecimentos.</t>
  </si>
  <si>
    <t>Fruticultura irrigada Petrolina</t>
  </si>
  <si>
    <t>Fruticultura irrigada (Viticultura, frutas tropicais); estrutura para exportação (colheita, pos colheita e logística). Produtores referenciais, Embrapa Semi-Arido, visita a empresas e unidade de produção de frutas.</t>
  </si>
  <si>
    <t>A realidade paranaense de produção de frutas permite em função da diversidade climatica e de solos, produzir frutas temperadas e tropicais. A proximidade de mercados e a estrutura de aeroportos e de portos, permite buscar estruturar fomento as fruticultura também para exportação. Pois permite maior estabilidade aos produtores, pela diversificação de mercados, além de buscar melhor produção com sustentabilidade e segurança alimentar. Melhorando toda a cadeia produtiva da fruticultura, com produtividade e qualidade, A região Nordeste também trabalhamos muito adiantados no pós colheita e frutas destinadas a exportação como mesmo logística. O intercambio com a Embrapa Semi árido, permite buscar atualizar nos conhecimentos gerados pela instituição e buscar adaptar a realidade paranaense, nos seus diferentes biomas.</t>
  </si>
  <si>
    <t>22o. Simpósio de Estatística Aplicada à Experimentação Agronômica (SEAGRO)</t>
  </si>
  <si>
    <t>Inês Fumiko Ubukata Yada</t>
  </si>
  <si>
    <t>Regional Brasileira da Sociedade Internacional de Biometria (RBras)</t>
  </si>
  <si>
    <t>Rio de Janeiro</t>
  </si>
  <si>
    <t>Campos dos Goytacazes</t>
  </si>
  <si>
    <t>Estatística e Ciência de Dados a serviço do Desenvolvimento Sustentável.</t>
  </si>
  <si>
    <t>A participação no  simpósio organizado pelo Regional Brasileira da Sociedade Internacional de Biometria (RBras) é  importante para o desenvolvimento das minhas atividades na instituição.</t>
  </si>
  <si>
    <t>XLV Reunião Brasileira de Pesquisa em Aveia</t>
  </si>
  <si>
    <t xml:space="preserve">Josiane Cristina de Assis Aliança </t>
  </si>
  <si>
    <t>UNIPAMPA; SETREM: UFRGS: EPAGRI</t>
  </si>
  <si>
    <t>Rio Grande do Sul</t>
  </si>
  <si>
    <t>Itaqui</t>
  </si>
  <si>
    <t>Apresentações de resultados dos ensaios de rede da Comissão Brasileira de Pesquisa em Aveia</t>
  </si>
  <si>
    <t>Apresentação de trabalhos relativos aos ensaios cooperativos da Comissão Brasileira de Pesquisa de Aveia. Os trabalhos foram conduzidos no IDR - Paraná, em Ponta Grossa e Santa Tereza do Oeste;</t>
  </si>
  <si>
    <t xml:space="preserve">64º Congresso da Sociedade Brasileira de Economia, Administração e Sociologia Rural e XVI Congresso Mundial de Sociologia Rural </t>
  </si>
  <si>
    <t>Porto Alegre</t>
  </si>
  <si>
    <t>Políticas para a Natureza, Alimentação e Nutrição em tempos de incerteza e mudanças climáticas</t>
  </si>
  <si>
    <t>A temática central do evento, “Políticas para a Natureza, Alimentação e Nutrição em tempos de incerteza e mudanças climáticas”, dialoga diretamente com os desafios enfrentados pelo cooperativismo da agricultura familiar no Paraná. A participação dos técnicos permitirá absorver novas metodologias de intervenção em cooperativas e associações; aprofundar a compreensão sobre as tendências de políticas públicas aplicáveis ao cooperativismo; atualizar técnicas de organização social, governança, planejamento e gestão; incorporar práticas inovadoras que podem fortalecer os programas executados pelo IDR-Paraná; aproximar a Área de Organizações Sociais e Mercados das fronteiras do conhecimento rural contemporâneo. Isso se traduz em assessoria mais qualificada, diagnósticos mais consistentes e maior precisão nas orientações dadas às cooperativas atendidas.</t>
  </si>
  <si>
    <t>klever@idr.pr.gov.br</t>
  </si>
  <si>
    <t>XVL Reunião da Comissão Brasileira de Pesquisa de Aveia</t>
  </si>
  <si>
    <t>Klever Márcio Antunes Arruda, Carlos Roberto Riede</t>
  </si>
  <si>
    <t>Unipampa</t>
  </si>
  <si>
    <t>A Reunião da Comissão Brasileira de Pesquisa de Aveia (RCBPA) é o principal evento da cultura da aveia do país e reúne representantes das áreas de pesquisa, ensino, extensão, empresas processadoras e produtores rurais. Nessa reunião serão discutidos assuntos relacionados ao melhoramento genético e ao cultivo das aveias com suas diferentes aptidões (granífera, forrageira e de cobertura do solo).</t>
  </si>
  <si>
    <t>Além de palestras técnicas, na RCBPA são apresentados resultados de ensaios de competição de cultivares e ensaios de Valor de Cultivo e Uso (VCU) conduzidos, na safra anterior, pelas instituições credenciadas junto à Comissão Brasileira de Pesquisa de Aveia (CBPA). Adicionalmente, a reunião é utilizada para o planejamento de ensaios (Cultivares e Linhagens) que serão conduzidos ano agrícola corrente.
Por fim, na RCBPA são apresentadas e avaliadas, pelas instituições credenciadas, entre as quais o IDR-Paraná, todas as propostas de lançamento de novas cultivares de aveia..
A RCBPA é, portanto, uma ótima oportunidade de atualização técnico-científica e intercâmbio de informações de interesse aos projetos de pesquisa com Cereais de Inverno em andamento no IDR-Paraná.</t>
  </si>
  <si>
    <t>Aprovado (observar que se trata da mesma solicitação de Carlos Alberto Riede)</t>
  </si>
  <si>
    <t>Carlos Roberto Riede e Klever Márcio Antunes Arruda</t>
  </si>
  <si>
    <t>Unipampa - Campus de Itaqui - RS</t>
  </si>
  <si>
    <t>Atualização dos Dados de Pesquisa com Aveia no Brasil.</t>
  </si>
  <si>
    <t xml:space="preserve">Comissão Brasileira de Pesquisa de Aveia (CBPA) tem por finalidade coordenar, planejar e analisar os trabalhos de pesquisa de aveia realizados no país. Para isso, reúne-se anualmente com a missão de divulgar os resultados alcançados nas pesquisas recentes através da apresentação de trabalhos na forma oral ou como pôster. Adicionalmente, assuntos de relevância à cadeia produtiva deste cereal são apresentados e discutidos em palestras e painéis temáticos com renomados profissionais do Brasil. Serão apresentados dados de Experimentos com Aveia Granífera, conduzidos pelo IDR-Paraná, visando recomendação de futuras cultivares. </t>
  </si>
  <si>
    <t>Viticultura (Orgânica) e Fruticultura Serra Gaucha</t>
  </si>
  <si>
    <t>Emater Tche/Embrapa</t>
  </si>
  <si>
    <t>Bento Gonçalves</t>
  </si>
  <si>
    <t>produção orgânica de viticultura, tratos culturais, sistemas de condução, fitossanidade, tecnologia de aplicação, colheita mecânica, mecanização, sistema de comercialização, estrutura cooperativista. Pesquisa e extensão e atuação das entidades parceiras e desenvolvimento de projetos.</t>
  </si>
  <si>
    <t>Produção Orgânica Viticultura (REVITIS) e outras frutas. Região concentrada produção de frutas de caroço, caqui, Kiwi com alta nível tecnológico, e intensa participação de agricultura familiar. Alto grau de participação de cooperativas e empresas que  atuam tanto a nivel agroindustrial como para produção para mesa. Frutas destinadas além de mercado interno e externo. Participação integrado de pesquisa Universidade e da Embrapa e atuação junto com Emater. Visita tecnica para estruturação do trabalhos de fruticultura temperada, com ampliação de parceiros comerciais, e suporte ao plano de desenvolvimento nas regiões paranaenses, para expansão da fruticultura.</t>
  </si>
  <si>
    <t>64o. Congresso da Sociedade Brasileira de Economia, Administração e Sociologia Rural - SOBER</t>
  </si>
  <si>
    <t>Tiago Pellini, Norma Kiyota e Tiago Santos Telles</t>
  </si>
  <si>
    <t>Sociedade Brasileira de Economia, Administração e Sociologia Rural - SOBER</t>
  </si>
  <si>
    <t>Economia, Sociologia e Administração Rural.</t>
  </si>
  <si>
    <t>A participação é fundamental para a equipe da ASE para fortalecer as pesquisas desenvolvidas no IDR-Paraná nas áreas de economia e sociologia rural. O evento representa uma oportunidade para atualização científica sobre metodologias, integração com redes de pesquisa nacionais e internacionais, divulgação dos resultados obtidos e capacitação técnica para aplicação de abordagens inovadoras em projetos relacionados à produção sustentável, cadeias produtivas e desenvolvimento rural. Essa participação contribui diretamente para qualificar as análises socioeconômicas realizadas, alinhando-se às metas institucionais de geração de conhecimento e suporte à tomada de decisão no setor agropecuário.</t>
  </si>
  <si>
    <t>clandio@idr.pr.gov.br</t>
  </si>
  <si>
    <t>Programa de Fruticultura (Pesquisa)</t>
  </si>
  <si>
    <t>XIX ENFRUTE</t>
  </si>
  <si>
    <t>Clandio Medeiros da Silva, Evandro Garlet, Clóvis Roberto Hoffmann</t>
  </si>
  <si>
    <t>EPAGRI</t>
  </si>
  <si>
    <t>Santa Catarina</t>
  </si>
  <si>
    <t>Fraiburgo</t>
  </si>
  <si>
    <t>Fruticultura temperada</t>
  </si>
  <si>
    <t>Sou pesquisador em fruticultura e assessor estadual de fruticultura</t>
  </si>
  <si>
    <t>XXXV Congresso Brasileiro de Milho e Sorgo</t>
  </si>
  <si>
    <t>ABMS - Associação Brasileira de Milho e Sorgo</t>
  </si>
  <si>
    <t>Chapecó</t>
  </si>
  <si>
    <t>Tecnologias para manejo da cultura do milho em relação ao melhoramento genético, fitossanidade e mercado.</t>
  </si>
  <si>
    <t>Sou Assessor do programa grãos: soja e milho e sócio da ABMS - Associação brasileira de Milho e Sorgo. Pretendo levar dois resumos científicos para apresentar no evento, além de atualizar meus conhecimentos sobre a cultura do milho.</t>
  </si>
  <si>
    <t>XXVIII Simpósio de Plantas Medicinais do Brasil (SPMB)</t>
  </si>
  <si>
    <t>Sociedade Brasileira de Plantas Medicinais</t>
  </si>
  <si>
    <t>Itajaí</t>
  </si>
  <si>
    <t>Plantas medicinais, aromáticas e condimentares</t>
  </si>
  <si>
    <t>Trata-se do principal evento nacional dedicado exclusivamente às plantas medicinais, envolvendo pesquisa fitoquímica, etnobotânica, biotecnologia vegetal e desenvolvimento de aplicações farmacêuticas e agrícolas. A capacitação permitirá:
Atualização técnico-científica em metodologias de extração, análise e padronização de princípios ativos;
Fortalecimento de redes de colaboração com universidades e instituições de pesquisa de referência;
Acesso a tecnologias e conhecimentos diretamente aplicáveis aos projetos em curso na instituição;
Articulação de parcerias para desenvolvimento de bioprodutos e fomento à pesquisa aplicada.</t>
  </si>
  <si>
    <t>Prêmio Queijo Brasil</t>
  </si>
  <si>
    <t>Blumenau</t>
  </si>
  <si>
    <t xml:space="preserve">
A temática da participação no Prêmio Queijo Brasil 2025 centra-se na imersão técnico-profissional na cadeia produtiva de queijos artesanais, contemplando desde os processos de fabricação e maturação, boas práticas sanitárias, técnicas de harmonização e negócios, até arranjos logísticos para transporte, acondicionamento e certificação de produtos. A programação inclui oficinas práticas, palestras sobre produção, comercialização, inovação e gestão, bem como rodadas de negócios e avaliações sensoriais/conformidade — oferecendo uma visão integrada dos desafios e oportunidades do setor.</t>
  </si>
  <si>
    <t xml:space="preserve">A participação dos técnicos do IDR-Paraná nos eventos técnicos correlatos ao Prêmio Queijo Brasil, além de permitir acesso a conteúdos técnicos de excelência, viabiliza a logística e o suporte necessário à participação dos queijos produzidos por nossos assistidos no concurso. A participação no evento contribui para  compreender tendências de qualidade e inovação, além de assegurar o transporte, acondicionamento e compliance necessários para que os produtos cheguem em condições ideais.
Os resultados recentes demonstram a relevância da participação na consolidação da cultura queijista paranaense: em 2025, o Paraná obteve 165 premiações no Prêmio Queijo Brasil, um crescimento de 27,9% em relação ao ano anterior.  Em 2024 haviam sido 129 queijos premiados, distribuídos entre 41 produtores familiares diferentes.  Esses resultados traduzem não apenas o reconhecimento da qualidade dos queijos, mas o reflexo do acompanhamento técnico, da assistência e do apoio institucional, condições que tendem a se reforçar com a presença ativa dos técnicos nos eventos.
Portanto, a presença da equipe técnica no Prêmio Queijo Brasil assegura: i) suporte direto aos produtores assistidos, ii) consolidação de processos logísticos dos produtos, iii) acesso a aprendizado técnico avançado, benchmarking e redes de conhecimento, iv) maior assertividade nas orientações de boas práticas e conformidade e, consequentemente, v) ampliação das chances de sucesso das agroindústrias familiares em concursos e no mercado formal. </t>
  </si>
  <si>
    <t>5 FRUSUL - Simposio Fruticultura da Região Sul</t>
  </si>
  <si>
    <t>epagri</t>
  </si>
  <si>
    <t>trabalhos de pesquisa, palestras, desenvolvido por universidades e instituições de pesquisa da região Sul. Atualização e conhecer os resultados de pesquisas das entidades dentro da região Sul, permitindo que o conhecimento gerado, possa ser apropriado ou trocar experiencias para soluções inovadoras ou adaptações para agricultores paranaenses.</t>
  </si>
  <si>
    <t>Construir uma rede de pesquisadores e extensionistas para suporte aos trabalhos em andamentos no Estado. Apropriando se de resultados para possíveis adaptações ou validação em território paranaense. O conhecimento gerado no simpósio possa inserir nas capacitações geradas pelo IDR Paraná para processo de difusão de tecnologias.</t>
  </si>
  <si>
    <t>Produção e comercialização de Pitaya na Epagri</t>
  </si>
  <si>
    <t>Epagri</t>
  </si>
  <si>
    <t>fisiologia, fitotecnia, melhoramento genético, fitossanidade, sistemas de condução, manejo de solo e agua, colheita e pos colheita.</t>
  </si>
  <si>
    <t>Na cadeia produtiva da pitaya, a Epagri vem se destacando com equipe de pesquisadores e extensionistas que vem dando suporte aos polos de produção. Já estivemos no Simpósio Brasileiro de Pitaya em Santa Catarina, estão com muita pesquisa sendo feita na cultura. Para o IDR Paraná, permitira melhorar o conhecimento e montar futuras parceiras em pro da cadeia produtiva. O cultivo de pitaya vem avançando, com novos sistema de produção. Porem a Epagri tem equipe de pesquisadores completa. Com essa integração nos permitira, ter mais avanços tecnologicos.</t>
  </si>
  <si>
    <t>Produção e comercialização de banana EPAGRI</t>
  </si>
  <si>
    <t>Variedades, Fisiologia, Nutrição e adubação, fitossanidade, tratos culturais, colheita, pos colheita</t>
  </si>
  <si>
    <t>Extensionistas que estão presentes nos polos de produção, já fizeram a capacitação dentro do IDR Paraná, e vem atuando na cultura. O objetivo conhecer polo de produção, e transferência de tecnologia feita pela Epagri, referencia na área do conhecimento. Com esse aprimoramento, permitira avançar na cadeia produtiva da banana dentro o Estado do Paraná. Com atuação principalmente nos polos de produção.</t>
  </si>
  <si>
    <t>35º Congresso Nacional de Milho e Sorgo  1ª Conferência Latino Americana sobre milhos tradicionais,</t>
  </si>
  <si>
    <t>ABMS - ASSOCIAÇÃO BRASILEIRA DE MILHO E SORGO</t>
  </si>
  <si>
    <t>Informações com foco na importância genética, técnica, científica, cultural e social da espécie milho, notadamente os milhos Crioulos, importantes na segurança alimentar e na sustentabilidade agrícola”</t>
  </si>
  <si>
    <t>A cultura do milho é estratégica para a agricultura paranaense e brasileira, sendo foco constante em nossos projetos de pesquisa, cujos resultados devem ser compartilhados no meio científico. O evento, localizado a apenas 135 km de Pato Branco, ocorrerá em uma região polo de produção animal, com programação voltada às cadeias de aves, suínos e bovinocultura de leite. Essa integração entre agricultura e pecuária amplia o conhecimento e fortalece a atuação do IDR-Paraná nas principais cadeias produtivas.</t>
  </si>
  <si>
    <t>XIX Enfrute e III SEMCO</t>
  </si>
  <si>
    <t>fruticultura temperada (Maçã, Pêssego, Nectarina, Ameixa) atualizações de tratos culturais, fitossanitários, poda, insumos.</t>
  </si>
  <si>
    <t>Atualização em fruticultura temperadas num dos principais polos de produção do país, além das acesso resultados de pesquisas mais recentes, para extensionistas e pesquisadores atuarem nos polos de produção paranaenses. A fruticultura temperada tem potencial para desenvolver nas regiões Metropolitana, Centro Sul, Guarapuava e parte de Pato Branco.  Estes extensionistas e pesquisadores estarão a frente das capacitações para outros servidores do IDR Paraná e parceiros (cooperativas, secretarias municipais de agricultura, autônomos, e empresas), além de difusão juntos aos agricultores familiares ç.</t>
  </si>
  <si>
    <t>SUL LEITE</t>
  </si>
  <si>
    <t>Neste evento serão abordados os temas relacionados a cadeia leiteira bem como novidades e perspectivas para a cadeia.</t>
  </si>
  <si>
    <t>O sudoeste do Paraná é a principal região produtora de leite do estado do Paraná e a participação nas palestras deste evento nacional proporcionarão uma visão atualizada da cadeia produtiva do leite. Será também um momento de realizar networking e iniciar/ampliar parcerias com demais intituições nas pesquisas com o leite a pasto e redução de custos no sistema produtivo.</t>
  </si>
  <si>
    <t>35º Congresso Nacional de Milho e Sorgo</t>
  </si>
  <si>
    <t>O evento tem como propósito fomentar o intercâmbio de conhecimento, fortalecer parcerias e apontar caminhos concretos para o futuro da cadeia produtiva do milho e do sorgo no Brasil. O evento é reconhecido como o principal espaço de encontro entre ciência, inovação e a prática produtiva, voltado ao fortalecimento da cadeia do milho e do sorgo no Brasil.</t>
  </si>
  <si>
    <t>A cultura do milho é de extrema relevância para a agricultura paranaense/brasileira e as inovações para o fortalecimento da cadeia produtiva precisam ser conhecidas e aplicadas em nossas pesquisas. Em todos os projetos que atuo avaliamos a cultura do milho com contribuições a serem compartilhadas no âmbito científico. O local do evento está a 135 km de Pato Branco e a região é também polo de produção animal, por isso a programação terá foco nas cadeias produtivas de proteína animal como aves, suínos e bovinocultura de leite, o que agrega ainda mais conhecimento para nossa instituição.</t>
  </si>
  <si>
    <t xml:space="preserve">Curso de Processamento de Uva </t>
  </si>
  <si>
    <t>Videira</t>
  </si>
  <si>
    <t>A capacitação aborda os fundamentos do processamento de uvas e derivados, contemplando os requisitos legais aplicáveis, a seleção e manejo da matéria-prima, as práticas de higiene e sanitização e as bases tecnológicas para a elaboração de vinhos branco, tinto, rosé e espumantes. O conteúdo integra aulas teóricas e práticas, incluindo ainda a produção de vinagre, graspa e brandy, proporcionando uma visão completa e aplicada dos processos enológicos essenciais às agroindústrias familiares.</t>
  </si>
  <si>
    <t xml:space="preserve">A capacitação em processamento de uva e elaboração de vinhos e derivados é uma ação estratégica para a qualificação atuação do IDR-Paraná junto às agroindústrias familiares que produzem ou pretendem produzir vinhos, sucos e outros derivados. A agricultura familiar tem a possibilidade de regularização do empreendimento através da Lei do Vinho Colonial, que amplia as possibilidades de regularização e comercialização desses produtos, mas exige dos técnicos um domínio aprofundado dos requisitos legais, tecnológicos e sanitários inerentes ao processo.
O curso oferece uma formação da legislação à vinificação em seus diferentes estilos, passando pela qualidade da matéria-prima, higienização e sanitização, e pela produção de vinagre, graspa e brandy, permitindo que os participantes desenvolvam competências capazes de elevar o padrão técnico da assistência prestada. Esse repertório é essencial para orientar adequações produtivas, melhorar a qualidade sensorial e sanitária dos produtos e apoiar os agricultores familiares no acesso ao mercado formal com segurança e competitividade.
Além da assistência direta aos produtores, os técnicos participantes deverão assumir o compromisso de atuar como multiplicadores do conhecimento, repassando metodologias, orientações e práticas a outros profissionais do IDR-Paraná. Essa estratégia de difusão interna amplia o alcance da capacitação e padroniza a atuação técnica. </t>
  </si>
  <si>
    <t>Congresso Técnico-Científico de Agricultura Orgânica 2026</t>
  </si>
  <si>
    <t>UNICAMP</t>
  </si>
  <si>
    <t>São Paulo</t>
  </si>
  <si>
    <t>CAMPINAS</t>
  </si>
  <si>
    <t>Agricultura Orgânica</t>
  </si>
  <si>
    <t>É de grande importância que o IDR-Paraná se mantenha a par das inovações dentro da esfera da Agricultura Orgânica, principalmente para o comprimento das metas governamentais assumidas para 2030 do Paraná mais orgânico. É portanto necessário acompanhar o que vem acontecendo dentro das esferas técnicos científicas para estarmos em consonância com o que a comunidade científica e do que o mundo em geral espera que seja gerado dentro da agricultura orgânica.</t>
  </si>
  <si>
    <t>RH Summit</t>
  </si>
  <si>
    <t>Camila Cristina Negrão de Andrade, Jairo da Silva Rocha, Sandra Mara Guedes</t>
  </si>
  <si>
    <t>Evento que irá reunir influenciadores e líderes de diversas empresas no setor de RH para troca de experiências e palestras.</t>
  </si>
  <si>
    <t>O evento, por reunir influenciadores e líderes da área de RH, será uma oportunidade única para os cargos administrativos do RH do IDR atualizarem seus conhecimentos sobre as principais tendências do setor no em assuntos como liderança, recrutamento e gestão de pessoas, além de poder proporcionar troca de experiências com demais pessoas em cargos de RH de todo o Brasil.</t>
  </si>
  <si>
    <t>Congresso Brasileiro de Agroecologia</t>
  </si>
  <si>
    <t>Paulo Sérgio Beraldo, Valdinei Garcia Fernandes, Luiza Rocha Ribeiro Calixtro, Maurício Castro Alves</t>
  </si>
  <si>
    <t>Campinas</t>
  </si>
  <si>
    <t>Trabalhos técnicos científicos do sistema de produção agro ecológico nacional e intercâmbio de casos de sucesso.</t>
  </si>
  <si>
    <t>A região tem como prioridade a produção orgânica certificada e a participação e atualização da ciência e caminhos dos sistemas agro ecológico é necessário para ajustes estratégicos regionais.</t>
  </si>
  <si>
    <t>Feira de Pecuária de Corte (FEICORTE)</t>
  </si>
  <si>
    <t>Presidente Prudente</t>
  </si>
  <si>
    <t>Tecnologias de produção voltadas a pecuária de corte (manejo da criação, pastagens, genética).</t>
  </si>
  <si>
    <t>O IDR-Paraná participa no processo de desenvolvimento da pecuária de corte regional via Conselho de Sanidade Agropecuária e do projeto Pecuária Moderna por isso a necessidade de qualificação e atualização técnica permanente.</t>
  </si>
  <si>
    <t>Qualificação no Sistema de Manejo da Pecuária de Corte 7-7-7 - BEEFDAY</t>
  </si>
  <si>
    <t>APTA - São Paulo</t>
  </si>
  <si>
    <t>Colina</t>
  </si>
  <si>
    <t>Manejo sustentável da pecuária de corte</t>
  </si>
  <si>
    <t>O IDR-Paraná participa do Conselho de Sanidade Agro Pecuária e do Projeto de Pecuária Moderna e é importante à qualificação de nossa equipe nas novidades do setor.</t>
  </si>
  <si>
    <t>Congr Téc Científico de Agricultura Orgânica</t>
  </si>
  <si>
    <t>UNICAMP-SP, Instituto Brasil Orgânico (IBO)</t>
  </si>
  <si>
    <t>Agricultura e pecuária orgânica</t>
  </si>
  <si>
    <t>Como pesquisador que atua na produção de leite orgânico aqui na Estação de Pesquisa em Agroecologia é fundamental estar atualizado sobre o tema da produção orgânica, e este congresso, tem esta finalidade</t>
  </si>
  <si>
    <t xml:space="preserve">Produção de Bioinsumos em meio Sólido </t>
  </si>
  <si>
    <t>Avaré</t>
  </si>
  <si>
    <t>Sistema de produção de material para produção de bioinsumos em meio sólido</t>
  </si>
  <si>
    <t xml:space="preserve">A visita ao IFSP é importante para os técnicos conhecerem como é o sistema de produção dos materiais que são utilizados para a produção dos bioinsumos em meio sólido. </t>
  </si>
  <si>
    <t>HORTITEC 2026</t>
  </si>
  <si>
    <t>Empresas do setor horticultura</t>
  </si>
  <si>
    <t>holambra</t>
  </si>
  <si>
    <t xml:space="preserve">Inovações e novas tecnologias </t>
  </si>
  <si>
    <t>A Hortitec é a maior feira  da horticultura da América Latina, onde são apresentadas as novidades e inovações tecnológicas para o setor. Nossos técnicos participaram em 2025 e trouxeram muitas informações importantes e também muitos contatos com empresas do setor que estão resultando em parcerias e implantação de unidades de observações na região.</t>
  </si>
  <si>
    <t>Primeiro Congresso Técnico-Científico de Agricultura Orgânica,</t>
  </si>
  <si>
    <t>Instituto Brasil Orgânico</t>
  </si>
  <si>
    <t xml:space="preserve">Discussão técnica e apresentação de resultados de pesquisa em agricultura orgânica, incluindo as palestras no tema. Como </t>
  </si>
  <si>
    <t>Como o nome diz, é evento técnico-científico, preenchendo uma lacuna que existia pela falta de um evento atual com esse foco na produção orgânica. É o principal evento nacional para discussão de pesquisas, resultados, técnicas, troca de experiências e interação com profissionais efetivamente comprometidos com a produção orgânica. Talvez seja o único evento atualmente onde a produção orgânica pode ser discutida tecnicamente a nível de pesquisa e discussão dos avanços tecnológicos. Dado o prazo limite para envio de resumos, já foram enviados dois trabalhos para divulgação no evento.</t>
  </si>
  <si>
    <t>The 10th International Symposium on Soil Organic Matter (SOM2026)</t>
  </si>
  <si>
    <t>ESALQ</t>
  </si>
  <si>
    <t>Discussão da matéria orgânica no solo, como acumular matéria orgânica. Pensando nos efeitos de plantas de cobertura e seu consórcio, se torna altamente relevante pela temática</t>
  </si>
  <si>
    <t>Dado os trabalhos com acúmulo de matéria orgânica pelo mix de plantas de cobertura que estou conduzindo, o evento se torna relevante para a discussão desses resultados e observar trabalhos em áreas correlatas e complementares, buscando entender melhor a dinâmica e os resultados que estão sendo obtidos com o ensaio implantado. 
O International Symposium on Soil Organic Matter (SOM 2026) é o maior e mais importante congresso internacional dedicado à matéria orgânica do solo. Reúne, a cada dois anos, centenas de estudantes, pesquisadores e profissionais de diversas áreas ligadas à agricultura, indústria e academia. O evento apresenta pesquisas de ponta sobre tecnologias inovadoras e práticas sustentáveis relacionadas ao papel da matéria orgânica na fertilidade e saúde do solo, sequestro de carbono e sustentabilidade dos ecossistemas, além de discutir tendências de mercado e políticas públicas.
A conferência é um espaço central para o intercâmbio científico e para a divulgação de avanços acadêmicos e industriais. Em 2026, a 10ª edição do SOM será realizada em São Paulo — a primeira na América do Sul — organizada pelo Centro de Estudos em Carbono na Agricultura Tropical (CCARBON/USP), com apoio da FAPESP, USP e setor privado, em colaboração com a Sociedade Brasileira de Ciência do Solo (SBCS). O evento consolida-se como um polo global para o avanço da pesquisa e inovação em matéria orgânica do solo.</t>
  </si>
  <si>
    <t>grparanagua@idr.pr.gov.br</t>
  </si>
  <si>
    <t>Piscicultura (Extensão Rural)</t>
  </si>
  <si>
    <t>Capacitação em charcutaria de pescados</t>
  </si>
  <si>
    <t>Adriano Machado da Silva e Mariana Elisa Muller</t>
  </si>
  <si>
    <t>Projeto A.Mar</t>
  </si>
  <si>
    <t>Técnicas apuradas e refinadas sobre os processos e detalhes da produção de charcutaria (embutidos frescos e curados, defumação, emulsões, salumeria, fermentação, inoculações, equipamentos, controles e set up de câmaras) com alimentos do mar.</t>
  </si>
  <si>
    <t>O litoral do Paraná conta com cerca de 6.000 pescadores artesanais, cuja atividade é essencialmente extrativista e com baixa agregação de valor. A participação na capacitação em Charcutaria do Mar é importante para ampliar seu domínio sobre técnicas de processamento e transformação do pescado, permitindo orientar os pescadores na produção de itens de maior valor agregado, redução de perdas e diversificação de produtos. Essa capacitação fortalece a renda das comunidades pesqueiras e apoia o desenvolvimento sustentável da cadeia produtiva.</t>
  </si>
  <si>
    <t>São Paulo Coffee Festival</t>
  </si>
  <si>
    <t>sca</t>
  </si>
  <si>
    <t>São paulo</t>
  </si>
  <si>
    <t>Realizado pela Espresso&amp;CO em parceria com a Allegra Events, o festival nasceu em Londres há mais de uma década e já passou por cidades como Milão, Paris, Nova York e Los Angeles. Em São Paulo, volta com recorde de expositores, ativações culturais e uma imersão completa no universo do café especial — produto que movimenta a economia, o turismo e a criatividade brasileira.</t>
  </si>
  <si>
    <t>A participação no São Paulo Coffee Festival é fundamental para ampliar conhecimentos, fortalecer conexões profissionais e acompanhar as principais tendências do mercado de cafés especiais. O evento reúne produtores, torrefadores, baristas, fornecedores, marcas inovadoras e especialistas de renome, oferecendo uma oportunidade única de imersão em novas tecnologias, métodos de preparo, práticas de sustentabilidade e estratégias de negócio.</t>
  </si>
  <si>
    <t>Qualidade do café, análises sensoriais, torra.</t>
  </si>
  <si>
    <t>A participação no São Paulo Coffee Festival é essencial para o fortalecimento das atividades de pesquisa, capacitação e articulação institucional relacionadas à cafeicultura. O evento reúne especialistas, pesquisadores e produtores, constituindo um ambiente para atualização técnica e acompanhamento das principais tendências da cadeia de cafés especiais no Brasil. A participação permitira aprofundar o conhecimento em perfis sensoriais, inovações em torra, análise sensorial e tecnologias emergentes, aspectos diretamente vinculados aos projetos de pesquisa em andamento. Além disso, o evento favorece a construção de parcerias estratégicas com instituições e profissionais reconhecidos nacionalmente, ampliando o intercâmbio científico e promovendo oportunidades para futuras cooperações em um dos maiores eventos de qualidade do café no país.</t>
  </si>
  <si>
    <t>Simposio Brasileiro de Pitaya</t>
  </si>
  <si>
    <t>APPIBRAS</t>
  </si>
  <si>
    <t>fitotecnia, melhoramento, tratos culturais, polinização, colheita, pos colheita, comercialização</t>
  </si>
  <si>
    <t>O cultivo em expansão, com grande avanço na área tecnológica. Alto valor agregado que a cultura permite, além de domínio tecnológico, há possibilidade de avanço para exportação dessa fruta. O Idr-Parana vem trabalhando no desenvolvimento de cultivares. Além do Estado estar entre os principais produtores e adoradores de tecnologia em expansão. Distribuído em todo o Estado, concentrando na região Norte e Noroeste, como polos de produção.</t>
  </si>
  <si>
    <t>FERTBRASIL</t>
  </si>
  <si>
    <t>Nutrição de Plantas</t>
  </si>
  <si>
    <t>Evento científico  ligado à Nutrição de Plantas, a participação será importante para conhecimento e atualização das novas linhas de pesquisas em solos, será apresentado em pôster resultados de pesquisa do IDR-Paraná, bem como, participação em palestras, conferências e dialogar com cientistas da área. A experiência adquirida será importante para o desenvolvimento da pesquisa na área do solo pelo IDR no Paraná</t>
  </si>
  <si>
    <t xml:space="preserve"> International Congress on Advances in Sensory Science and Consumer Research</t>
  </si>
  <si>
    <t>O congresso tem foco em ciências de análises sensoriais, ferramenta necessária para as pesquisas em qualidade do café.</t>
  </si>
  <si>
    <t>A participação no International Congress on Advances in Sensory Science and Consumer Research é importante minha atuação como pesquisadora em qualidade do café no IDR-Paraná, pois o evento reúne os maiores especialistas nacionais e internacionais em ciência sensorial, apresentando metodologias avançadas diretamente aplicáveis às avaliações sensoriais e físico-químicas que realizamos no instituto. Além disso, o congresso será uma oportunidade para apresentar resultados de pesquisas desenvolvidas no IDR-Paraná, ampliando a visibilidade científica da instituição no cenário nacional. O evento também possibilita networking, formação de parcerias e incorporação de inovações que poderão ser replicadas e disseminadas internamente, garantindo retorno institucional.</t>
  </si>
  <si>
    <t>51ª Expocitros e 47ª Semana da Citricultura.</t>
  </si>
  <si>
    <t>IAC/FUNDECITRUS</t>
  </si>
  <si>
    <t>Cordeirópolis</t>
  </si>
  <si>
    <t>HLB/Greening, Variedades, porta enxertos, insumos, maquinas, fitossanidade</t>
  </si>
  <si>
    <t>A citricultura esta entre principais frutas produzidas no Estado. Há necessidade de conhecimento e atualização quanto a fitossanidade e Greening. No Centro de Citricultura é referencial em tecnologia e produção de citros. Principal evento da cadeia produtiva reunindo todos os elos da cadeia do setor agroindustrial, pesquisa, empresas de insumos. Nos polos de produção há necessidade de extensionistas atualizados frente as medidas de controle. do HLB e outras tecnologias.</t>
  </si>
  <si>
    <t>Hortitec 2026 - Holambra</t>
  </si>
  <si>
    <t>Holambra</t>
  </si>
  <si>
    <t>Insumos, equipamentos e maquinas, irrigação, Plasticultura, cultivo protegido, variedades, embalagens</t>
  </si>
  <si>
    <t>Atualização em insumos, equipamentos, maquinas, irrigação, plasticultura para fruticultura.</t>
  </si>
  <si>
    <t>Frutas Potenciais (Lichia, Caqui, Atemoia)</t>
  </si>
  <si>
    <t>CATI</t>
  </si>
  <si>
    <t>Mogi das Cruzes</t>
  </si>
  <si>
    <t>Sistemas de produção de frutas de alta qualidade para Lichia, Atemoia e Caqui. Da produção a comercialização.</t>
  </si>
  <si>
    <t>Regiões tradicionais de fruticultura, contribuir com desenvolvimento da fruticultura paranaense, com extensionistas instrutores para capacitação da Assistência técnica e agricultores familiares, cooperativas, além de fomentar as atividades potenciais  no Estado.</t>
  </si>
  <si>
    <t>Feicorte - Feira Internacional da Cadeia Produtiva da Carne</t>
  </si>
  <si>
    <t>Faep</t>
  </si>
  <si>
    <t>A Feicorte é a maior feira de indoor de gado de corte da América Latina, reunindo especialistas para discussão de temas relevantes para a cadeia produtiva.</t>
  </si>
  <si>
    <t>A participação de técnicos do IDR-Paraná no evento internacional é de extrema importância para atualização em temas pertinentes à bovinocultura de corte, troca de experiências com pesquisadores, produtores e outros técnicos envolvidos na atividade, para posterior repasse aos produtores assistidos, aplicação de técnicas que se adequem à realidade das propriedades de pecuária de corte.</t>
  </si>
  <si>
    <t>Nutrição de Bovinos de Corte</t>
  </si>
  <si>
    <t>Apta</t>
  </si>
  <si>
    <t>Formulação de dietas de precisão para bovinos de corte</t>
  </si>
  <si>
    <t xml:space="preserve">A capacitação tem como objetivo profissionalizar e fornecer ferramentas para avaliação e formulação de dietas de forma prática e estratégica para diferentes sistemas de produção, oportunizando melhoria na produtividade das propriedades assistidas pelo IDR-Paraná. </t>
  </si>
  <si>
    <t>Milk Pro Summit 2026</t>
  </si>
  <si>
    <t>Tiago Pellini</t>
  </si>
  <si>
    <t>Milkpoint</t>
  </si>
  <si>
    <t>Atibaia</t>
  </si>
  <si>
    <t>O Futuro do Leite (Bovinocultura de leite e mercado).</t>
  </si>
  <si>
    <t>Conteúdo de alto nível, com palestrantes nacionais e internacionais, que vão tratar de temas que já estão impactando a produção leiteira hoje e as tendências do futuro do setor, para apoia a 2a. fase do projeto de caracterização do leite no Paraná (2026) coordenado pelo pesquisador participante.</t>
  </si>
  <si>
    <t>miguelantonucci@idr.pr.gov.br</t>
  </si>
  <si>
    <t>Produção de Lambari em estufas no sistema RAS</t>
  </si>
  <si>
    <t xml:space="preserve">Não há </t>
  </si>
  <si>
    <t>Produção de Lambaris</t>
  </si>
  <si>
    <t xml:space="preserve">Capacitar e orientar técnicos envolvidos no programa de Piscicultura do IDR-Paraná para oportunidade de negócio existente, para que possam ter condições de apresentar e repassar conteúdo adquirido. E desta forma incentivar uma nova alternativa para cadeia. </t>
  </si>
  <si>
    <t>PRODUÇÃO DE PEIXES SISTEMA RAS</t>
  </si>
  <si>
    <t>NÃO HÁ</t>
  </si>
  <si>
    <t>PRODUÇÃO DE PEIXES TANQUES ELEVADOS ALTA DENSIDADE</t>
  </si>
  <si>
    <t>Modalidade de Sistema de produção altamente demandado por produtores, com pouco conhecimento dos técnicos. Necessidade de ampliar conhecimento do grupo de técnicos ativos no programa de piscicultura para atender esta demanda existente.</t>
  </si>
  <si>
    <t>vamoci@idr.pr.gov.br</t>
  </si>
  <si>
    <t>Pesquisa e Inovação</t>
  </si>
  <si>
    <t>Inovação e Comunicação Científica</t>
  </si>
  <si>
    <t>IX Congresso Brasileiro de Recursos Genéticos</t>
  </si>
  <si>
    <t>SOciedade Brasileira de Recursos Genéticos</t>
  </si>
  <si>
    <t>Florianópolis</t>
  </si>
  <si>
    <t>Recursos Genéticos - Conservação e Uso</t>
  </si>
  <si>
    <t>Atualizações para conservação, caractertização e documentação de recursos genéticos</t>
  </si>
  <si>
    <t>Extensão Rural</t>
  </si>
  <si>
    <t>Total geral</t>
  </si>
  <si>
    <t>Projetos e Cadeias Produtivas</t>
  </si>
  <si>
    <t>Políticas Públicas Total</t>
  </si>
  <si>
    <t>Sustentabilidade</t>
  </si>
  <si>
    <t>Extensão Rural Total</t>
  </si>
  <si>
    <t>Gestão Institucional</t>
  </si>
  <si>
    <t>Administração</t>
  </si>
  <si>
    <t>Finanças</t>
  </si>
  <si>
    <t>Recursos Humanos</t>
  </si>
  <si>
    <t>Gestão Institucional Total</t>
  </si>
  <si>
    <t>Pesquisa e Capacitação</t>
  </si>
  <si>
    <t>Pesquisa e Inovação Total</t>
  </si>
  <si>
    <t>Projetos e Cadeias Produtivas Total</t>
  </si>
  <si>
    <t>Sustentabilidade Total</t>
  </si>
  <si>
    <t>Administração Total</t>
  </si>
  <si>
    <t>Finanças Total</t>
  </si>
  <si>
    <t>Recursos Humanos Total</t>
  </si>
  <si>
    <t>Inovação e Comunicação Científica Total</t>
  </si>
  <si>
    <t>Pesquisa e Capacitação Total</t>
  </si>
  <si>
    <t>ACRE</t>
  </si>
  <si>
    <t>ALAGOAS</t>
  </si>
  <si>
    <t>AMAPÁ</t>
  </si>
  <si>
    <t>AMAZONAS</t>
  </si>
  <si>
    <t>BAHIA</t>
  </si>
  <si>
    <t>CEARÁ</t>
  </si>
  <si>
    <t>DISTRITO FEDERAL</t>
  </si>
  <si>
    <t>ESPÍRITO SANTO</t>
  </si>
  <si>
    <t>GOIÁS</t>
  </si>
  <si>
    <t>MARANHÃO</t>
  </si>
  <si>
    <t>MATO GROSSO</t>
  </si>
  <si>
    <t>MATO GROSSO DO SUL</t>
  </si>
  <si>
    <t>MINAS GERAIS</t>
  </si>
  <si>
    <t>PARÁ</t>
  </si>
  <si>
    <t>PARAÍBA</t>
  </si>
  <si>
    <t>PARANÁ</t>
  </si>
  <si>
    <t>PERNAMBUCO</t>
  </si>
  <si>
    <t>PIAUÍ</t>
  </si>
  <si>
    <t>RIO GRANDE DO NORTE</t>
  </si>
  <si>
    <t>RIO GRANDE DO SUL</t>
  </si>
  <si>
    <t>RIO DE JANEIRO</t>
  </si>
  <si>
    <t>RONDÔNIA</t>
  </si>
  <si>
    <t>RORAIMA</t>
  </si>
  <si>
    <t>SANTA CATARINA</t>
  </si>
  <si>
    <t>SÃO PAULO</t>
  </si>
  <si>
    <t>SERGIPE</t>
  </si>
  <si>
    <t>TOCANTINS</t>
  </si>
  <si>
    <t>EXTERIOR</t>
  </si>
  <si>
    <t>Acrelândia</t>
  </si>
  <si>
    <t>Água Branca</t>
  </si>
  <si>
    <t>Amapá</t>
  </si>
  <si>
    <t>Alvarães</t>
  </si>
  <si>
    <t>Abaíra</t>
  </si>
  <si>
    <t>Abaiara</t>
  </si>
  <si>
    <t>Afonso Cláudio</t>
  </si>
  <si>
    <t>Abadia de Goiás</t>
  </si>
  <si>
    <t>Açailândia</t>
  </si>
  <si>
    <t>Acorizal</t>
  </si>
  <si>
    <t>Água Clara</t>
  </si>
  <si>
    <t>Abadia dos Dourados</t>
  </si>
  <si>
    <t>Abaetetuba</t>
  </si>
  <si>
    <t>Abreu e Lima</t>
  </si>
  <si>
    <t>Acauã</t>
  </si>
  <si>
    <t>Acari</t>
  </si>
  <si>
    <t>Aceguá</t>
  </si>
  <si>
    <t>Angra dos Reis</t>
  </si>
  <si>
    <t>Alta Floresta D'Oeste</t>
  </si>
  <si>
    <t>Alto Alegre</t>
  </si>
  <si>
    <t>Abdon Batista</t>
  </si>
  <si>
    <t>Adamantina</t>
  </si>
  <si>
    <t>Amparo do São Francisco</t>
  </si>
  <si>
    <t>Abreulândia</t>
  </si>
  <si>
    <t>Afeganistão</t>
  </si>
  <si>
    <t>Assis Brasil</t>
  </si>
  <si>
    <t>Anadia</t>
  </si>
  <si>
    <t>Calçoene</t>
  </si>
  <si>
    <t>Amaturá</t>
  </si>
  <si>
    <t>Abaré</t>
  </si>
  <si>
    <t>Acarape</t>
  </si>
  <si>
    <t>Água Doce do Norte</t>
  </si>
  <si>
    <t>Abadiânia</t>
  </si>
  <si>
    <t>Afonso Cunha</t>
  </si>
  <si>
    <t>Água Boa</t>
  </si>
  <si>
    <t>Alcinópolis</t>
  </si>
  <si>
    <t>Abaeté</t>
  </si>
  <si>
    <t>Abel Figueiredo</t>
  </si>
  <si>
    <t>Aguiar</t>
  </si>
  <si>
    <t>Afogados da Ingazeira</t>
  </si>
  <si>
    <t>Agricolândia</t>
  </si>
  <si>
    <t>Açu</t>
  </si>
  <si>
    <t>Água Santa</t>
  </si>
  <si>
    <t>Aperibé</t>
  </si>
  <si>
    <t>Alto Alegre dos Parecis</t>
  </si>
  <si>
    <t>Amajari</t>
  </si>
  <si>
    <t>Abelardo Luz</t>
  </si>
  <si>
    <t>Adolfo</t>
  </si>
  <si>
    <t>Aquidabã</t>
  </si>
  <si>
    <t>Aguiarnópolis</t>
  </si>
  <si>
    <t>África do Sul</t>
  </si>
  <si>
    <t>Brasiléia</t>
  </si>
  <si>
    <t>Arapiraca</t>
  </si>
  <si>
    <t>Cutias</t>
  </si>
  <si>
    <t>Anamã</t>
  </si>
  <si>
    <t>Acajutiba</t>
  </si>
  <si>
    <t>Acaraú</t>
  </si>
  <si>
    <t>Águia Branca</t>
  </si>
  <si>
    <t>Acreúna</t>
  </si>
  <si>
    <t>Água Doce do Maranhão</t>
  </si>
  <si>
    <t>Alta Floresta</t>
  </si>
  <si>
    <t>Amambai</t>
  </si>
  <si>
    <t>Abre Campo</t>
  </si>
  <si>
    <t>Acará</t>
  </si>
  <si>
    <t>Alagoa Grande</t>
  </si>
  <si>
    <t>Afrânio</t>
  </si>
  <si>
    <t>Afonso Bezerra</t>
  </si>
  <si>
    <t>Agudo</t>
  </si>
  <si>
    <t>Araruama</t>
  </si>
  <si>
    <t>Boa Vista</t>
  </si>
  <si>
    <t>Agrolândia</t>
  </si>
  <si>
    <t>Aguaí</t>
  </si>
  <si>
    <t>Aracaju</t>
  </si>
  <si>
    <t>Aliança do Tocantins</t>
  </si>
  <si>
    <t>Albânia</t>
  </si>
  <si>
    <t>Bujari</t>
  </si>
  <si>
    <t>Ferreira Gomes</t>
  </si>
  <si>
    <t>Anori</t>
  </si>
  <si>
    <t>Adustina</t>
  </si>
  <si>
    <t>Acopiara</t>
  </si>
  <si>
    <t>Alegre</t>
  </si>
  <si>
    <t>Adelândia</t>
  </si>
  <si>
    <t>Alcântara</t>
  </si>
  <si>
    <t>Alto Araguaia</t>
  </si>
  <si>
    <t>Anastácio</t>
  </si>
  <si>
    <t>Acaiaca</t>
  </si>
  <si>
    <t>Afuá</t>
  </si>
  <si>
    <t>Alagoa Nova</t>
  </si>
  <si>
    <t>Agrestina</t>
  </si>
  <si>
    <t>Alagoinha do Piauí</t>
  </si>
  <si>
    <t>Água Nova</t>
  </si>
  <si>
    <t>Ajuricaba</t>
  </si>
  <si>
    <t>Areal</t>
  </si>
  <si>
    <t>Alvorada D'Oeste</t>
  </si>
  <si>
    <t>Bonfim</t>
  </si>
  <si>
    <t>Agronômica</t>
  </si>
  <si>
    <t>Águas da Prata</t>
  </si>
  <si>
    <t>Arauá</t>
  </si>
  <si>
    <t>Almas</t>
  </si>
  <si>
    <t>Alemanha</t>
  </si>
  <si>
    <t>Capixaba</t>
  </si>
  <si>
    <t>Barra de Santo Antônio</t>
  </si>
  <si>
    <t>Itaubal</t>
  </si>
  <si>
    <t>Apuí</t>
  </si>
  <si>
    <t>Água Fria</t>
  </si>
  <si>
    <t>Aiuaba</t>
  </si>
  <si>
    <t>Alfredo Chaves</t>
  </si>
  <si>
    <t>Água Fria de Goiás</t>
  </si>
  <si>
    <t>Aldeias Altas</t>
  </si>
  <si>
    <t>Alto Boa Vista</t>
  </si>
  <si>
    <t>Anaurilândia</t>
  </si>
  <si>
    <t>Açucena</t>
  </si>
  <si>
    <t>Água Azul do Norte</t>
  </si>
  <si>
    <t>Alagoinha</t>
  </si>
  <si>
    <t>Água Preta</t>
  </si>
  <si>
    <t>Alegrete do Piauí</t>
  </si>
  <si>
    <t>Alexandria</t>
  </si>
  <si>
    <t>Alecrim</t>
  </si>
  <si>
    <t>Armação dos Búzios</t>
  </si>
  <si>
    <t>Ariquemes</t>
  </si>
  <si>
    <t>Cantá</t>
  </si>
  <si>
    <t>Água Doce</t>
  </si>
  <si>
    <t>Águas de Lindóia</t>
  </si>
  <si>
    <t>Areia Branca</t>
  </si>
  <si>
    <t>Alvorada</t>
  </si>
  <si>
    <t>Andorra</t>
  </si>
  <si>
    <t>Barra de São Miguel</t>
  </si>
  <si>
    <t>Laranjal do Jari</t>
  </si>
  <si>
    <t>Atalaia do Norte</t>
  </si>
  <si>
    <t>Aiquara</t>
  </si>
  <si>
    <t>Alcântaras</t>
  </si>
  <si>
    <t>Alto Rio Novo</t>
  </si>
  <si>
    <t>Água Limpa</t>
  </si>
  <si>
    <t>Altamira do Maranhão</t>
  </si>
  <si>
    <t>Alto Garças</t>
  </si>
  <si>
    <t>Angélica</t>
  </si>
  <si>
    <t>Alenquer</t>
  </si>
  <si>
    <t>Alcantil</t>
  </si>
  <si>
    <t>Águas Belas</t>
  </si>
  <si>
    <t>Alto Longá</t>
  </si>
  <si>
    <t>Almino Afonso</t>
  </si>
  <si>
    <t>Alegrete</t>
  </si>
  <si>
    <t>Arraial do Cabo</t>
  </si>
  <si>
    <t>Buritis</t>
  </si>
  <si>
    <t>Caracaraí</t>
  </si>
  <si>
    <t>Águas de Chapecó</t>
  </si>
  <si>
    <t>Águas de Santa Bárbara</t>
  </si>
  <si>
    <t>Barra dos Coqueiros</t>
  </si>
  <si>
    <t>Ananás</t>
  </si>
  <si>
    <t>Angola</t>
  </si>
  <si>
    <t>Epitaciolândia</t>
  </si>
  <si>
    <t>Batalha</t>
  </si>
  <si>
    <t>Macapá</t>
  </si>
  <si>
    <t>Autazes</t>
  </si>
  <si>
    <t>Alagoinhas</t>
  </si>
  <si>
    <t>Altaneira</t>
  </si>
  <si>
    <t>Anchieta</t>
  </si>
  <si>
    <t>Águas Lindas de Goiás</t>
  </si>
  <si>
    <t>Alto Alegre do Maranhão</t>
  </si>
  <si>
    <t>Alto Paraguai</t>
  </si>
  <si>
    <t>Antônio João</t>
  </si>
  <si>
    <t>Água Comprida</t>
  </si>
  <si>
    <t>Almeirim</t>
  </si>
  <si>
    <t>Algodão de Jandaíra</t>
  </si>
  <si>
    <t>Altos</t>
  </si>
  <si>
    <t>Alto do Rodrigues</t>
  </si>
  <si>
    <t>Alegria</t>
  </si>
  <si>
    <t>Barra do Piraí</t>
  </si>
  <si>
    <t>Cabixi</t>
  </si>
  <si>
    <t>Caroebe</t>
  </si>
  <si>
    <t>Águas Frias</t>
  </si>
  <si>
    <t>Águas de São Pedro</t>
  </si>
  <si>
    <t>Boquim</t>
  </si>
  <si>
    <t>Angico</t>
  </si>
  <si>
    <t>Anguilla</t>
  </si>
  <si>
    <t>Feijó</t>
  </si>
  <si>
    <t>Belém</t>
  </si>
  <si>
    <t>Mazagão</t>
  </si>
  <si>
    <t>Barcelos</t>
  </si>
  <si>
    <t>Alcobaça</t>
  </si>
  <si>
    <t>Alto Santo</t>
  </si>
  <si>
    <t>Apiacá</t>
  </si>
  <si>
    <t>Alexânia</t>
  </si>
  <si>
    <t>Alto Alegre do Pindaré</t>
  </si>
  <si>
    <t>Alto Taquari</t>
  </si>
  <si>
    <t>Aparecida do Taboado</t>
  </si>
  <si>
    <t>Aguanil</t>
  </si>
  <si>
    <t>Altamira</t>
  </si>
  <si>
    <t>Alhandra</t>
  </si>
  <si>
    <t>Aliança</t>
  </si>
  <si>
    <t>Alvorada do Gurguéia</t>
  </si>
  <si>
    <t>Angicos</t>
  </si>
  <si>
    <t>Almirante Tamandaré do Sul</t>
  </si>
  <si>
    <t>Barra Mansa</t>
  </si>
  <si>
    <t>Cacaulândia</t>
  </si>
  <si>
    <t>Iracema</t>
  </si>
  <si>
    <t>Águas Mornas</t>
  </si>
  <si>
    <t>Agudos</t>
  </si>
  <si>
    <t>Brejo Grande</t>
  </si>
  <si>
    <t>Aparecida do Rio Negro</t>
  </si>
  <si>
    <t>Antígua e Barbuda</t>
  </si>
  <si>
    <t>Jordão</t>
  </si>
  <si>
    <t>Belo Monte</t>
  </si>
  <si>
    <t>Oiapoque</t>
  </si>
  <si>
    <t>Barreirinha</t>
  </si>
  <si>
    <t>Almadina</t>
  </si>
  <si>
    <t>Amontada</t>
  </si>
  <si>
    <t>Aracruz</t>
  </si>
  <si>
    <t>Aloândia</t>
  </si>
  <si>
    <t>Alto Parnaíba</t>
  </si>
  <si>
    <t>Apiacás</t>
  </si>
  <si>
    <t>Aquidauana</t>
  </si>
  <si>
    <t>Águas Formosas</t>
  </si>
  <si>
    <t>Anajás</t>
  </si>
  <si>
    <t>Amparo</t>
  </si>
  <si>
    <t>Altinho</t>
  </si>
  <si>
    <t>Amarante</t>
  </si>
  <si>
    <t>Antônio Martins</t>
  </si>
  <si>
    <t>Alpestre</t>
  </si>
  <si>
    <t>Belford Roxo</t>
  </si>
  <si>
    <t>Cacoal</t>
  </si>
  <si>
    <t>Mucajaí</t>
  </si>
  <si>
    <t>Alfredo Wagner</t>
  </si>
  <si>
    <t>Alambari</t>
  </si>
  <si>
    <t>Campo do Brito</t>
  </si>
  <si>
    <t>Aragominas</t>
  </si>
  <si>
    <t>Arábia Saudita</t>
  </si>
  <si>
    <t>Mâncio Lima</t>
  </si>
  <si>
    <t>Boca da Mata</t>
  </si>
  <si>
    <t>Pedra Branca do Amapari</t>
  </si>
  <si>
    <t>Benjamin Constant</t>
  </si>
  <si>
    <t>Amargosa</t>
  </si>
  <si>
    <t>Antonina do Norte</t>
  </si>
  <si>
    <t>Atílio Vivácqua</t>
  </si>
  <si>
    <t>Alto Horizonte</t>
  </si>
  <si>
    <t>Amapá do Maranhão</t>
  </si>
  <si>
    <t>Araguaiana</t>
  </si>
  <si>
    <t>Aral Moreira</t>
  </si>
  <si>
    <t>Águas Vermelhas</t>
  </si>
  <si>
    <t>Ananindeua</t>
  </si>
  <si>
    <t>Aparecida</t>
  </si>
  <si>
    <t>Amaraji</t>
  </si>
  <si>
    <t>Angical do Piauí</t>
  </si>
  <si>
    <t>Apodi</t>
  </si>
  <si>
    <t>Bom Jardim</t>
  </si>
  <si>
    <t>Campo Novo de Rondônia</t>
  </si>
  <si>
    <t>Normandia</t>
  </si>
  <si>
    <t>Alto Bela Vista</t>
  </si>
  <si>
    <t>Alfredo Marcondes</t>
  </si>
  <si>
    <t>Canhoba</t>
  </si>
  <si>
    <t>Araguacema</t>
  </si>
  <si>
    <t>Argélia</t>
  </si>
  <si>
    <t>Manoel Urbano</t>
  </si>
  <si>
    <t>Branquinha</t>
  </si>
  <si>
    <t>Porto Grande</t>
  </si>
  <si>
    <t>Beruri</t>
  </si>
  <si>
    <t>Amélia Rodrigues</t>
  </si>
  <si>
    <t>Apuiarés</t>
  </si>
  <si>
    <t>Baixo Guandu</t>
  </si>
  <si>
    <t>Alto Paraíso de Goiás</t>
  </si>
  <si>
    <t>Amarante do Maranhão</t>
  </si>
  <si>
    <t>Araguainha</t>
  </si>
  <si>
    <t>Aimorés</t>
  </si>
  <si>
    <t>Anapu</t>
  </si>
  <si>
    <t>Araçagi</t>
  </si>
  <si>
    <t>Angelim</t>
  </si>
  <si>
    <t>Anísio de Abreu</t>
  </si>
  <si>
    <t>Alto Feliz</t>
  </si>
  <si>
    <t>Bom Jesus do Itabapoana</t>
  </si>
  <si>
    <t>Candeias do Jamari</t>
  </si>
  <si>
    <t>Pacaraima</t>
  </si>
  <si>
    <t>Altair</t>
  </si>
  <si>
    <t>Canindé de São Francisco</t>
  </si>
  <si>
    <t>Araguaçu</t>
  </si>
  <si>
    <t>Argentina</t>
  </si>
  <si>
    <t>Marechal Thaumaturgo</t>
  </si>
  <si>
    <t>Cacimbinhas</t>
  </si>
  <si>
    <t>Pracuúba</t>
  </si>
  <si>
    <t>Boa Vista do Ramos</t>
  </si>
  <si>
    <t>América Dourada</t>
  </si>
  <si>
    <t>Aquiraz</t>
  </si>
  <si>
    <t>Barra de São Francisco</t>
  </si>
  <si>
    <t>Alvorada do Norte</t>
  </si>
  <si>
    <t>Anajatuba</t>
  </si>
  <si>
    <t>Araputanga</t>
  </si>
  <si>
    <t>Bataguassu</t>
  </si>
  <si>
    <t>Aiuruoca</t>
  </si>
  <si>
    <t>Augusto Corrêa</t>
  </si>
  <si>
    <t>Arara</t>
  </si>
  <si>
    <t>Araçoiaba</t>
  </si>
  <si>
    <t>Antônio Almeida</t>
  </si>
  <si>
    <t>Arês</t>
  </si>
  <si>
    <t>Cabo Frio</t>
  </si>
  <si>
    <t>Castanheiras</t>
  </si>
  <si>
    <t>Rorainópolis</t>
  </si>
  <si>
    <t>Angelina</t>
  </si>
  <si>
    <t>Altinópolis</t>
  </si>
  <si>
    <t>Capela</t>
  </si>
  <si>
    <t>Araguaína</t>
  </si>
  <si>
    <t>Armênia</t>
  </si>
  <si>
    <t>Plácido de Castro</t>
  </si>
  <si>
    <t>Cajueiro</t>
  </si>
  <si>
    <t>Santana</t>
  </si>
  <si>
    <t>Boca do Acre</t>
  </si>
  <si>
    <t>Anagé</t>
  </si>
  <si>
    <t>Aracati</t>
  </si>
  <si>
    <t>Amaralina</t>
  </si>
  <si>
    <t>Anapurus</t>
  </si>
  <si>
    <t>Arenápolis</t>
  </si>
  <si>
    <t>Batayporã</t>
  </si>
  <si>
    <t>Alagoa</t>
  </si>
  <si>
    <t>Aurora do Pará</t>
  </si>
  <si>
    <t>Araripina</t>
  </si>
  <si>
    <t>Aroazes</t>
  </si>
  <si>
    <t>Baía Formosa</t>
  </si>
  <si>
    <t>Amaral Ferrador</t>
  </si>
  <si>
    <t>Cachoeiras de Macacu</t>
  </si>
  <si>
    <t>Cerejeiras</t>
  </si>
  <si>
    <t>São João da Baliza</t>
  </si>
  <si>
    <t>Anita Garibaldi</t>
  </si>
  <si>
    <t>Carira</t>
  </si>
  <si>
    <t>Araguanã</t>
  </si>
  <si>
    <t>Porto Acre</t>
  </si>
  <si>
    <t>Campestre</t>
  </si>
  <si>
    <t>Serra do Navio</t>
  </si>
  <si>
    <t>Borba</t>
  </si>
  <si>
    <t>Andaraí</t>
  </si>
  <si>
    <t>Aracoiaba</t>
  </si>
  <si>
    <t>Bom Jesus do Norte</t>
  </si>
  <si>
    <t>Americano do Brasil</t>
  </si>
  <si>
    <t>Apicum-Açu</t>
  </si>
  <si>
    <t>Aripuanã</t>
  </si>
  <si>
    <t>Bela Vista</t>
  </si>
  <si>
    <t>Albertina</t>
  </si>
  <si>
    <t>Aveiro</t>
  </si>
  <si>
    <t>Areia</t>
  </si>
  <si>
    <t>Arcoverde</t>
  </si>
  <si>
    <t>Aroeiras do Itaim</t>
  </si>
  <si>
    <t>Baraúna</t>
  </si>
  <si>
    <t>Ametista do Sul</t>
  </si>
  <si>
    <t>Cambuci</t>
  </si>
  <si>
    <t>Chupinguaia</t>
  </si>
  <si>
    <t>São Luiz</t>
  </si>
  <si>
    <t>Anitápolis</t>
  </si>
  <si>
    <t>Alumínio</t>
  </si>
  <si>
    <t>Carmópolis</t>
  </si>
  <si>
    <t>Araguatins</t>
  </si>
  <si>
    <t>Aruba</t>
  </si>
  <si>
    <t>Porto Walter</t>
  </si>
  <si>
    <t>Campo Alegre</t>
  </si>
  <si>
    <t>Tartarugalzinho</t>
  </si>
  <si>
    <t>Caapiranga</t>
  </si>
  <si>
    <t>Andorinha</t>
  </si>
  <si>
    <t>Ararendá</t>
  </si>
  <si>
    <t>Brejetuba</t>
  </si>
  <si>
    <t>Amorinópolis</t>
  </si>
  <si>
    <t>Barão de Melgaço</t>
  </si>
  <si>
    <t>Bodoquena</t>
  </si>
  <si>
    <t>Além Paraíba</t>
  </si>
  <si>
    <t>Bagre</t>
  </si>
  <si>
    <t>Areia de Baraúnas</t>
  </si>
  <si>
    <t>Barra de Guabiraba</t>
  </si>
  <si>
    <t>Arraial</t>
  </si>
  <si>
    <t>Barcelona</t>
  </si>
  <si>
    <t>André da Rocha</t>
  </si>
  <si>
    <t>Colorado do Oeste</t>
  </si>
  <si>
    <t>Uiramutã</t>
  </si>
  <si>
    <t>Antônio Carlos</t>
  </si>
  <si>
    <t>Álvares Florence</t>
  </si>
  <si>
    <t>Cedro de São João</t>
  </si>
  <si>
    <t>Arapoema</t>
  </si>
  <si>
    <t>Austrália</t>
  </si>
  <si>
    <t>Rio Branco</t>
  </si>
  <si>
    <t>Vitória do Jari</t>
  </si>
  <si>
    <t>Canutama</t>
  </si>
  <si>
    <t>Angical</t>
  </si>
  <si>
    <t>Araripe</t>
  </si>
  <si>
    <t>Cachoeiro de Itapemirim</t>
  </si>
  <si>
    <t>Anápolis</t>
  </si>
  <si>
    <t>Araioses</t>
  </si>
  <si>
    <t>Barra do Bugres</t>
  </si>
  <si>
    <t>Bonito</t>
  </si>
  <si>
    <t>Alfenas</t>
  </si>
  <si>
    <t>Baião</t>
  </si>
  <si>
    <t>Areial</t>
  </si>
  <si>
    <t>Barreiros</t>
  </si>
  <si>
    <t>Assunção do Piauí</t>
  </si>
  <si>
    <t>Bento Fernandes</t>
  </si>
  <si>
    <t>Anta Gorda</t>
  </si>
  <si>
    <t>Corumbiara</t>
  </si>
  <si>
    <t>Apiúna</t>
  </si>
  <si>
    <t>Álvares Machado</t>
  </si>
  <si>
    <t>Cristinápolis</t>
  </si>
  <si>
    <t>Arraias</t>
  </si>
  <si>
    <t>Áustria</t>
  </si>
  <si>
    <t>Rodrigues Alves</t>
  </si>
  <si>
    <t>Canapi</t>
  </si>
  <si>
    <t>Carauari</t>
  </si>
  <si>
    <t>Anguera</t>
  </si>
  <si>
    <t>Aratuba</t>
  </si>
  <si>
    <t>Cariacica</t>
  </si>
  <si>
    <t>Anhanguera</t>
  </si>
  <si>
    <t>Arame</t>
  </si>
  <si>
    <t>Barra do Garças</t>
  </si>
  <si>
    <t>Brasilândia</t>
  </si>
  <si>
    <t>Alfredo Vasconcelos</t>
  </si>
  <si>
    <t>Bannach</t>
  </si>
  <si>
    <t>Aroeiras</t>
  </si>
  <si>
    <t>Belém de Maria</t>
  </si>
  <si>
    <t>Avelino Lopes</t>
  </si>
  <si>
    <t>Bodó</t>
  </si>
  <si>
    <t>Antônio Prado</t>
  </si>
  <si>
    <t>Carapebus</t>
  </si>
  <si>
    <t>Costa Marques</t>
  </si>
  <si>
    <t>Arabutã</t>
  </si>
  <si>
    <t>Álvaro de Carvalho</t>
  </si>
  <si>
    <t>Cumbe</t>
  </si>
  <si>
    <t>Augustinópolis</t>
  </si>
  <si>
    <t>Azerbaijão</t>
  </si>
  <si>
    <t>Santa Rosa do Purus</t>
  </si>
  <si>
    <t>Careiro</t>
  </si>
  <si>
    <t>Antas</t>
  </si>
  <si>
    <t>Arneiroz</t>
  </si>
  <si>
    <t>Castelo</t>
  </si>
  <si>
    <t>Anicuns</t>
  </si>
  <si>
    <t>Arari</t>
  </si>
  <si>
    <t>Boa Esperança do Norte</t>
  </si>
  <si>
    <t>Caarapó</t>
  </si>
  <si>
    <t>Almenara</t>
  </si>
  <si>
    <t>Barcarena</t>
  </si>
  <si>
    <t>Assunção</t>
  </si>
  <si>
    <t>Belém do São Francisco</t>
  </si>
  <si>
    <t>Baixa Grande do Ribeiro</t>
  </si>
  <si>
    <t>Bom Jesus</t>
  </si>
  <si>
    <t>Arambaré</t>
  </si>
  <si>
    <t>Cardoso Moreira</t>
  </si>
  <si>
    <t>Cujubim</t>
  </si>
  <si>
    <t>Araquari</t>
  </si>
  <si>
    <t>Alvinlândia</t>
  </si>
  <si>
    <t>Divina Pastora</t>
  </si>
  <si>
    <t>Aurora do Tocantins</t>
  </si>
  <si>
    <t>Sena Madureira</t>
  </si>
  <si>
    <t>Carneiros</t>
  </si>
  <si>
    <t>Careiro da Várzea</t>
  </si>
  <si>
    <t>Antônio Cardoso</t>
  </si>
  <si>
    <t>Assaré</t>
  </si>
  <si>
    <t>Colatina</t>
  </si>
  <si>
    <t>Aparecida de Goiânia</t>
  </si>
  <si>
    <t>Axixá</t>
  </si>
  <si>
    <t>Bom Jesus do Araguaia</t>
  </si>
  <si>
    <t>Camapuã</t>
  </si>
  <si>
    <t>Alpercata</t>
  </si>
  <si>
    <t>Baía da Traição</t>
  </si>
  <si>
    <t>Belo Jardim</t>
  </si>
  <si>
    <t>Barra D'Alcântara</t>
  </si>
  <si>
    <t>Brejinho</t>
  </si>
  <si>
    <t>Araricá</t>
  </si>
  <si>
    <t>Carmo</t>
  </si>
  <si>
    <t>Espigão D'Oeste</t>
  </si>
  <si>
    <t>Araranguá</t>
  </si>
  <si>
    <t>Americana</t>
  </si>
  <si>
    <t>Estância</t>
  </si>
  <si>
    <t>Axixá do Tocantins</t>
  </si>
  <si>
    <t>Bahamas</t>
  </si>
  <si>
    <t>Senador Guiomard</t>
  </si>
  <si>
    <t>Chã Preta</t>
  </si>
  <si>
    <t>Coari</t>
  </si>
  <si>
    <t>Antônio Gonçalves</t>
  </si>
  <si>
    <t>Aurora</t>
  </si>
  <si>
    <t>Conceição da Barra</t>
  </si>
  <si>
    <t>Aparecida do Rio Doce</t>
  </si>
  <si>
    <t>Bacabal</t>
  </si>
  <si>
    <t>Brasnorte</t>
  </si>
  <si>
    <t>Alpinópolis</t>
  </si>
  <si>
    <t>Belterra</t>
  </si>
  <si>
    <t>Bananeiras</t>
  </si>
  <si>
    <t>Betânia</t>
  </si>
  <si>
    <t>Barras</t>
  </si>
  <si>
    <t>Caiçara do Norte</t>
  </si>
  <si>
    <t>Aratiba</t>
  </si>
  <si>
    <t>Casimiro de Abreu</t>
  </si>
  <si>
    <t>Governador Jorge Teixeira</t>
  </si>
  <si>
    <t>Armazém</t>
  </si>
  <si>
    <t>Américo Brasiliense</t>
  </si>
  <si>
    <t>Feira Nova</t>
  </si>
  <si>
    <t>Babaçulândia</t>
  </si>
  <si>
    <t>Bahrein</t>
  </si>
  <si>
    <t>Tarauacá</t>
  </si>
  <si>
    <t>Coité do Nóia</t>
  </si>
  <si>
    <t>Codajás</t>
  </si>
  <si>
    <t>Aporá</t>
  </si>
  <si>
    <t>Baixio</t>
  </si>
  <si>
    <t>Conceição do Castelo</t>
  </si>
  <si>
    <t>Aporé</t>
  </si>
  <si>
    <t>Bacabeira</t>
  </si>
  <si>
    <t>Cáceres</t>
  </si>
  <si>
    <t>Caracol</t>
  </si>
  <si>
    <t>Alterosa</t>
  </si>
  <si>
    <t>Benevides</t>
  </si>
  <si>
    <t>Bezerros</t>
  </si>
  <si>
    <t>Barreiras do Piauí</t>
  </si>
  <si>
    <t>Caiçara do Rio do Vento</t>
  </si>
  <si>
    <t>Arroio do Meio</t>
  </si>
  <si>
    <t>Comendador Levy Gasparian</t>
  </si>
  <si>
    <t>Guajará-Mirim</t>
  </si>
  <si>
    <t>Arroio Trinta</t>
  </si>
  <si>
    <t>Américo de Campos</t>
  </si>
  <si>
    <t>Frei Paulo</t>
  </si>
  <si>
    <t>Bandeirantes do Tocantins</t>
  </si>
  <si>
    <t>Bangladesh</t>
  </si>
  <si>
    <t>Xapuri</t>
  </si>
  <si>
    <t>Colônia Leopoldina</t>
  </si>
  <si>
    <t>Eirunepé</t>
  </si>
  <si>
    <t>Apuarema</t>
  </si>
  <si>
    <t>Banabuiú</t>
  </si>
  <si>
    <t>Divino de São Lourenço</t>
  </si>
  <si>
    <t>Araçu</t>
  </si>
  <si>
    <t>Bacuri</t>
  </si>
  <si>
    <t>Campinápolis</t>
  </si>
  <si>
    <t>Cassilândia</t>
  </si>
  <si>
    <t>Alto Caparaó</t>
  </si>
  <si>
    <t>Bom Jesus do Tocantins</t>
  </si>
  <si>
    <t>Barra de Santa Rosa</t>
  </si>
  <si>
    <t>Bodocó</t>
  </si>
  <si>
    <t>Barro Duro</t>
  </si>
  <si>
    <t>Caicó</t>
  </si>
  <si>
    <t>Arroio do Padre</t>
  </si>
  <si>
    <t>Conceição de Macabu</t>
  </si>
  <si>
    <t>Itapuã do Oeste</t>
  </si>
  <si>
    <t>Arvoredo</t>
  </si>
  <si>
    <t>Gararu</t>
  </si>
  <si>
    <t>Barra do Ouro</t>
  </si>
  <si>
    <t>Barbados</t>
  </si>
  <si>
    <t>Coqueiro Seco</t>
  </si>
  <si>
    <t>Envira</t>
  </si>
  <si>
    <t>Araçás</t>
  </si>
  <si>
    <t>Barbalha</t>
  </si>
  <si>
    <t>Domingos Martins</t>
  </si>
  <si>
    <t>Aragarças</t>
  </si>
  <si>
    <t>Bacurituba</t>
  </si>
  <si>
    <t>Campo Novo do Parecis</t>
  </si>
  <si>
    <t>Chapadão do Sul</t>
  </si>
  <si>
    <t>Alto Jequitibá</t>
  </si>
  <si>
    <t>Barra de Santana</t>
  </si>
  <si>
    <t>Bom Conselho</t>
  </si>
  <si>
    <t>Arroio do Sal</t>
  </si>
  <si>
    <t>Cordeiro</t>
  </si>
  <si>
    <t>Jaru</t>
  </si>
  <si>
    <t>Ascurra</t>
  </si>
  <si>
    <t>Analândia</t>
  </si>
  <si>
    <t>General Maynard</t>
  </si>
  <si>
    <t>Barrolândia</t>
  </si>
  <si>
    <t>Bélgica</t>
  </si>
  <si>
    <t>Coruripe</t>
  </si>
  <si>
    <t>Fonte Boa</t>
  </si>
  <si>
    <t>Aracatu</t>
  </si>
  <si>
    <t>Barreira</t>
  </si>
  <si>
    <t>Dores do Rio Preto</t>
  </si>
  <si>
    <t>Aragoiânia</t>
  </si>
  <si>
    <t>Balsas</t>
  </si>
  <si>
    <t>Campo Verde</t>
  </si>
  <si>
    <t>Corguinho</t>
  </si>
  <si>
    <t>Alto Rio Doce</t>
  </si>
  <si>
    <t>Bragança</t>
  </si>
  <si>
    <t>Bela Vista do Piauí</t>
  </si>
  <si>
    <t>Campo Redondo</t>
  </si>
  <si>
    <t>Arroio do Tigre</t>
  </si>
  <si>
    <t>Duas Barras</t>
  </si>
  <si>
    <t>Ji-Paraná</t>
  </si>
  <si>
    <t>Atalanta</t>
  </si>
  <si>
    <t>Andradina</t>
  </si>
  <si>
    <t>Graccho Cardoso</t>
  </si>
  <si>
    <t>Bernardo Sayão</t>
  </si>
  <si>
    <t>Belize</t>
  </si>
  <si>
    <t>Craíbas</t>
  </si>
  <si>
    <t>Guajará</t>
  </si>
  <si>
    <t>Araci</t>
  </si>
  <si>
    <t>Barro</t>
  </si>
  <si>
    <t>Ecoporanga</t>
  </si>
  <si>
    <t>Araguapaz</t>
  </si>
  <si>
    <t>Barão de Grajaú</t>
  </si>
  <si>
    <t>Campos de Júlio</t>
  </si>
  <si>
    <t>Coronel Sapucaia</t>
  </si>
  <si>
    <t>Alvarenga</t>
  </si>
  <si>
    <t>Brasil Novo</t>
  </si>
  <si>
    <t>Bayeux</t>
  </si>
  <si>
    <t>Belém do Piauí</t>
  </si>
  <si>
    <t>Canguaretama</t>
  </si>
  <si>
    <t>Arroio dos Ratos</t>
  </si>
  <si>
    <t>Duque de Caxias</t>
  </si>
  <si>
    <t>Machadinho D'Oeste</t>
  </si>
  <si>
    <t>Angatuba</t>
  </si>
  <si>
    <t>Ilha das Flores</t>
  </si>
  <si>
    <t>Benin</t>
  </si>
  <si>
    <t>Delmiro Gouveia</t>
  </si>
  <si>
    <t>Humaitá</t>
  </si>
  <si>
    <t>Aramari</t>
  </si>
  <si>
    <t>Barroquinha</t>
  </si>
  <si>
    <t>Fundão</t>
  </si>
  <si>
    <t>Arenópolis</t>
  </si>
  <si>
    <t>Barra do Corda</t>
  </si>
  <si>
    <t>Canabrava do Norte</t>
  </si>
  <si>
    <t>Corumbá</t>
  </si>
  <si>
    <t>Alvinópolis</t>
  </si>
  <si>
    <t>Brejo Grande do Araguaia</t>
  </si>
  <si>
    <t>Brejão</t>
  </si>
  <si>
    <t>Beneditinos</t>
  </si>
  <si>
    <t>Caraúbas</t>
  </si>
  <si>
    <t>Arroio Grande</t>
  </si>
  <si>
    <t>Engenheiro Paulo de Frontin</t>
  </si>
  <si>
    <t>Ministro Andreazza</t>
  </si>
  <si>
    <t>Balneário Arroio do Silva</t>
  </si>
  <si>
    <t>Anhembi</t>
  </si>
  <si>
    <t>Indiaroba</t>
  </si>
  <si>
    <t>Brasilândia do Tocantins</t>
  </si>
  <si>
    <t>Bermudas</t>
  </si>
  <si>
    <t>Dois Riachos</t>
  </si>
  <si>
    <t>Ipixuna</t>
  </si>
  <si>
    <t>Arataca</t>
  </si>
  <si>
    <t>Baturité</t>
  </si>
  <si>
    <t>Governador Lindenberg</t>
  </si>
  <si>
    <t>Aruanã</t>
  </si>
  <si>
    <t>Barreirinhas</t>
  </si>
  <si>
    <t>Canarana</t>
  </si>
  <si>
    <t>Alvorada de Minas</t>
  </si>
  <si>
    <t>Breu Branco</t>
  </si>
  <si>
    <t>Belém do Brejo do Cruz</t>
  </si>
  <si>
    <t>Bertolínia</t>
  </si>
  <si>
    <t>Carnaúba dos Dantas</t>
  </si>
  <si>
    <t>Arvorezinha</t>
  </si>
  <si>
    <t>Guapimirim</t>
  </si>
  <si>
    <t>Mirante da Serra</t>
  </si>
  <si>
    <t>Balneário Barra do Sul</t>
  </si>
  <si>
    <t>Anhumas</t>
  </si>
  <si>
    <t>Itabaiana</t>
  </si>
  <si>
    <t>Brejinho de Nazaré</t>
  </si>
  <si>
    <t>Bielorrússia</t>
  </si>
  <si>
    <t>Estrela de Alagoas</t>
  </si>
  <si>
    <t>Iranduba</t>
  </si>
  <si>
    <t>Aratuípe</t>
  </si>
  <si>
    <t>Beberibe</t>
  </si>
  <si>
    <t>Guaçuí</t>
  </si>
  <si>
    <t>Aurilândia</t>
  </si>
  <si>
    <t>Bela Vista do Maranhão</t>
  </si>
  <si>
    <t>Carlinda</t>
  </si>
  <si>
    <t>Coxim</t>
  </si>
  <si>
    <t>Amparo do Serra</t>
  </si>
  <si>
    <t>Breves</t>
  </si>
  <si>
    <t>Bernardino Batista</t>
  </si>
  <si>
    <t>Brejo da Madre de Deus</t>
  </si>
  <si>
    <t>Betânia do Piauí</t>
  </si>
  <si>
    <t>Carnaubais</t>
  </si>
  <si>
    <t>Augusto Pestana</t>
  </si>
  <si>
    <t>Iguaba Grande</t>
  </si>
  <si>
    <t>Monte Negro</t>
  </si>
  <si>
    <t>Balneário Camboriú</t>
  </si>
  <si>
    <t>Itabaianinha</t>
  </si>
  <si>
    <t>Buriti do Tocantins</t>
  </si>
  <si>
    <t>Bolívia</t>
  </si>
  <si>
    <t>Feira Grande</t>
  </si>
  <si>
    <t>Itacoatiara</t>
  </si>
  <si>
    <t>Aurelino Leal</t>
  </si>
  <si>
    <t>Bela Cruz</t>
  </si>
  <si>
    <t>Guarapari</t>
  </si>
  <si>
    <t>Avelinópolis</t>
  </si>
  <si>
    <t>Belágua</t>
  </si>
  <si>
    <t>Castanheira</t>
  </si>
  <si>
    <t>Deodápolis</t>
  </si>
  <si>
    <t>Andradas</t>
  </si>
  <si>
    <t>Bujaru</t>
  </si>
  <si>
    <t>Boa Ventura</t>
  </si>
  <si>
    <t>Buenos Aires</t>
  </si>
  <si>
    <t>Boa Hora</t>
  </si>
  <si>
    <t>Ceará-Mirim</t>
  </si>
  <si>
    <t>Áurea</t>
  </si>
  <si>
    <t>Itaboraí</t>
  </si>
  <si>
    <t>Nova Brasilândia D'Oeste</t>
  </si>
  <si>
    <t>Balneário Gaivota</t>
  </si>
  <si>
    <t>Aparecida d'Oeste</t>
  </si>
  <si>
    <t>Itabi</t>
  </si>
  <si>
    <t>Cachoeirinha</t>
  </si>
  <si>
    <t>Bonaire</t>
  </si>
  <si>
    <t>Feliz Deserto</t>
  </si>
  <si>
    <t>Itamarati</t>
  </si>
  <si>
    <t>Baianópolis</t>
  </si>
  <si>
    <t>Boa Viagem</t>
  </si>
  <si>
    <t>Ibatiba</t>
  </si>
  <si>
    <t>Baliza</t>
  </si>
  <si>
    <t>Benedito Leite</t>
  </si>
  <si>
    <t>Chapada dos Guimarães</t>
  </si>
  <si>
    <t>Dois Irmãos do Buriti</t>
  </si>
  <si>
    <t>Andrelândia</t>
  </si>
  <si>
    <t>Cachoeira do Arari</t>
  </si>
  <si>
    <t>Buíque</t>
  </si>
  <si>
    <t>Bocaina</t>
  </si>
  <si>
    <t>Cerro Corá</t>
  </si>
  <si>
    <t>Bagé</t>
  </si>
  <si>
    <t>Itaguaí</t>
  </si>
  <si>
    <t>Nova Mamoré</t>
  </si>
  <si>
    <t>Balneário Piçarras</t>
  </si>
  <si>
    <t>Apiaí</t>
  </si>
  <si>
    <t>Itaporanga d'Ajuda</t>
  </si>
  <si>
    <t>Campos Lindos</t>
  </si>
  <si>
    <t>Bósnia-Herzegovina</t>
  </si>
  <si>
    <t>Flexeiras</t>
  </si>
  <si>
    <t>Itapiranga</t>
  </si>
  <si>
    <t>Baixa Grande</t>
  </si>
  <si>
    <t>Brejo Santo</t>
  </si>
  <si>
    <t>Ibiraçu</t>
  </si>
  <si>
    <t>Barro Alto</t>
  </si>
  <si>
    <t>Bequimão</t>
  </si>
  <si>
    <t>Cláudia</t>
  </si>
  <si>
    <t>Angelândia</t>
  </si>
  <si>
    <t>Cachoeira do Piriá</t>
  </si>
  <si>
    <t>Cabo de Santo Agostinho</t>
  </si>
  <si>
    <t>Coronel Ezequiel</t>
  </si>
  <si>
    <t>Balneário Pinhal</t>
  </si>
  <si>
    <t>Italva</t>
  </si>
  <si>
    <t>Nova União</t>
  </si>
  <si>
    <t>Balneário Rincão</t>
  </si>
  <si>
    <t>Araçariguama</t>
  </si>
  <si>
    <t>Japaratuba</t>
  </si>
  <si>
    <t>Cariri do Tocantins</t>
  </si>
  <si>
    <t>Botsuana</t>
  </si>
  <si>
    <t>Girau do Ponciano</t>
  </si>
  <si>
    <t>Banzaê</t>
  </si>
  <si>
    <t>Camocim</t>
  </si>
  <si>
    <t>Ibitirama</t>
  </si>
  <si>
    <t>Bela Vista de Goiás</t>
  </si>
  <si>
    <t>Bernardo do Mearim</t>
  </si>
  <si>
    <t>Cocalinho</t>
  </si>
  <si>
    <t>Dourados</t>
  </si>
  <si>
    <t>Cametá</t>
  </si>
  <si>
    <t>Cabrobó</t>
  </si>
  <si>
    <t>Bom Princípio do Piauí</t>
  </si>
  <si>
    <t>Coronel João Pessoa</t>
  </si>
  <si>
    <t>Barão</t>
  </si>
  <si>
    <t>Itaocara</t>
  </si>
  <si>
    <t>Novo Horizonte do Oeste</t>
  </si>
  <si>
    <t>Bandeirante</t>
  </si>
  <si>
    <t>Araçatuba</t>
  </si>
  <si>
    <t>Japoatã</t>
  </si>
  <si>
    <t>Carmolândia</t>
  </si>
  <si>
    <t>Brunei</t>
  </si>
  <si>
    <t>Ibateguara</t>
  </si>
  <si>
    <t>Juruá</t>
  </si>
  <si>
    <t>Barra</t>
  </si>
  <si>
    <t>Campos Sales</t>
  </si>
  <si>
    <t>Iconha</t>
  </si>
  <si>
    <t>Bom Jardim de Goiás</t>
  </si>
  <si>
    <t>Boa Vista do Gurupi</t>
  </si>
  <si>
    <t>Colíder</t>
  </si>
  <si>
    <t>Eldorado</t>
  </si>
  <si>
    <t>Antônio Dias</t>
  </si>
  <si>
    <t>Canaã dos Carajás</t>
  </si>
  <si>
    <t>Bonito de Santa Fé</t>
  </si>
  <si>
    <t>Bonfim do Piauí</t>
  </si>
  <si>
    <t>Cruzeta</t>
  </si>
  <si>
    <t>Barão de Cotegipe</t>
  </si>
  <si>
    <t>Itaperuna</t>
  </si>
  <si>
    <t>Ouro Preto do Oeste</t>
  </si>
  <si>
    <t>Barra Bonita</t>
  </si>
  <si>
    <t>Araçoiaba da Serra</t>
  </si>
  <si>
    <t>Lagarto</t>
  </si>
  <si>
    <t>Carrasco Bonito</t>
  </si>
  <si>
    <t>Bulgária</t>
  </si>
  <si>
    <t>Igaci</t>
  </si>
  <si>
    <t>Jutaí</t>
  </si>
  <si>
    <t>Barra da Estiva</t>
  </si>
  <si>
    <t>Canindé</t>
  </si>
  <si>
    <t>Irupi</t>
  </si>
  <si>
    <t>Bom Jesus de Goiás</t>
  </si>
  <si>
    <t>Colniza</t>
  </si>
  <si>
    <t>Fátima do Sul</t>
  </si>
  <si>
    <t>Antônio Prado de Minas</t>
  </si>
  <si>
    <t>Boqueirão</t>
  </si>
  <si>
    <t>Caetés</t>
  </si>
  <si>
    <t>Boqueirão do Piauí</t>
  </si>
  <si>
    <t>Currais Novos</t>
  </si>
  <si>
    <t>Barão do Triunfo</t>
  </si>
  <si>
    <t>Itatiaia</t>
  </si>
  <si>
    <t>Parecis</t>
  </si>
  <si>
    <t>Barra Velha</t>
  </si>
  <si>
    <t>Aramina</t>
  </si>
  <si>
    <t>Laranjeiras</t>
  </si>
  <si>
    <t>Caseara</t>
  </si>
  <si>
    <t>Burkina Faso</t>
  </si>
  <si>
    <t>Igreja Nova</t>
  </si>
  <si>
    <t>Lábrea</t>
  </si>
  <si>
    <t>Barra do Choça</t>
  </si>
  <si>
    <t>Capistrano</t>
  </si>
  <si>
    <t>Itaguaçu</t>
  </si>
  <si>
    <t>Bonfinópolis</t>
  </si>
  <si>
    <t>Bom Jesus das Selvas</t>
  </si>
  <si>
    <t>Comodoro</t>
  </si>
  <si>
    <t>Figueirão</t>
  </si>
  <si>
    <t>Araçaí</t>
  </si>
  <si>
    <t>Capitão Poço</t>
  </si>
  <si>
    <t>Borborema</t>
  </si>
  <si>
    <t>Calçado</t>
  </si>
  <si>
    <t>Brasileira</t>
  </si>
  <si>
    <t>Doutor Severiano</t>
  </si>
  <si>
    <t>Barra do Guarita</t>
  </si>
  <si>
    <t>Japeri</t>
  </si>
  <si>
    <t>Pimenta Bueno</t>
  </si>
  <si>
    <t>Bela Vista do Toldo</t>
  </si>
  <si>
    <t>Arandu</t>
  </si>
  <si>
    <t>Macambira</t>
  </si>
  <si>
    <t>Centenário</t>
  </si>
  <si>
    <t>Burundi</t>
  </si>
  <si>
    <t>Inhapi</t>
  </si>
  <si>
    <t>Manacapuru</t>
  </si>
  <si>
    <t>Barra do Mendes</t>
  </si>
  <si>
    <t>Caridade</t>
  </si>
  <si>
    <t>Itapemirim</t>
  </si>
  <si>
    <t>Bonópolis</t>
  </si>
  <si>
    <t>Bom Lugar</t>
  </si>
  <si>
    <t>Confresa</t>
  </si>
  <si>
    <t>Glória de Dourados</t>
  </si>
  <si>
    <t>Aracitaba</t>
  </si>
  <si>
    <t>Castanhal</t>
  </si>
  <si>
    <t>Brejo do Cruz</t>
  </si>
  <si>
    <t>Calumbi</t>
  </si>
  <si>
    <t>Brejo do Piauí</t>
  </si>
  <si>
    <t>Encanto</t>
  </si>
  <si>
    <t>Barra do Quaraí</t>
  </si>
  <si>
    <t>Laje do Muriaé</t>
  </si>
  <si>
    <t>Pimenteiras do Oeste</t>
  </si>
  <si>
    <t>Belmonte</t>
  </si>
  <si>
    <t>Arapeí</t>
  </si>
  <si>
    <t>Malhada dos Bois</t>
  </si>
  <si>
    <t>Chapada da Natividade</t>
  </si>
  <si>
    <t>Butão</t>
  </si>
  <si>
    <t>Jacaré dos Homens</t>
  </si>
  <si>
    <t>Manaquiri</t>
  </si>
  <si>
    <t>Barra do Rocha</t>
  </si>
  <si>
    <t>Cariré</t>
  </si>
  <si>
    <t>Itarana</t>
  </si>
  <si>
    <t>Brazabrantes</t>
  </si>
  <si>
    <t>Brejo</t>
  </si>
  <si>
    <t>Conquista D'Oeste</t>
  </si>
  <si>
    <t>Guia Lopes da Laguna</t>
  </si>
  <si>
    <t>Araçuaí</t>
  </si>
  <si>
    <t>Chaves</t>
  </si>
  <si>
    <t>Brejo dos Santos</t>
  </si>
  <si>
    <t>Camaragibe</t>
  </si>
  <si>
    <t>Buriti dos Lopes</t>
  </si>
  <si>
    <t>Equador</t>
  </si>
  <si>
    <t>Barra do Ribeiro</t>
  </si>
  <si>
    <t>Macaé</t>
  </si>
  <si>
    <t>Porto Velho</t>
  </si>
  <si>
    <t>Benedito Novo</t>
  </si>
  <si>
    <t>Araraquara</t>
  </si>
  <si>
    <t>Malhador</t>
  </si>
  <si>
    <t>Chapada de Areia</t>
  </si>
  <si>
    <t>Cabo Verde</t>
  </si>
  <si>
    <t>Jacuípe</t>
  </si>
  <si>
    <t>Manaus</t>
  </si>
  <si>
    <t>Barreiras</t>
  </si>
  <si>
    <t>Caririaçu</t>
  </si>
  <si>
    <t>Iúna</t>
  </si>
  <si>
    <t>Britânia</t>
  </si>
  <si>
    <t>Brejo de Areia</t>
  </si>
  <si>
    <t>Cotriguaçu</t>
  </si>
  <si>
    <t>Iguatemi</t>
  </si>
  <si>
    <t>Colares</t>
  </si>
  <si>
    <t>Caaporã</t>
  </si>
  <si>
    <t>Camocim de São Félix</t>
  </si>
  <si>
    <t>Buriti dos Montes</t>
  </si>
  <si>
    <t>Barra do Rio Azul</t>
  </si>
  <si>
    <t>Macuco</t>
  </si>
  <si>
    <t>Presidente Médici</t>
  </si>
  <si>
    <t>Biguaçu</t>
  </si>
  <si>
    <t>Araras</t>
  </si>
  <si>
    <t>Maruim</t>
  </si>
  <si>
    <t>Colinas do Tocantins</t>
  </si>
  <si>
    <t>Camarões</t>
  </si>
  <si>
    <t>Japaratinga</t>
  </si>
  <si>
    <t>Manicoré</t>
  </si>
  <si>
    <t>Cariús</t>
  </si>
  <si>
    <t>Jaguaré</t>
  </si>
  <si>
    <t>Buriti Alegre</t>
  </si>
  <si>
    <t>Buriti</t>
  </si>
  <si>
    <t>Cuiabá</t>
  </si>
  <si>
    <t>Inocência</t>
  </si>
  <si>
    <t>Arantina</t>
  </si>
  <si>
    <t>Conceição do Araguaia</t>
  </si>
  <si>
    <t>Cabaceiras</t>
  </si>
  <si>
    <t>Camutanga</t>
  </si>
  <si>
    <t>Cabeceiras do Piauí</t>
  </si>
  <si>
    <t>Extremoz</t>
  </si>
  <si>
    <t>Barra Funda</t>
  </si>
  <si>
    <t>Magé</t>
  </si>
  <si>
    <t>Primavera de Rondônia</t>
  </si>
  <si>
    <t>Arco-Íris</t>
  </si>
  <si>
    <t>Moita Bonita</t>
  </si>
  <si>
    <t>Colméia</t>
  </si>
  <si>
    <t>Camboja</t>
  </si>
  <si>
    <t>Jaramataia</t>
  </si>
  <si>
    <t>Maraã</t>
  </si>
  <si>
    <t>Barro Preto</t>
  </si>
  <si>
    <t>Carnaubal</t>
  </si>
  <si>
    <t>Jerônimo Monteiro</t>
  </si>
  <si>
    <t>Buriti de Goiás</t>
  </si>
  <si>
    <t>Buriti Bravo</t>
  </si>
  <si>
    <t>Curvelândia</t>
  </si>
  <si>
    <t>Itaporã</t>
  </si>
  <si>
    <t>Araponga</t>
  </si>
  <si>
    <t>Concórdia do Pará</t>
  </si>
  <si>
    <t>Cabedelo</t>
  </si>
  <si>
    <t>Canhotinho</t>
  </si>
  <si>
    <t>Cajazeiras do Piauí</t>
  </si>
  <si>
    <t>Felipe Guerra</t>
  </si>
  <si>
    <t>Mangaratiba</t>
  </si>
  <si>
    <t>Rio Crespo</t>
  </si>
  <si>
    <t>Bocaina do Sul</t>
  </si>
  <si>
    <t>Arealva</t>
  </si>
  <si>
    <t>Monte Alegre de Sergipe</t>
  </si>
  <si>
    <t>Combinado</t>
  </si>
  <si>
    <t>Canadá</t>
  </si>
  <si>
    <t>Jequiá da Praia</t>
  </si>
  <si>
    <t>Maués</t>
  </si>
  <si>
    <t>Barrocas</t>
  </si>
  <si>
    <t>João Neiva</t>
  </si>
  <si>
    <t>Buritinópolis</t>
  </si>
  <si>
    <t>Buriticupu</t>
  </si>
  <si>
    <t>Denise</t>
  </si>
  <si>
    <t>Itaquiraí</t>
  </si>
  <si>
    <t>Araporã</t>
  </si>
  <si>
    <t>Cumaru do Norte</t>
  </si>
  <si>
    <t>Cachoeira dos Índios</t>
  </si>
  <si>
    <t>Capoeiras</t>
  </si>
  <si>
    <t>Cajueiro da Praia</t>
  </si>
  <si>
    <t>Fernando Pedroza</t>
  </si>
  <si>
    <t>Barros Cassal</t>
  </si>
  <si>
    <t>Maricá</t>
  </si>
  <si>
    <t>Rolim de Moura</t>
  </si>
  <si>
    <t>Bom Jardim da Serra</t>
  </si>
  <si>
    <t>Areias</t>
  </si>
  <si>
    <t>Muribeca</t>
  </si>
  <si>
    <t>Conceição do Tocantins</t>
  </si>
  <si>
    <t>Catar</t>
  </si>
  <si>
    <t>Joaquim Gomes</t>
  </si>
  <si>
    <t>Nhamundá</t>
  </si>
  <si>
    <t>Catarina</t>
  </si>
  <si>
    <t>Laranja da Terra</t>
  </si>
  <si>
    <t>Cabeceiras</t>
  </si>
  <si>
    <t>Buritirana</t>
  </si>
  <si>
    <t>Diamantino</t>
  </si>
  <si>
    <t>Ivinhema</t>
  </si>
  <si>
    <t>Arapuá</t>
  </si>
  <si>
    <t>Curionópolis</t>
  </si>
  <si>
    <t>Cacimba de Areia</t>
  </si>
  <si>
    <t>Carnaíba</t>
  </si>
  <si>
    <t>Caldeirão Grande do Piauí</t>
  </si>
  <si>
    <t>Florânia</t>
  </si>
  <si>
    <t>Benjamin Constant do Sul</t>
  </si>
  <si>
    <t>Mendes</t>
  </si>
  <si>
    <t>Santa Luzia D'Oeste</t>
  </si>
  <si>
    <t>Areiópolis</t>
  </si>
  <si>
    <t>Neópolis</t>
  </si>
  <si>
    <t>Couto Magalhães</t>
  </si>
  <si>
    <t>Cazaquistão</t>
  </si>
  <si>
    <t>Jundiá</t>
  </si>
  <si>
    <t>Nova Olinda do Norte</t>
  </si>
  <si>
    <t>Belo Campo</t>
  </si>
  <si>
    <t>Catunda</t>
  </si>
  <si>
    <t>Linhares</t>
  </si>
  <si>
    <t>Cachoeira Alta</t>
  </si>
  <si>
    <t>Cachoeira Grande</t>
  </si>
  <si>
    <t>Dom Aquino</t>
  </si>
  <si>
    <t>Japorã</t>
  </si>
  <si>
    <t>Araújos</t>
  </si>
  <si>
    <t>Curralinho</t>
  </si>
  <si>
    <t>Cacimba de Dentro</t>
  </si>
  <si>
    <t>Carnaubeira da Penha</t>
  </si>
  <si>
    <t>Campinas do Piauí</t>
  </si>
  <si>
    <t>Francisco Dantas</t>
  </si>
  <si>
    <t>Mesquita</t>
  </si>
  <si>
    <t>São Felipe D'Oeste</t>
  </si>
  <si>
    <t>Bom Jesus do Oeste</t>
  </si>
  <si>
    <t>Ariranha</t>
  </si>
  <si>
    <t>Nossa Senhora Aparecida</t>
  </si>
  <si>
    <t>Cristalândia</t>
  </si>
  <si>
    <t>Junqueiro</t>
  </si>
  <si>
    <t>Novo Airão</t>
  </si>
  <si>
    <t>Biritinga</t>
  </si>
  <si>
    <t>Caucaia</t>
  </si>
  <si>
    <t>Mantenópolis</t>
  </si>
  <si>
    <t>Cachoeira de Goiás</t>
  </si>
  <si>
    <t>Cajapió</t>
  </si>
  <si>
    <t>Feliz Natal</t>
  </si>
  <si>
    <t>Jaraguari</t>
  </si>
  <si>
    <t>Araxá</t>
  </si>
  <si>
    <t>Curuá</t>
  </si>
  <si>
    <t>Cacimbas</t>
  </si>
  <si>
    <t>Carpina</t>
  </si>
  <si>
    <t>Campo Alegre do Fidalgo</t>
  </si>
  <si>
    <t>Frutuoso Gomes</t>
  </si>
  <si>
    <t>Boa Vista das Missões</t>
  </si>
  <si>
    <t>Miguel Pereira</t>
  </si>
  <si>
    <t>São Francisco do Guaporé</t>
  </si>
  <si>
    <t>Bom Retiro</t>
  </si>
  <si>
    <t>Artur Nogueira</t>
  </si>
  <si>
    <t>Nossa Senhora da Glória</t>
  </si>
  <si>
    <t>Crixás do Tocantins</t>
  </si>
  <si>
    <t>Chade</t>
  </si>
  <si>
    <t>Lagoa da Canoa</t>
  </si>
  <si>
    <t>Novo Aripuanã</t>
  </si>
  <si>
    <t>Boa Nova</t>
  </si>
  <si>
    <t>Cedro</t>
  </si>
  <si>
    <t>Marataízes</t>
  </si>
  <si>
    <t>Cachoeira Dourada</t>
  </si>
  <si>
    <t>Cajari</t>
  </si>
  <si>
    <t>Figueirópolis D'Oeste</t>
  </si>
  <si>
    <t>Jardim</t>
  </si>
  <si>
    <t>Arceburgo</t>
  </si>
  <si>
    <t>Curuçá</t>
  </si>
  <si>
    <t>Caiçara</t>
  </si>
  <si>
    <t>Caruaru</t>
  </si>
  <si>
    <t>Campo Grande do Piauí</t>
  </si>
  <si>
    <t>Galinhos</t>
  </si>
  <si>
    <t>Boa Vista do Buricá</t>
  </si>
  <si>
    <t>Miracema</t>
  </si>
  <si>
    <t>São Miguel do Guaporé</t>
  </si>
  <si>
    <t>Bombinhas</t>
  </si>
  <si>
    <t>Arujá</t>
  </si>
  <si>
    <t>Nossa Senhora das Dores</t>
  </si>
  <si>
    <t>Darcinópolis</t>
  </si>
  <si>
    <t>Limoeiro de Anadia</t>
  </si>
  <si>
    <t>Parintins</t>
  </si>
  <si>
    <t>Boa Vista do Tupim</t>
  </si>
  <si>
    <t>Chaval</t>
  </si>
  <si>
    <t>Marechal Floriano</t>
  </si>
  <si>
    <t>Caçu</t>
  </si>
  <si>
    <t>Campestre do Maranhão</t>
  </si>
  <si>
    <t>Gaúcha do Norte</t>
  </si>
  <si>
    <t>Jateí</t>
  </si>
  <si>
    <t>Arcos</t>
  </si>
  <si>
    <t>Dom Eliseu</t>
  </si>
  <si>
    <t>Cajazeiras</t>
  </si>
  <si>
    <t>Casinhas</t>
  </si>
  <si>
    <t>Campo Largo do Piauí</t>
  </si>
  <si>
    <t>Goianinha</t>
  </si>
  <si>
    <t>Boa Vista do Cadeado</t>
  </si>
  <si>
    <t>Natividade</t>
  </si>
  <si>
    <t>Seringueiras</t>
  </si>
  <si>
    <t>Botuverá</t>
  </si>
  <si>
    <t>Aspásia</t>
  </si>
  <si>
    <t>Nossa Senhora de Lourdes</t>
  </si>
  <si>
    <t>Dianópolis</t>
  </si>
  <si>
    <t>China</t>
  </si>
  <si>
    <t>Pauini</t>
  </si>
  <si>
    <t>Bom Jesus da Lapa</t>
  </si>
  <si>
    <t>Choró</t>
  </si>
  <si>
    <t>Marilândia</t>
  </si>
  <si>
    <t>Caiapônia</t>
  </si>
  <si>
    <t>Cândido Mendes</t>
  </si>
  <si>
    <t>Juti</t>
  </si>
  <si>
    <t>Areado</t>
  </si>
  <si>
    <t>Eldorado do Carajás</t>
  </si>
  <si>
    <t>Cajazeirinhas</t>
  </si>
  <si>
    <t>Catende</t>
  </si>
  <si>
    <t>Campo Maior</t>
  </si>
  <si>
    <t>Governador Dix-Sept Rosado</t>
  </si>
  <si>
    <t>Boa Vista do Incra</t>
  </si>
  <si>
    <t>Nilópolis</t>
  </si>
  <si>
    <t>Teixeirópolis</t>
  </si>
  <si>
    <t>Braço do Norte</t>
  </si>
  <si>
    <t>Assis</t>
  </si>
  <si>
    <t>Nossa Senhora do Socorro</t>
  </si>
  <si>
    <t>Divinópolis do Tocantins</t>
  </si>
  <si>
    <t>Chipre</t>
  </si>
  <si>
    <t>Major Isidoro</t>
  </si>
  <si>
    <t>Presidente Figueiredo</t>
  </si>
  <si>
    <t>Bom Jesus da Serra</t>
  </si>
  <si>
    <t>Chorozinho</t>
  </si>
  <si>
    <t>Mimoso do Sul</t>
  </si>
  <si>
    <t>Caldas Novas</t>
  </si>
  <si>
    <t>Cantanhede</t>
  </si>
  <si>
    <t>Glória D'Oeste</t>
  </si>
  <si>
    <t>Ladário</t>
  </si>
  <si>
    <t>Argirita</t>
  </si>
  <si>
    <t>Faro</t>
  </si>
  <si>
    <t>Caldas Brandão</t>
  </si>
  <si>
    <t>Canavieira</t>
  </si>
  <si>
    <t>Grossos</t>
  </si>
  <si>
    <t>Boa Vista do Sul</t>
  </si>
  <si>
    <t>Niterói</t>
  </si>
  <si>
    <t>Theobroma</t>
  </si>
  <si>
    <t>Braço do Trombudo</t>
  </si>
  <si>
    <t>Pacatuba</t>
  </si>
  <si>
    <t>Dois Irmãos do Tocantins</t>
  </si>
  <si>
    <t>Mar Vermelho</t>
  </si>
  <si>
    <t>Rio Preto da Eva</t>
  </si>
  <si>
    <t>Boninal</t>
  </si>
  <si>
    <t>Coreaú</t>
  </si>
  <si>
    <t>Montanha</t>
  </si>
  <si>
    <t>Caldazinha</t>
  </si>
  <si>
    <t>Capinzal do Norte</t>
  </si>
  <si>
    <t>Guarantã do Norte</t>
  </si>
  <si>
    <t>Laguna Carapã</t>
  </si>
  <si>
    <t>Aricanduva</t>
  </si>
  <si>
    <t>Floresta do Araguaia</t>
  </si>
  <si>
    <t>Camalaú</t>
  </si>
  <si>
    <t>Chã de Alegria</t>
  </si>
  <si>
    <t>Canto do Buriti</t>
  </si>
  <si>
    <t>Guamaré</t>
  </si>
  <si>
    <t>Nova Friburgo</t>
  </si>
  <si>
    <t>Urupá</t>
  </si>
  <si>
    <t>Brunópolis</t>
  </si>
  <si>
    <t>Auriflama</t>
  </si>
  <si>
    <t>Pedra Mole</t>
  </si>
  <si>
    <t>Dueré</t>
  </si>
  <si>
    <t>Colômbia</t>
  </si>
  <si>
    <t>Maragogi</t>
  </si>
  <si>
    <t>Santa Isabel do Rio Negro</t>
  </si>
  <si>
    <t>Crateús</t>
  </si>
  <si>
    <t>Mucurici</t>
  </si>
  <si>
    <t>Campestre de Goiás</t>
  </si>
  <si>
    <t>Carolina</t>
  </si>
  <si>
    <t>Guiratinga</t>
  </si>
  <si>
    <t>Maracaju</t>
  </si>
  <si>
    <t>Arinos</t>
  </si>
  <si>
    <t>Garrafão do Norte</t>
  </si>
  <si>
    <t>Campina Grande</t>
  </si>
  <si>
    <t>Chã Grande</t>
  </si>
  <si>
    <t>Capitão de Campos</t>
  </si>
  <si>
    <t>Ielmo Marinho</t>
  </si>
  <si>
    <t>Bom Princípio</t>
  </si>
  <si>
    <t>Nova Iguaçu</t>
  </si>
  <si>
    <t>Vale do Anari</t>
  </si>
  <si>
    <t>Brusque</t>
  </si>
  <si>
    <t>Avaí</t>
  </si>
  <si>
    <t>Pedrinhas</t>
  </si>
  <si>
    <t>Esperantina</t>
  </si>
  <si>
    <t>Comores</t>
  </si>
  <si>
    <t>Maravilha</t>
  </si>
  <si>
    <t>Santo Antônio do Içá</t>
  </si>
  <si>
    <t>Boquira</t>
  </si>
  <si>
    <t>Crato</t>
  </si>
  <si>
    <t>Muniz Freire</t>
  </si>
  <si>
    <t>Campinaçu</t>
  </si>
  <si>
    <t>Carutapera</t>
  </si>
  <si>
    <t>Indiavaí</t>
  </si>
  <si>
    <t>Miranda</t>
  </si>
  <si>
    <t>Astolfo Dutra</t>
  </si>
  <si>
    <t>Goianésia do Pará</t>
  </si>
  <si>
    <t>Capim</t>
  </si>
  <si>
    <t>Condado</t>
  </si>
  <si>
    <t>Capitão Gervásio Oliveira</t>
  </si>
  <si>
    <t>Ipanguaçu</t>
  </si>
  <si>
    <t>Bom Progresso</t>
  </si>
  <si>
    <t>Paracambi</t>
  </si>
  <si>
    <t>Vale do Paraíso</t>
  </si>
  <si>
    <t>Caçador</t>
  </si>
  <si>
    <t>Avanhandava</t>
  </si>
  <si>
    <t>Fátima</t>
  </si>
  <si>
    <t>Coreia do Norte</t>
  </si>
  <si>
    <t>Marechal Deodoro</t>
  </si>
  <si>
    <t>São Gabriel da Cachoeira</t>
  </si>
  <si>
    <t>Botuporã</t>
  </si>
  <si>
    <t>Croatá</t>
  </si>
  <si>
    <t>Muqui</t>
  </si>
  <si>
    <t>Campinorte</t>
  </si>
  <si>
    <t>Caxias</t>
  </si>
  <si>
    <t>Ipiranga do Norte</t>
  </si>
  <si>
    <t>Mundo Novo</t>
  </si>
  <si>
    <t>Ataléia</t>
  </si>
  <si>
    <t>Gurupá</t>
  </si>
  <si>
    <t>Correntes</t>
  </si>
  <si>
    <t>Ipueira</t>
  </si>
  <si>
    <t>Bom Retiro do Sul</t>
  </si>
  <si>
    <t>Paraíba do Sul</t>
  </si>
  <si>
    <t>Vilhena</t>
  </si>
  <si>
    <t>Caibi</t>
  </si>
  <si>
    <t>Pirambu</t>
  </si>
  <si>
    <t>Figueirópolis</t>
  </si>
  <si>
    <t>Coreia do Sul</t>
  </si>
  <si>
    <t>Maribondo</t>
  </si>
  <si>
    <t>São Paulo de Olivença</t>
  </si>
  <si>
    <t>Brejões</t>
  </si>
  <si>
    <t>Cruz</t>
  </si>
  <si>
    <t>Nova Venécia</t>
  </si>
  <si>
    <t>Campo Alegre de Goiás</t>
  </si>
  <si>
    <t>Cedral</t>
  </si>
  <si>
    <t>Itanhangá</t>
  </si>
  <si>
    <t>Naviraí</t>
  </si>
  <si>
    <t>Augusto de Lima</t>
  </si>
  <si>
    <t>Igarapé-Açu</t>
  </si>
  <si>
    <t>Carrapateira</t>
  </si>
  <si>
    <t>Cortês</t>
  </si>
  <si>
    <t>Caraúbas do Piauí</t>
  </si>
  <si>
    <t>Itajá</t>
  </si>
  <si>
    <t>Boqueirão do Leão</t>
  </si>
  <si>
    <t>Paraty</t>
  </si>
  <si>
    <t>Calmon</t>
  </si>
  <si>
    <t>Bady Bassitt</t>
  </si>
  <si>
    <t>Poço Redondo</t>
  </si>
  <si>
    <t>Filadélfia</t>
  </si>
  <si>
    <t>Costa do Marfim</t>
  </si>
  <si>
    <t>Mata Grande</t>
  </si>
  <si>
    <t>São Sebastião do Uatumã</t>
  </si>
  <si>
    <t>Brejolândia</t>
  </si>
  <si>
    <t>Deputado Irapuan Pinheiro</t>
  </si>
  <si>
    <t>Pancas</t>
  </si>
  <si>
    <t>Campo Limpo de Goiás</t>
  </si>
  <si>
    <t>Central do Maranhão</t>
  </si>
  <si>
    <t>Itaúba</t>
  </si>
  <si>
    <t>Nioaque</t>
  </si>
  <si>
    <t>Baependi</t>
  </si>
  <si>
    <t>Igarapé-Miri</t>
  </si>
  <si>
    <t>Casserengue</t>
  </si>
  <si>
    <t>Cumaru</t>
  </si>
  <si>
    <t>Caridade do Piauí</t>
  </si>
  <si>
    <t>Itaú</t>
  </si>
  <si>
    <t>Bossoroca</t>
  </si>
  <si>
    <t>Paty do Alferes</t>
  </si>
  <si>
    <t>Camboriú</t>
  </si>
  <si>
    <t>Balbinos</t>
  </si>
  <si>
    <t>Poço Verde</t>
  </si>
  <si>
    <t>Formoso do Araguaia</t>
  </si>
  <si>
    <t>Matriz de Camaragibe</t>
  </si>
  <si>
    <t>Silves</t>
  </si>
  <si>
    <t>Brotas de Macaúbas</t>
  </si>
  <si>
    <t>Ereré</t>
  </si>
  <si>
    <t>Pedro Canário</t>
  </si>
  <si>
    <t>Campos Belos</t>
  </si>
  <si>
    <t>Centro do Guilherme</t>
  </si>
  <si>
    <t>Itiquira</t>
  </si>
  <si>
    <t>Nova Alvorada do Sul</t>
  </si>
  <si>
    <t>Baldim</t>
  </si>
  <si>
    <t>Inhangapi</t>
  </si>
  <si>
    <t>Catingueira</t>
  </si>
  <si>
    <t>Cupira</t>
  </si>
  <si>
    <t>Castelo do Piauí</t>
  </si>
  <si>
    <t>Jaçanã</t>
  </si>
  <si>
    <t>Bozano</t>
  </si>
  <si>
    <t>Petrópolis</t>
  </si>
  <si>
    <t>Bálsamo</t>
  </si>
  <si>
    <t>Porto da Folha</t>
  </si>
  <si>
    <t>Goianorte</t>
  </si>
  <si>
    <t>Croácia</t>
  </si>
  <si>
    <t>Messias</t>
  </si>
  <si>
    <t>Tabatinga</t>
  </si>
  <si>
    <t>Brumado</t>
  </si>
  <si>
    <t>Eusébio</t>
  </si>
  <si>
    <t>Pinheiros</t>
  </si>
  <si>
    <t>Campos Verdes</t>
  </si>
  <si>
    <t>Centro Novo do Maranhão</t>
  </si>
  <si>
    <t>Jaciara</t>
  </si>
  <si>
    <t>Nova Andradina</t>
  </si>
  <si>
    <t>Bambuí</t>
  </si>
  <si>
    <t>Ipixuna do Pará</t>
  </si>
  <si>
    <t>Catolé do Rocha</t>
  </si>
  <si>
    <t>Custódia</t>
  </si>
  <si>
    <t>Caxingó</t>
  </si>
  <si>
    <t>Jandaíra</t>
  </si>
  <si>
    <t>Braga</t>
  </si>
  <si>
    <t>Pinheiral</t>
  </si>
  <si>
    <t>Campo Belo do Sul</t>
  </si>
  <si>
    <t>Bananal</t>
  </si>
  <si>
    <t>Propriá</t>
  </si>
  <si>
    <t>Goiatins</t>
  </si>
  <si>
    <t>Cuba</t>
  </si>
  <si>
    <t>Minador do Negrão</t>
  </si>
  <si>
    <t>Tapauá</t>
  </si>
  <si>
    <t>Buerarema</t>
  </si>
  <si>
    <t>Farias Brito</t>
  </si>
  <si>
    <t>Piúma</t>
  </si>
  <si>
    <t>Carmo do Rio Verde</t>
  </si>
  <si>
    <t>Chapadinha</t>
  </si>
  <si>
    <t>Jangada</t>
  </si>
  <si>
    <t>Novo Horizonte do Sul</t>
  </si>
  <si>
    <t>Bandeira</t>
  </si>
  <si>
    <t>Irituia</t>
  </si>
  <si>
    <t>Caturité</t>
  </si>
  <si>
    <t>Dormentes</t>
  </si>
  <si>
    <t>Cocal</t>
  </si>
  <si>
    <t>Janduís</t>
  </si>
  <si>
    <t>Brochier</t>
  </si>
  <si>
    <t>Piraí</t>
  </si>
  <si>
    <t>Campo Erê</t>
  </si>
  <si>
    <t>Barão de Antonina</t>
  </si>
  <si>
    <t>Riachão do Dantas</t>
  </si>
  <si>
    <t>Guaraí</t>
  </si>
  <si>
    <t>Curaçau</t>
  </si>
  <si>
    <t>Monteirópolis</t>
  </si>
  <si>
    <t>Tefé</t>
  </si>
  <si>
    <t>Buritirama</t>
  </si>
  <si>
    <t>Forquilha</t>
  </si>
  <si>
    <t>Ponto Belo</t>
  </si>
  <si>
    <t>Castelândia</t>
  </si>
  <si>
    <t>Cidelândia</t>
  </si>
  <si>
    <t>Jauru</t>
  </si>
  <si>
    <t>Paraíso das Águas</t>
  </si>
  <si>
    <t>Bandeira do Sul</t>
  </si>
  <si>
    <t>Itaituba</t>
  </si>
  <si>
    <t>Conceição</t>
  </si>
  <si>
    <t>Escada</t>
  </si>
  <si>
    <t>Cocal de Telha</t>
  </si>
  <si>
    <t>Januário Cicco</t>
  </si>
  <si>
    <t>Butiá</t>
  </si>
  <si>
    <t>Porciúncula</t>
  </si>
  <si>
    <t>Campos Novos</t>
  </si>
  <si>
    <t>Barbosa</t>
  </si>
  <si>
    <t>Riachuelo</t>
  </si>
  <si>
    <t>Gurupi</t>
  </si>
  <si>
    <t>Dinamarca</t>
  </si>
  <si>
    <t>Murici</t>
  </si>
  <si>
    <t>Tonantins</t>
  </si>
  <si>
    <t>Caatiba</t>
  </si>
  <si>
    <t>Fortaleza</t>
  </si>
  <si>
    <t>Presidente Kennedy</t>
  </si>
  <si>
    <t>Catalão</t>
  </si>
  <si>
    <t>Codó</t>
  </si>
  <si>
    <t>Juara</t>
  </si>
  <si>
    <t>Paranaíba</t>
  </si>
  <si>
    <t>Barão de Cocais</t>
  </si>
  <si>
    <t>Itupiranga</t>
  </si>
  <si>
    <t>Exu</t>
  </si>
  <si>
    <t>Cocal dos Alves</t>
  </si>
  <si>
    <t>Japi</t>
  </si>
  <si>
    <t>Caçapava do Sul</t>
  </si>
  <si>
    <t>Porto Real</t>
  </si>
  <si>
    <t>Canelinha</t>
  </si>
  <si>
    <t>Bariri</t>
  </si>
  <si>
    <t>Ribeirópolis</t>
  </si>
  <si>
    <t>Ipueiras</t>
  </si>
  <si>
    <t>Dominica</t>
  </si>
  <si>
    <t>Novo Lino</t>
  </si>
  <si>
    <t>Uarini</t>
  </si>
  <si>
    <t>Cabaceiras do Paraguaçu</t>
  </si>
  <si>
    <t>Fortim</t>
  </si>
  <si>
    <t>Rio Bananal</t>
  </si>
  <si>
    <t>Caturaí</t>
  </si>
  <si>
    <t>Coelho Neto</t>
  </si>
  <si>
    <t>Juína</t>
  </si>
  <si>
    <t>Paranhos</t>
  </si>
  <si>
    <t>Barão do Monte Alto</t>
  </si>
  <si>
    <t>Jacareacanga</t>
  </si>
  <si>
    <t>Conde</t>
  </si>
  <si>
    <t>Coivaras</t>
  </si>
  <si>
    <t>Jardim de Angicos</t>
  </si>
  <si>
    <t>Cacequi</t>
  </si>
  <si>
    <t>Quatis</t>
  </si>
  <si>
    <t>Canoinhas</t>
  </si>
  <si>
    <t>Rosário do Catete</t>
  </si>
  <si>
    <t>Itacajá</t>
  </si>
  <si>
    <t>Egito</t>
  </si>
  <si>
    <t>Olho d'Água das Flores</t>
  </si>
  <si>
    <t>Urucará</t>
  </si>
  <si>
    <t>Cachoeira</t>
  </si>
  <si>
    <t>Frecheirinha</t>
  </si>
  <si>
    <t>Rio Novo do Sul</t>
  </si>
  <si>
    <t>Cavalcante</t>
  </si>
  <si>
    <t>Colinas</t>
  </si>
  <si>
    <t>Juruena</t>
  </si>
  <si>
    <t>Pedro Gomes</t>
  </si>
  <si>
    <t>Barbacena</t>
  </si>
  <si>
    <t>Jacundá</t>
  </si>
  <si>
    <t>Congo</t>
  </si>
  <si>
    <t>Fernando de Noronha</t>
  </si>
  <si>
    <t>Colônia do Gurguéia</t>
  </si>
  <si>
    <t>Jardim de Piranhas</t>
  </si>
  <si>
    <t>Cachoeira do Sul</t>
  </si>
  <si>
    <t>Queimados</t>
  </si>
  <si>
    <t>Capão Alto</t>
  </si>
  <si>
    <t>Barra do Chapéu</t>
  </si>
  <si>
    <t>Salgado</t>
  </si>
  <si>
    <t>Itaguatins</t>
  </si>
  <si>
    <t>Olho d'Água do Casado</t>
  </si>
  <si>
    <t>Urucurituba</t>
  </si>
  <si>
    <t>Caculé</t>
  </si>
  <si>
    <t>General Sampaio</t>
  </si>
  <si>
    <t>Santa Leopoldina</t>
  </si>
  <si>
    <t>Ceres</t>
  </si>
  <si>
    <t>Conceição do Lago-Açu</t>
  </si>
  <si>
    <t>Juscimeira</t>
  </si>
  <si>
    <t>Ponta Porã</t>
  </si>
  <si>
    <t>Barra Longa</t>
  </si>
  <si>
    <t>Juruti</t>
  </si>
  <si>
    <t>Coremas</t>
  </si>
  <si>
    <t>Ferreiros</t>
  </si>
  <si>
    <t>Colônia do Piauí</t>
  </si>
  <si>
    <t>Jardim do Seridó</t>
  </si>
  <si>
    <t>Quissamã</t>
  </si>
  <si>
    <t>Capinzal</t>
  </si>
  <si>
    <t>Barra do Turvo</t>
  </si>
  <si>
    <t>Santa Luzia do Itanhy</t>
  </si>
  <si>
    <t>Itapiratins</t>
  </si>
  <si>
    <t>El Salvador</t>
  </si>
  <si>
    <t>Olho d'Água Grande</t>
  </si>
  <si>
    <t>Caém</t>
  </si>
  <si>
    <t>Graça</t>
  </si>
  <si>
    <t>Santa Maria de Jetibá</t>
  </si>
  <si>
    <t>Cezarina</t>
  </si>
  <si>
    <t>Coroatá</t>
  </si>
  <si>
    <t>Lambari D'Oeste</t>
  </si>
  <si>
    <t>Porto Murtinho</t>
  </si>
  <si>
    <t>Barroso</t>
  </si>
  <si>
    <t>Limoeiro do Ajuru</t>
  </si>
  <si>
    <t>Coxixola</t>
  </si>
  <si>
    <t>Flores</t>
  </si>
  <si>
    <t>Conceição do Canindé</t>
  </si>
  <si>
    <t>João Câmara</t>
  </si>
  <si>
    <t>Cacique Doble</t>
  </si>
  <si>
    <t>Resende</t>
  </si>
  <si>
    <t>Capivari de Baixo</t>
  </si>
  <si>
    <t>Barretos</t>
  </si>
  <si>
    <t>Santa Rosa de Lima</t>
  </si>
  <si>
    <t>Itaporã do Tocantins</t>
  </si>
  <si>
    <t>Emirados Árabes Unidos</t>
  </si>
  <si>
    <t>Olivença</t>
  </si>
  <si>
    <t>Caetanos</t>
  </si>
  <si>
    <t>Granja</t>
  </si>
  <si>
    <t>Santa Teresa</t>
  </si>
  <si>
    <t>Chapadão do Céu</t>
  </si>
  <si>
    <t>Cururupu</t>
  </si>
  <si>
    <t>Lucas do Rio Verde</t>
  </si>
  <si>
    <t>Ribas do Rio Pardo</t>
  </si>
  <si>
    <t>Bela Vista de Minas</t>
  </si>
  <si>
    <t>Mãe do Rio</t>
  </si>
  <si>
    <t>Cruz do Espírito Santo</t>
  </si>
  <si>
    <t>Coronel José Dias</t>
  </si>
  <si>
    <t>João Dias</t>
  </si>
  <si>
    <t>Caibaté</t>
  </si>
  <si>
    <t>Rio Bonito</t>
  </si>
  <si>
    <t>Barrinha</t>
  </si>
  <si>
    <t>Santana do São Francisco</t>
  </si>
  <si>
    <t>Jaú do Tocantins</t>
  </si>
  <si>
    <t>Ouro Branco</t>
  </si>
  <si>
    <t>Caetité</t>
  </si>
  <si>
    <t>Granjeiro</t>
  </si>
  <si>
    <t>São Domingos do Norte</t>
  </si>
  <si>
    <t>Cidade Ocidental</t>
  </si>
  <si>
    <t>Davinópolis</t>
  </si>
  <si>
    <t>Luciara</t>
  </si>
  <si>
    <t>Rio Brilhante</t>
  </si>
  <si>
    <t>Belmiro Braga</t>
  </si>
  <si>
    <t>Magalhães Barata</t>
  </si>
  <si>
    <t>Cubati</t>
  </si>
  <si>
    <t>Frei Miguelinho</t>
  </si>
  <si>
    <t>Corrente</t>
  </si>
  <si>
    <t>José da Penha</t>
  </si>
  <si>
    <t>Rio Claro</t>
  </si>
  <si>
    <t>Caxambu do Sul</t>
  </si>
  <si>
    <t>Barueri</t>
  </si>
  <si>
    <t>Santo Amaro das Brotas</t>
  </si>
  <si>
    <t>Juarina</t>
  </si>
  <si>
    <t>Eritreia</t>
  </si>
  <si>
    <t>Palestina</t>
  </si>
  <si>
    <t>Cafarnaum</t>
  </si>
  <si>
    <t>Groaíras</t>
  </si>
  <si>
    <t>São Gabriel da Palha</t>
  </si>
  <si>
    <t>Cocalzinho de Goiás</t>
  </si>
  <si>
    <t>Dom Pedro</t>
  </si>
  <si>
    <t>Marcelândia</t>
  </si>
  <si>
    <t>Marabá</t>
  </si>
  <si>
    <t>Cuité</t>
  </si>
  <si>
    <t>Gameleira</t>
  </si>
  <si>
    <t>Cristalândia do Piauí</t>
  </si>
  <si>
    <t>Jucurutu</t>
  </si>
  <si>
    <t>Camaquã</t>
  </si>
  <si>
    <t>Rio das Flores</t>
  </si>
  <si>
    <t>Celso Ramos</t>
  </si>
  <si>
    <t>Bastos</t>
  </si>
  <si>
    <t>São Cristóvão</t>
  </si>
  <si>
    <t>Lagoa da Confusão</t>
  </si>
  <si>
    <t>Eslováquia</t>
  </si>
  <si>
    <t>Palmeira dos Índios</t>
  </si>
  <si>
    <t>Cairu</t>
  </si>
  <si>
    <t>Guaiúba</t>
  </si>
  <si>
    <t>São José do Calçado</t>
  </si>
  <si>
    <t>Colinas do Sul</t>
  </si>
  <si>
    <t>Duque Bacelar</t>
  </si>
  <si>
    <t>Matupá</t>
  </si>
  <si>
    <t>Rio Verde de Mato Grosso</t>
  </si>
  <si>
    <t>Belo Oriente</t>
  </si>
  <si>
    <t>Maracanã</t>
  </si>
  <si>
    <t>Cuité de Mamanguape</t>
  </si>
  <si>
    <t>Garanhuns</t>
  </si>
  <si>
    <t>Cristino Castro</t>
  </si>
  <si>
    <t>Camargo</t>
  </si>
  <si>
    <t>Rio das Ostras</t>
  </si>
  <si>
    <t>Cerro Negro</t>
  </si>
  <si>
    <t>Batatais</t>
  </si>
  <si>
    <t>São Domingos</t>
  </si>
  <si>
    <t>Lagoa do Tocantins</t>
  </si>
  <si>
    <t>Eslovênia</t>
  </si>
  <si>
    <t>Pão de Açúcar</t>
  </si>
  <si>
    <t>Caldeirão Grande</t>
  </si>
  <si>
    <t>Guaraciaba do Norte</t>
  </si>
  <si>
    <t>São Mateus</t>
  </si>
  <si>
    <t>Córrego do Ouro</t>
  </si>
  <si>
    <t>Esperantinópolis</t>
  </si>
  <si>
    <t>Mirassol d'Oeste</t>
  </si>
  <si>
    <t>Rochedo</t>
  </si>
  <si>
    <t>Belo Vale</t>
  </si>
  <si>
    <t>Marapanim</t>
  </si>
  <si>
    <t>Cuitegi</t>
  </si>
  <si>
    <t>Glória do Goitá</t>
  </si>
  <si>
    <t>Curimatá</t>
  </si>
  <si>
    <t>Lagoa d'Anta</t>
  </si>
  <si>
    <t>Cambará do Sul</t>
  </si>
  <si>
    <t>Chapadão do Lageado</t>
  </si>
  <si>
    <t>Bauru</t>
  </si>
  <si>
    <t>São Francisco</t>
  </si>
  <si>
    <t>Lajeado</t>
  </si>
  <si>
    <t>Espanha</t>
  </si>
  <si>
    <t>Pariconha</t>
  </si>
  <si>
    <t>Camacan</t>
  </si>
  <si>
    <t>Guaramiranga</t>
  </si>
  <si>
    <t>São Roque do Canaã</t>
  </si>
  <si>
    <t>Corumbá de Goiás</t>
  </si>
  <si>
    <t>Estreito</t>
  </si>
  <si>
    <t>Nobres</t>
  </si>
  <si>
    <t>Santa Rita do Pardo</t>
  </si>
  <si>
    <t>Berilo</t>
  </si>
  <si>
    <t>Marituba</t>
  </si>
  <si>
    <t>Curral de Cima</t>
  </si>
  <si>
    <t>Goiana</t>
  </si>
  <si>
    <t>Currais</t>
  </si>
  <si>
    <t>Lagoa de Pedras</t>
  </si>
  <si>
    <t>Campestre da Serra</t>
  </si>
  <si>
    <t>Santa Maria Madalena</t>
  </si>
  <si>
    <t>Bebedouro</t>
  </si>
  <si>
    <t>São Miguel do Aleixo</t>
  </si>
  <si>
    <t>Lavandeira</t>
  </si>
  <si>
    <t>Essuatíni</t>
  </si>
  <si>
    <t>Paripueira</t>
  </si>
  <si>
    <t>Camaçari</t>
  </si>
  <si>
    <t>Hidrolândia</t>
  </si>
  <si>
    <t>Serra</t>
  </si>
  <si>
    <t>Corumbaíba</t>
  </si>
  <si>
    <t>Feira Nova do Maranhão</t>
  </si>
  <si>
    <t>Nortelândia</t>
  </si>
  <si>
    <t>São Gabriel do Oeste</t>
  </si>
  <si>
    <t>Berizal</t>
  </si>
  <si>
    <t>Medicilândia</t>
  </si>
  <si>
    <t>Curral Velho</t>
  </si>
  <si>
    <t>Granito</t>
  </si>
  <si>
    <t>Curral Novo do Piauí</t>
  </si>
  <si>
    <t>Lagoa de Velhos</t>
  </si>
  <si>
    <t>Campina das Missões</t>
  </si>
  <si>
    <t>Santo Antônio de Pádua</t>
  </si>
  <si>
    <t>Cocal do Sul</t>
  </si>
  <si>
    <t>Bento de Abreu</t>
  </si>
  <si>
    <t>Simão Dias</t>
  </si>
  <si>
    <t>Lizarda</t>
  </si>
  <si>
    <t>Estados Federados da Micronésia</t>
  </si>
  <si>
    <t>Passo de Camaragibe</t>
  </si>
  <si>
    <t>Camamu</t>
  </si>
  <si>
    <t>Horizonte</t>
  </si>
  <si>
    <t>Sooretama</t>
  </si>
  <si>
    <t>Cristalina</t>
  </si>
  <si>
    <t>Fernando Falcão</t>
  </si>
  <si>
    <t>Nossa Senhora do Livramento</t>
  </si>
  <si>
    <t>Selvíria</t>
  </si>
  <si>
    <t>Bertópolis</t>
  </si>
  <si>
    <t>Melgaço</t>
  </si>
  <si>
    <t>Damião</t>
  </si>
  <si>
    <t>Gravatá</t>
  </si>
  <si>
    <t>Curralinhos</t>
  </si>
  <si>
    <t>Lagoa Nova</t>
  </si>
  <si>
    <t>Campinas do Sul</t>
  </si>
  <si>
    <t>São Fidélis</t>
  </si>
  <si>
    <t>Concórdia</t>
  </si>
  <si>
    <t>Bernardino de Campos</t>
  </si>
  <si>
    <t>Siriri</t>
  </si>
  <si>
    <t>Luzinópolis</t>
  </si>
  <si>
    <t>Paulo Jacinto</t>
  </si>
  <si>
    <t>Campo Alegre de Lourdes</t>
  </si>
  <si>
    <t>Ibaretama</t>
  </si>
  <si>
    <t>Vargem Alta</t>
  </si>
  <si>
    <t>Cristianópolis</t>
  </si>
  <si>
    <t>Formosa da Serra Negra</t>
  </si>
  <si>
    <t>Nova Bandeirantes</t>
  </si>
  <si>
    <t>Sete Quedas</t>
  </si>
  <si>
    <t>Betim</t>
  </si>
  <si>
    <t>Mocajuba</t>
  </si>
  <si>
    <t>Desterro</t>
  </si>
  <si>
    <t>Iati</t>
  </si>
  <si>
    <t>Demerval Lobão</t>
  </si>
  <si>
    <t>Lagoa Salgada</t>
  </si>
  <si>
    <t>Campo Bom</t>
  </si>
  <si>
    <t>São Francisco de Itabapoana</t>
  </si>
  <si>
    <t>Cordilheira Alta</t>
  </si>
  <si>
    <t>Bertioga</t>
  </si>
  <si>
    <t>Telha</t>
  </si>
  <si>
    <t>Marianópolis do Tocantins</t>
  </si>
  <si>
    <t>Estônia</t>
  </si>
  <si>
    <t>Penedo</t>
  </si>
  <si>
    <t>Campo Formoso</t>
  </si>
  <si>
    <t>Ibiapina</t>
  </si>
  <si>
    <t>Crixás</t>
  </si>
  <si>
    <t>Fortaleza dos Nogueiras</t>
  </si>
  <si>
    <t>Nova Brasilândia</t>
  </si>
  <si>
    <t>Sidrolândia</t>
  </si>
  <si>
    <t>Bias Fortes</t>
  </si>
  <si>
    <t>Moju</t>
  </si>
  <si>
    <t>Diamante</t>
  </si>
  <si>
    <t>Ibimirim</t>
  </si>
  <si>
    <t>Dirceu Arcoverde</t>
  </si>
  <si>
    <t>Lajes</t>
  </si>
  <si>
    <t>Campo Novo</t>
  </si>
  <si>
    <t>São Gonçalo</t>
  </si>
  <si>
    <t>Coronel Freitas</t>
  </si>
  <si>
    <t>Bilac</t>
  </si>
  <si>
    <t>Tobias Barreto</t>
  </si>
  <si>
    <t>Mateiros</t>
  </si>
  <si>
    <t>Etiópia</t>
  </si>
  <si>
    <t>Piaçabuçu</t>
  </si>
  <si>
    <t>Canápolis</t>
  </si>
  <si>
    <t>Ibicuitinga</t>
  </si>
  <si>
    <t>Viana</t>
  </si>
  <si>
    <t>Cromínia</t>
  </si>
  <si>
    <t>Fortuna</t>
  </si>
  <si>
    <t>Nova Canaã do Norte</t>
  </si>
  <si>
    <t>Sonora</t>
  </si>
  <si>
    <t>Bicas</t>
  </si>
  <si>
    <t>Mojuí dos Campos</t>
  </si>
  <si>
    <t>Dona Inês</t>
  </si>
  <si>
    <t>Ibirajuba</t>
  </si>
  <si>
    <t>Dom Expedito Lopes</t>
  </si>
  <si>
    <t>Lajes Pintadas</t>
  </si>
  <si>
    <t>Campos Borges</t>
  </si>
  <si>
    <t>São João da Barra</t>
  </si>
  <si>
    <t>Coronel Martins</t>
  </si>
  <si>
    <t>Birigui</t>
  </si>
  <si>
    <t>Tomar do Geru</t>
  </si>
  <si>
    <t>Maurilândia do Tocantins</t>
  </si>
  <si>
    <t>Fiji</t>
  </si>
  <si>
    <t>Pilar</t>
  </si>
  <si>
    <t>Icapuí</t>
  </si>
  <si>
    <t>Vila Pavão</t>
  </si>
  <si>
    <t>Cumari</t>
  </si>
  <si>
    <t>Godofredo Viana</t>
  </si>
  <si>
    <t>Nova Guarita</t>
  </si>
  <si>
    <t>Tacuru</t>
  </si>
  <si>
    <t>Biquinhas</t>
  </si>
  <si>
    <t>Monte Alegre</t>
  </si>
  <si>
    <t>Duas Estradas</t>
  </si>
  <si>
    <t>Igarassu</t>
  </si>
  <si>
    <t>Dom Inocêncio</t>
  </si>
  <si>
    <t>Lucrécia</t>
  </si>
  <si>
    <t>Candelária</t>
  </si>
  <si>
    <t>São João de Meriti</t>
  </si>
  <si>
    <t>Correia Pinto</t>
  </si>
  <si>
    <t>Biritiba Mirim</t>
  </si>
  <si>
    <t>Umbaúba</t>
  </si>
  <si>
    <t>Miracema do Tocantins</t>
  </si>
  <si>
    <t>Filipinas</t>
  </si>
  <si>
    <t>Pindoba</t>
  </si>
  <si>
    <t>Canavieiras</t>
  </si>
  <si>
    <t>Icó</t>
  </si>
  <si>
    <t>Vila Valério</t>
  </si>
  <si>
    <t>Damianópolis</t>
  </si>
  <si>
    <t>Gonçalves Dias</t>
  </si>
  <si>
    <t>Nova Lacerda</t>
  </si>
  <si>
    <t>Taquarussu</t>
  </si>
  <si>
    <t>Muaná</t>
  </si>
  <si>
    <t>Emas</t>
  </si>
  <si>
    <t>Iguaracy</t>
  </si>
  <si>
    <t>Domingos Mourão</t>
  </si>
  <si>
    <t>Luís Gomes</t>
  </si>
  <si>
    <t>Cândido Godói</t>
  </si>
  <si>
    <t>São José de Ubá</t>
  </si>
  <si>
    <t>Corupá</t>
  </si>
  <si>
    <t>Boa Esperança do Sul</t>
  </si>
  <si>
    <t>Miranorte</t>
  </si>
  <si>
    <t>Finlândia</t>
  </si>
  <si>
    <t>Piranhas</t>
  </si>
  <si>
    <t>Candeal</t>
  </si>
  <si>
    <t>Vila Velha</t>
  </si>
  <si>
    <t>Damolândia</t>
  </si>
  <si>
    <t>Governador Archer</t>
  </si>
  <si>
    <t>Nova Marilândia</t>
  </si>
  <si>
    <t>Terenos</t>
  </si>
  <si>
    <t>Bocaina de Minas</t>
  </si>
  <si>
    <t>Nova Esperança do Piriá</t>
  </si>
  <si>
    <t>Esperança</t>
  </si>
  <si>
    <t>Ilha de Itamaracá</t>
  </si>
  <si>
    <t>Elesbão Veloso</t>
  </si>
  <si>
    <t>Macaíba</t>
  </si>
  <si>
    <t>Candiota</t>
  </si>
  <si>
    <t>São José do Vale do Rio Preto</t>
  </si>
  <si>
    <t>Criciúma</t>
  </si>
  <si>
    <t>Monte do Carmo</t>
  </si>
  <si>
    <t>Poço das Trincheiras</t>
  </si>
  <si>
    <t>Candeias</t>
  </si>
  <si>
    <t>Independência</t>
  </si>
  <si>
    <t>Vitória</t>
  </si>
  <si>
    <t>Governador Edison Lobão</t>
  </si>
  <si>
    <t>Nova Maringá</t>
  </si>
  <si>
    <t>Três Lagoas</t>
  </si>
  <si>
    <t>Bocaiúva</t>
  </si>
  <si>
    <t>Nova Ipixuna</t>
  </si>
  <si>
    <t>Fagundes</t>
  </si>
  <si>
    <t>Eliseu Martins</t>
  </si>
  <si>
    <t>Macau</t>
  </si>
  <si>
    <t>Canela</t>
  </si>
  <si>
    <t>São Pedro da Aldeia</t>
  </si>
  <si>
    <t>Cunha Porã</t>
  </si>
  <si>
    <t>Bofete</t>
  </si>
  <si>
    <t>Monte Santo do Tocantins</t>
  </si>
  <si>
    <t>Gabão</t>
  </si>
  <si>
    <t>Porto Calvo</t>
  </si>
  <si>
    <t>Candiba</t>
  </si>
  <si>
    <t>Ipaporanga</t>
  </si>
  <si>
    <t>Diorama</t>
  </si>
  <si>
    <t>Governador Eugênio Barros</t>
  </si>
  <si>
    <t>Nova Monte Verde</t>
  </si>
  <si>
    <t>Vicentina</t>
  </si>
  <si>
    <t>Bom Despacho</t>
  </si>
  <si>
    <t>Nova Timboteua</t>
  </si>
  <si>
    <t>Frei Martinho</t>
  </si>
  <si>
    <t>Ingazeira</t>
  </si>
  <si>
    <t>Major Sales</t>
  </si>
  <si>
    <t>Canguçu</t>
  </si>
  <si>
    <t>São Sebastião do Alto</t>
  </si>
  <si>
    <t>Cunhataí</t>
  </si>
  <si>
    <t>Boituva</t>
  </si>
  <si>
    <t>Muricilândia</t>
  </si>
  <si>
    <t>Gâmbia</t>
  </si>
  <si>
    <t>Porto de Pedras</t>
  </si>
  <si>
    <t>Cândido Sales</t>
  </si>
  <si>
    <t>Ipaumirim</t>
  </si>
  <si>
    <t>Divinópolis de Goiás</t>
  </si>
  <si>
    <t>Governador Luiz Rocha</t>
  </si>
  <si>
    <t>Nova Mutum</t>
  </si>
  <si>
    <t>Bom Jardim de Minas</t>
  </si>
  <si>
    <t>Novo Progresso</t>
  </si>
  <si>
    <t>Gado Bravo</t>
  </si>
  <si>
    <t>Ipojuca</t>
  </si>
  <si>
    <t>Fartura do Piauí</t>
  </si>
  <si>
    <t>Marcelino Vieira</t>
  </si>
  <si>
    <t>Canoas</t>
  </si>
  <si>
    <t>Sapucaia</t>
  </si>
  <si>
    <t>Curitibanos</t>
  </si>
  <si>
    <t>Bom Jesus dos Perdões</t>
  </si>
  <si>
    <t>Gana</t>
  </si>
  <si>
    <t>Porto Real do Colégio</t>
  </si>
  <si>
    <t>Cansanção</t>
  </si>
  <si>
    <t>Ipu</t>
  </si>
  <si>
    <t>Doverlândia</t>
  </si>
  <si>
    <t>Governador Newton Bello</t>
  </si>
  <si>
    <t>Nova Nazaré</t>
  </si>
  <si>
    <t>Bom Jesus da Penha</t>
  </si>
  <si>
    <t>Novo Repartimento</t>
  </si>
  <si>
    <t>Guarabira</t>
  </si>
  <si>
    <t>Ipubi</t>
  </si>
  <si>
    <t>Flores do Piauí</t>
  </si>
  <si>
    <t>Martins</t>
  </si>
  <si>
    <t>Canudos do Vale</t>
  </si>
  <si>
    <t>Saquarema</t>
  </si>
  <si>
    <t>Descanso</t>
  </si>
  <si>
    <t>Bom Sucesso de Itararé</t>
  </si>
  <si>
    <t>Nazaré</t>
  </si>
  <si>
    <t>Geórgia</t>
  </si>
  <si>
    <t>Quebrangulo</t>
  </si>
  <si>
    <t>Canudos</t>
  </si>
  <si>
    <t>Edealina</t>
  </si>
  <si>
    <t>Governador Nunes Freire</t>
  </si>
  <si>
    <t>Bom Jesus do Amparo</t>
  </si>
  <si>
    <t>Óbidos</t>
  </si>
  <si>
    <t>Gurinhém</t>
  </si>
  <si>
    <t>Itacuruba</t>
  </si>
  <si>
    <t>Floresta do Piauí</t>
  </si>
  <si>
    <t>Maxaranguape</t>
  </si>
  <si>
    <t>Capão Bonito do Sul</t>
  </si>
  <si>
    <t>Seropédica</t>
  </si>
  <si>
    <t>Dionísio Cerqueira</t>
  </si>
  <si>
    <t>Borá</t>
  </si>
  <si>
    <t>Nova Olinda</t>
  </si>
  <si>
    <t>Rio Largo</t>
  </si>
  <si>
    <t>Capela do Alto Alegre</t>
  </si>
  <si>
    <t>Edéia</t>
  </si>
  <si>
    <t>Graça Aranha</t>
  </si>
  <si>
    <t>Nova Santa Helena</t>
  </si>
  <si>
    <t>Bom Jesus do Galho</t>
  </si>
  <si>
    <t>Oeiras do Pará</t>
  </si>
  <si>
    <t>Gurjão</t>
  </si>
  <si>
    <t>Itaíba</t>
  </si>
  <si>
    <t>Floriano</t>
  </si>
  <si>
    <t>Messias Targino</t>
  </si>
  <si>
    <t>Capão da Canoa</t>
  </si>
  <si>
    <t>Silva Jardim</t>
  </si>
  <si>
    <t>Dona Emma</t>
  </si>
  <si>
    <t>Boracéia</t>
  </si>
  <si>
    <t>Nova Rosalândia</t>
  </si>
  <si>
    <t>Granada</t>
  </si>
  <si>
    <t>Roteiro</t>
  </si>
  <si>
    <t>Capim Grosso</t>
  </si>
  <si>
    <t>Irauçuba</t>
  </si>
  <si>
    <t>Estrela do Norte</t>
  </si>
  <si>
    <t>Grajaú</t>
  </si>
  <si>
    <t>Nova Ubiratã</t>
  </si>
  <si>
    <t>Bom Repouso</t>
  </si>
  <si>
    <t>Oriximiná</t>
  </si>
  <si>
    <t>Ibiara</t>
  </si>
  <si>
    <t>Francinópolis</t>
  </si>
  <si>
    <t>Montanhas</t>
  </si>
  <si>
    <t>Capão do Cipó</t>
  </si>
  <si>
    <t>Sumidouro</t>
  </si>
  <si>
    <t>Doutor Pedrinho</t>
  </si>
  <si>
    <t>Novo Acordo</t>
  </si>
  <si>
    <t>Grécia</t>
  </si>
  <si>
    <t>Santa Luzia do Norte</t>
  </si>
  <si>
    <t>Caraíbas</t>
  </si>
  <si>
    <t>Itaiçaba</t>
  </si>
  <si>
    <t>Faina</t>
  </si>
  <si>
    <t>Guimarães</t>
  </si>
  <si>
    <t>Nova Xavantina</t>
  </si>
  <si>
    <t>Ourém</t>
  </si>
  <si>
    <t>Igaracy</t>
  </si>
  <si>
    <t>Itapetim</t>
  </si>
  <si>
    <t>Francisco Ayres</t>
  </si>
  <si>
    <t>Capão do Leão</t>
  </si>
  <si>
    <t>Tanguá</t>
  </si>
  <si>
    <t>Entre Rios</t>
  </si>
  <si>
    <t>Borebi</t>
  </si>
  <si>
    <t>Novo Alegre</t>
  </si>
  <si>
    <t>Guadalupe</t>
  </si>
  <si>
    <t>Santana do Ipanema</t>
  </si>
  <si>
    <t>Caravelas</t>
  </si>
  <si>
    <t>Itaitinga</t>
  </si>
  <si>
    <t>Fazenda Nova</t>
  </si>
  <si>
    <t>Humberto de Campos</t>
  </si>
  <si>
    <t>Novo Horizonte do Norte</t>
  </si>
  <si>
    <t>Ourilândia do Norte</t>
  </si>
  <si>
    <t>Imaculada</t>
  </si>
  <si>
    <t>Itapissuma</t>
  </si>
  <si>
    <t>Francisco Macedo</t>
  </si>
  <si>
    <t>Monte das Gameleiras</t>
  </si>
  <si>
    <t>Capela de Santana</t>
  </si>
  <si>
    <t>Teresópolis</t>
  </si>
  <si>
    <t>Ermo</t>
  </si>
  <si>
    <t>Botucatu</t>
  </si>
  <si>
    <t>Novo Jardim</t>
  </si>
  <si>
    <t>Guatemala</t>
  </si>
  <si>
    <t>Santana do Mundaú</t>
  </si>
  <si>
    <t>Cardeal da Silva</t>
  </si>
  <si>
    <t>Itapajé</t>
  </si>
  <si>
    <t>Firminópolis</t>
  </si>
  <si>
    <t>Icatu</t>
  </si>
  <si>
    <t>Novo Mundo</t>
  </si>
  <si>
    <t>Bonfinópolis de Minas</t>
  </si>
  <si>
    <t>Pacajá</t>
  </si>
  <si>
    <t>Ingá</t>
  </si>
  <si>
    <t>Itaquitinga</t>
  </si>
  <si>
    <t>Francisco Santos</t>
  </si>
  <si>
    <t>Mossoró</t>
  </si>
  <si>
    <t>Capitão</t>
  </si>
  <si>
    <t>Trajano de Moraes</t>
  </si>
  <si>
    <t>Erval Velho</t>
  </si>
  <si>
    <t>Bragança Paulista</t>
  </si>
  <si>
    <t>Oliveira de Fátima</t>
  </si>
  <si>
    <t>Guiana</t>
  </si>
  <si>
    <t>São Brás</t>
  </si>
  <si>
    <t>Carinhanha</t>
  </si>
  <si>
    <t>Itapipoca</t>
  </si>
  <si>
    <t>Flores de Goiás</t>
  </si>
  <si>
    <t>Igarapé do Meio</t>
  </si>
  <si>
    <t>Novo Santo Antônio</t>
  </si>
  <si>
    <t>Bonito de Minas</t>
  </si>
  <si>
    <t>Palestina do Pará</t>
  </si>
  <si>
    <t>Jaboatão dos Guararapes</t>
  </si>
  <si>
    <t>Fronteiras</t>
  </si>
  <si>
    <t>Natal</t>
  </si>
  <si>
    <t>Capivari do Sul</t>
  </si>
  <si>
    <t>Três Rios</t>
  </si>
  <si>
    <t>Faxinal dos Guedes</t>
  </si>
  <si>
    <t>Braúna</t>
  </si>
  <si>
    <t>Guiana Francesa</t>
  </si>
  <si>
    <t>São José da Laje</t>
  </si>
  <si>
    <t>Casa Nova</t>
  </si>
  <si>
    <t>Itapiúna</t>
  </si>
  <si>
    <t>Formosa</t>
  </si>
  <si>
    <t>Igarapé Grande</t>
  </si>
  <si>
    <t>Novo São Joaquim</t>
  </si>
  <si>
    <t>Borda da Mata</t>
  </si>
  <si>
    <t>Paragominas</t>
  </si>
  <si>
    <t>Itaporanga</t>
  </si>
  <si>
    <t>Jaqueira</t>
  </si>
  <si>
    <t>Geminiano</t>
  </si>
  <si>
    <t>Nísia Floresta</t>
  </si>
  <si>
    <t>Caraá</t>
  </si>
  <si>
    <t>Valença</t>
  </si>
  <si>
    <t>Flor do Sertão</t>
  </si>
  <si>
    <t>Brejo Alegre</t>
  </si>
  <si>
    <t>Palmeirante</t>
  </si>
  <si>
    <t>Guiné</t>
  </si>
  <si>
    <t>São José da Tapera</t>
  </si>
  <si>
    <t>Castro Alves</t>
  </si>
  <si>
    <t>Itarema</t>
  </si>
  <si>
    <t>Formoso</t>
  </si>
  <si>
    <t>Imperatriz</t>
  </si>
  <si>
    <t>Paranaíta</t>
  </si>
  <si>
    <t>Botelhos</t>
  </si>
  <si>
    <t>Parauapebas</t>
  </si>
  <si>
    <t>Itapororoca</t>
  </si>
  <si>
    <t>Jataúba</t>
  </si>
  <si>
    <t>Gilbués</t>
  </si>
  <si>
    <t>Nova Cruz</t>
  </si>
  <si>
    <t>Carazinho</t>
  </si>
  <si>
    <t>Varre-Sai</t>
  </si>
  <si>
    <t>Brodowski</t>
  </si>
  <si>
    <t>Palmeiras do Tocantins</t>
  </si>
  <si>
    <t>Guiné Equatorial</t>
  </si>
  <si>
    <t>São Luís do Quitunde</t>
  </si>
  <si>
    <t>Catolândia</t>
  </si>
  <si>
    <t>Itatira</t>
  </si>
  <si>
    <t>Gameleira de Goiás</t>
  </si>
  <si>
    <t>Itaipava do Grajaú</t>
  </si>
  <si>
    <t>Paranatinga</t>
  </si>
  <si>
    <t>Botumirim</t>
  </si>
  <si>
    <t>Pau D'Arco</t>
  </si>
  <si>
    <t>Itatuba</t>
  </si>
  <si>
    <t>Jatobá</t>
  </si>
  <si>
    <t>Olho d'Água do Borges</t>
  </si>
  <si>
    <t>Carlos Barbosa</t>
  </si>
  <si>
    <t>Vassouras</t>
  </si>
  <si>
    <t>Formosa do Sul</t>
  </si>
  <si>
    <t>Brotas</t>
  </si>
  <si>
    <t>Palmeirópolis</t>
  </si>
  <si>
    <t>Guiné-Bissau</t>
  </si>
  <si>
    <t>São Miguel dos Campos</t>
  </si>
  <si>
    <t>Catu</t>
  </si>
  <si>
    <t>Jaguaretama</t>
  </si>
  <si>
    <t>Goianápolis</t>
  </si>
  <si>
    <t>Itapecuru Mirim</t>
  </si>
  <si>
    <t>Pedra Preta</t>
  </si>
  <si>
    <t>Brás Pires</t>
  </si>
  <si>
    <t>Peixe-Boi</t>
  </si>
  <si>
    <t>Jacaraú</t>
  </si>
  <si>
    <t>João Alfredo</t>
  </si>
  <si>
    <t>Guaribas</t>
  </si>
  <si>
    <t>Carlos Gomes</t>
  </si>
  <si>
    <t>Volta Redonda</t>
  </si>
  <si>
    <t>Forquilhinha</t>
  </si>
  <si>
    <t>Buri</t>
  </si>
  <si>
    <t>Paraíso do Tocantins</t>
  </si>
  <si>
    <t>Haiti</t>
  </si>
  <si>
    <t>São Miguel dos Milagres</t>
  </si>
  <si>
    <t>Caturama</t>
  </si>
  <si>
    <t>Jaguaribara</t>
  </si>
  <si>
    <t>Goiandira</t>
  </si>
  <si>
    <t>Itinga do Maranhão</t>
  </si>
  <si>
    <t>Peixoto de Azevedo</t>
  </si>
  <si>
    <t>Brasilândia de Minas</t>
  </si>
  <si>
    <t>Piçarra</t>
  </si>
  <si>
    <t>Jericó</t>
  </si>
  <si>
    <t>Joaquim Nabuco</t>
  </si>
  <si>
    <t>Hugo Napoleão</t>
  </si>
  <si>
    <t>Casca</t>
  </si>
  <si>
    <t>Buritama</t>
  </si>
  <si>
    <t>Paranã</t>
  </si>
  <si>
    <t>Honduras</t>
  </si>
  <si>
    <t>São Sebastião</t>
  </si>
  <si>
    <t>Central</t>
  </si>
  <si>
    <t>Jaguaribe</t>
  </si>
  <si>
    <t>Goianésia</t>
  </si>
  <si>
    <t>Planalto da Serra</t>
  </si>
  <si>
    <t>Brasília de Minas</t>
  </si>
  <si>
    <t>Placas</t>
  </si>
  <si>
    <t>João Pessoa</t>
  </si>
  <si>
    <t>Jucati</t>
  </si>
  <si>
    <t>Ilha Grande</t>
  </si>
  <si>
    <t>Paraú</t>
  </si>
  <si>
    <t>Caseiros</t>
  </si>
  <si>
    <t>Frei Rogério</t>
  </si>
  <si>
    <t>Buritizal</t>
  </si>
  <si>
    <t>Hungria</t>
  </si>
  <si>
    <t>Satuba</t>
  </si>
  <si>
    <t>Chorrochó</t>
  </si>
  <si>
    <t>Jaguaruana</t>
  </si>
  <si>
    <t>Goiânia</t>
  </si>
  <si>
    <t>Jenipapo dos Vieiras</t>
  </si>
  <si>
    <t>Poconé</t>
  </si>
  <si>
    <t>Braúnas</t>
  </si>
  <si>
    <t>Ponta de Pedras</t>
  </si>
  <si>
    <t>Joca Claudino</t>
  </si>
  <si>
    <t>Jupi</t>
  </si>
  <si>
    <t>Inhuma</t>
  </si>
  <si>
    <t>Parazinho</t>
  </si>
  <si>
    <t>Catuípe</t>
  </si>
  <si>
    <t>Galvão</t>
  </si>
  <si>
    <t>Cabrália Paulista</t>
  </si>
  <si>
    <t>Pedro Afonso</t>
  </si>
  <si>
    <t>Iêmen</t>
  </si>
  <si>
    <t>Senador Rui Palmeira</t>
  </si>
  <si>
    <t>Cícero Dantas</t>
  </si>
  <si>
    <t>Goianira</t>
  </si>
  <si>
    <t>João Lisboa</t>
  </si>
  <si>
    <t>Pontal do Araguaia</t>
  </si>
  <si>
    <t>Brazópolis</t>
  </si>
  <si>
    <t>Portel</t>
  </si>
  <si>
    <t>Juarez Távora</t>
  </si>
  <si>
    <t>Jurema</t>
  </si>
  <si>
    <t>Ipiranga do Piauí</t>
  </si>
  <si>
    <t>Parelhas</t>
  </si>
  <si>
    <t>Caxias do Sul</t>
  </si>
  <si>
    <t>Garopaba</t>
  </si>
  <si>
    <t>Cabreúva</t>
  </si>
  <si>
    <t>Peixe</t>
  </si>
  <si>
    <t>Tanque d'Arca</t>
  </si>
  <si>
    <t>Cipó</t>
  </si>
  <si>
    <t>Jati</t>
  </si>
  <si>
    <t>Goiás</t>
  </si>
  <si>
    <t>Joselândia</t>
  </si>
  <si>
    <t>Ponte Branca</t>
  </si>
  <si>
    <t>Brumadinho</t>
  </si>
  <si>
    <t>Porto de Moz</t>
  </si>
  <si>
    <t>Juazeirinho</t>
  </si>
  <si>
    <t>Lagoa de Itaenga</t>
  </si>
  <si>
    <t>Isaías Coelho</t>
  </si>
  <si>
    <t>Parnamirim</t>
  </si>
  <si>
    <t>Garuva</t>
  </si>
  <si>
    <t>Caçapava</t>
  </si>
  <si>
    <t>Pequizeiro</t>
  </si>
  <si>
    <t>Ilhas Cayman</t>
  </si>
  <si>
    <t>Taquarana</t>
  </si>
  <si>
    <t>Coaraci</t>
  </si>
  <si>
    <t>Jijoca de Jericoacoara</t>
  </si>
  <si>
    <t>Goiatuba</t>
  </si>
  <si>
    <t>Junco do Maranhão</t>
  </si>
  <si>
    <t>Pontes e Lacerda</t>
  </si>
  <si>
    <t>Bueno Brandão</t>
  </si>
  <si>
    <t>Prainha</t>
  </si>
  <si>
    <t>Junco do Seridó</t>
  </si>
  <si>
    <t>Lagoa do Carro</t>
  </si>
  <si>
    <t>Itainópolis</t>
  </si>
  <si>
    <t>Passa e Fica</t>
  </si>
  <si>
    <t>Cerrito</t>
  </si>
  <si>
    <t>Gaspar</t>
  </si>
  <si>
    <t>Cachoeira Paulista</t>
  </si>
  <si>
    <t>Pindorama do Tocantins</t>
  </si>
  <si>
    <t>Ilhas Malvinas</t>
  </si>
  <si>
    <t>Teotônio Vilela</t>
  </si>
  <si>
    <t>Cocos</t>
  </si>
  <si>
    <t>Juazeiro do Norte</t>
  </si>
  <si>
    <t>Gouvelândia</t>
  </si>
  <si>
    <t>Lago da Pedra</t>
  </si>
  <si>
    <t>Porto Alegre do Norte</t>
  </si>
  <si>
    <t>Buenópolis</t>
  </si>
  <si>
    <t>Primavera</t>
  </si>
  <si>
    <t>Juripiranga</t>
  </si>
  <si>
    <t>Diamante D'Oeste</t>
  </si>
  <si>
    <t>Lagoa do Ouro</t>
  </si>
  <si>
    <t>Itaueira</t>
  </si>
  <si>
    <t>Passagem</t>
  </si>
  <si>
    <t>Cerro Branco</t>
  </si>
  <si>
    <t>Governador Celso Ramos</t>
  </si>
  <si>
    <t>Caconde</t>
  </si>
  <si>
    <t>Piraquê</t>
  </si>
  <si>
    <t>Ilhas Salomão</t>
  </si>
  <si>
    <t>Traipu</t>
  </si>
  <si>
    <t>Conceição da Feira</t>
  </si>
  <si>
    <t>Jucás</t>
  </si>
  <si>
    <t>Guapó</t>
  </si>
  <si>
    <t>Lago do Junco</t>
  </si>
  <si>
    <t>Porto dos Gaúchos</t>
  </si>
  <si>
    <t>Bugre</t>
  </si>
  <si>
    <t>Quatipuru</t>
  </si>
  <si>
    <t>Juru</t>
  </si>
  <si>
    <t>Lagoa dos Gatos</t>
  </si>
  <si>
    <t>Jacobina do Piauí</t>
  </si>
  <si>
    <t>Patu</t>
  </si>
  <si>
    <t>Cerro Grande</t>
  </si>
  <si>
    <t>Grão-Pará</t>
  </si>
  <si>
    <t>Pium</t>
  </si>
  <si>
    <t>Ilhas Turcas e Caicos</t>
  </si>
  <si>
    <t>União dos Palmares</t>
  </si>
  <si>
    <t>Conceição do Almeida</t>
  </si>
  <si>
    <t>Lavras da Mangabeira</t>
  </si>
  <si>
    <t>Guaraíta</t>
  </si>
  <si>
    <t>Lago dos Rodrigues</t>
  </si>
  <si>
    <t>Porto Esperidião</t>
  </si>
  <si>
    <t>Redenção</t>
  </si>
  <si>
    <t>Lagoa</t>
  </si>
  <si>
    <t>Lagoa Grande</t>
  </si>
  <si>
    <t>Jaicós</t>
  </si>
  <si>
    <t>Pau dos Ferros</t>
  </si>
  <si>
    <t>Cerro Grande do Sul</t>
  </si>
  <si>
    <t>Gravatal</t>
  </si>
  <si>
    <t>Caiabu</t>
  </si>
  <si>
    <t>Ponte Alta do Bom Jesus</t>
  </si>
  <si>
    <t>Ilhas Virgens Americanas</t>
  </si>
  <si>
    <t>Conceição do Coité</t>
  </si>
  <si>
    <t>Limoeiro do Norte</t>
  </si>
  <si>
    <t>Guarani de Goiás</t>
  </si>
  <si>
    <t>Lago Verde</t>
  </si>
  <si>
    <t>Porto Estrela</t>
  </si>
  <si>
    <t>Buritizeiro</t>
  </si>
  <si>
    <t>Rio Maria</t>
  </si>
  <si>
    <t>Lagoa de Dentro</t>
  </si>
  <si>
    <t>Lajedo</t>
  </si>
  <si>
    <t>Jardim do Mulato</t>
  </si>
  <si>
    <t>Pedra Grande</t>
  </si>
  <si>
    <t>Cerro Largo</t>
  </si>
  <si>
    <t>Guabiruba</t>
  </si>
  <si>
    <t>Caieiras</t>
  </si>
  <si>
    <t>Ponte Alta do Tocantins</t>
  </si>
  <si>
    <t>Ilhas Virgens Britânicas</t>
  </si>
  <si>
    <t>Conceição do Jacuípe</t>
  </si>
  <si>
    <t>Madalena</t>
  </si>
  <si>
    <t>Guarinos</t>
  </si>
  <si>
    <t>Lagoa do Mato</t>
  </si>
  <si>
    <t>Poxoréu</t>
  </si>
  <si>
    <t>Cabeceira Grande</t>
  </si>
  <si>
    <t>Rondon do Pará</t>
  </si>
  <si>
    <t>Lagoa Seca</t>
  </si>
  <si>
    <t>Limoeiro</t>
  </si>
  <si>
    <t>Jatobá do Piauí</t>
  </si>
  <si>
    <t>Chapada</t>
  </si>
  <si>
    <t>Guaraciaba</t>
  </si>
  <si>
    <t>Caiuá</t>
  </si>
  <si>
    <t>Porto Alegre do Tocantins</t>
  </si>
  <si>
    <t>Índia</t>
  </si>
  <si>
    <t>Maracanaú</t>
  </si>
  <si>
    <t>Heitoraí</t>
  </si>
  <si>
    <t>Lagoa Grande do Maranhão</t>
  </si>
  <si>
    <t>Primavera do Leste</t>
  </si>
  <si>
    <t>Rurópolis</t>
  </si>
  <si>
    <t>Lastro</t>
  </si>
  <si>
    <t>Macaparana</t>
  </si>
  <si>
    <t>Jerumenha</t>
  </si>
  <si>
    <t>Pedro Avelino</t>
  </si>
  <si>
    <t>Charqueadas</t>
  </si>
  <si>
    <t>Guaramirim</t>
  </si>
  <si>
    <t>Cajamar</t>
  </si>
  <si>
    <t>Porto Nacional</t>
  </si>
  <si>
    <t>Indonésia</t>
  </si>
  <si>
    <t>Condeúba</t>
  </si>
  <si>
    <t>Maranguape</t>
  </si>
  <si>
    <t>Lajeado Novo</t>
  </si>
  <si>
    <t>Querência</t>
  </si>
  <si>
    <t>Cachoeira da Prata</t>
  </si>
  <si>
    <t>Salinópolis</t>
  </si>
  <si>
    <t>Livramento</t>
  </si>
  <si>
    <t>Machados</t>
  </si>
  <si>
    <t>João Costa</t>
  </si>
  <si>
    <t>Pedro Velho</t>
  </si>
  <si>
    <t>Charrua</t>
  </si>
  <si>
    <t>Guarujá do Sul</t>
  </si>
  <si>
    <t>Cajati</t>
  </si>
  <si>
    <t>Praia Norte</t>
  </si>
  <si>
    <t>Irã</t>
  </si>
  <si>
    <t>Contendas do Sincorá</t>
  </si>
  <si>
    <t>Marco</t>
  </si>
  <si>
    <t>Hidrolina</t>
  </si>
  <si>
    <t>Lima Campos</t>
  </si>
  <si>
    <t>Reserva do Cabaçal</t>
  </si>
  <si>
    <t>Cachoeira de Minas</t>
  </si>
  <si>
    <t>Salvaterra</t>
  </si>
  <si>
    <t>Logradouro</t>
  </si>
  <si>
    <t>Manari</t>
  </si>
  <si>
    <t>Joaquim Pires</t>
  </si>
  <si>
    <t>Pendências</t>
  </si>
  <si>
    <t>Chiapetta</t>
  </si>
  <si>
    <t>Guatambú</t>
  </si>
  <si>
    <t>Cajobi</t>
  </si>
  <si>
    <t>Iraque</t>
  </si>
  <si>
    <t>Coração de Maria</t>
  </si>
  <si>
    <t>Martinópole</t>
  </si>
  <si>
    <t>Iaciara</t>
  </si>
  <si>
    <t>Loreto</t>
  </si>
  <si>
    <t>Ribeirão Cascalheira</t>
  </si>
  <si>
    <t>Cachoeira de Pajeú</t>
  </si>
  <si>
    <t>Santa Bárbara do Pará</t>
  </si>
  <si>
    <t>Lucena</t>
  </si>
  <si>
    <t>Maraial</t>
  </si>
  <si>
    <t>Joca Marques</t>
  </si>
  <si>
    <t>Pilões</t>
  </si>
  <si>
    <t>Chuí</t>
  </si>
  <si>
    <t>Herval d'Oeste</t>
  </si>
  <si>
    <t>Cajuru</t>
  </si>
  <si>
    <t>Pugmil</t>
  </si>
  <si>
    <t>Irlanda</t>
  </si>
  <si>
    <t>Cordeiros</t>
  </si>
  <si>
    <t>Massapê</t>
  </si>
  <si>
    <t>Inaciolândia</t>
  </si>
  <si>
    <t>Luís Domingues</t>
  </si>
  <si>
    <t>Ribeirãozinho</t>
  </si>
  <si>
    <t>Santa Cruz do Arari</t>
  </si>
  <si>
    <t>Mãe d'Água</t>
  </si>
  <si>
    <t>Mirandiba</t>
  </si>
  <si>
    <t>José de Freitas</t>
  </si>
  <si>
    <t>Poço Branco</t>
  </si>
  <si>
    <t>Chuvisca</t>
  </si>
  <si>
    <t>Ibiam</t>
  </si>
  <si>
    <t>Campina do Monte Alegre</t>
  </si>
  <si>
    <t>Recursolândia</t>
  </si>
  <si>
    <t>Islândia</t>
  </si>
  <si>
    <t>Coribe</t>
  </si>
  <si>
    <t>Mauriti</t>
  </si>
  <si>
    <t>Indiara</t>
  </si>
  <si>
    <t>Magalhães de Almeida</t>
  </si>
  <si>
    <t>Caetanópolis</t>
  </si>
  <si>
    <t>Santa Izabel do Pará</t>
  </si>
  <si>
    <t>Malta</t>
  </si>
  <si>
    <t>Moreilândia</t>
  </si>
  <si>
    <t>Juazeiro do Piauí</t>
  </si>
  <si>
    <t>Portalegre</t>
  </si>
  <si>
    <t>Cidreira</t>
  </si>
  <si>
    <t>Ibicaré</t>
  </si>
  <si>
    <t>Riachinho</t>
  </si>
  <si>
    <t>Israel</t>
  </si>
  <si>
    <t>Coronel João Sá</t>
  </si>
  <si>
    <t>Meruoca</t>
  </si>
  <si>
    <t>Inhumas</t>
  </si>
  <si>
    <t>Maracaçumé</t>
  </si>
  <si>
    <t>Rondolândia</t>
  </si>
  <si>
    <t>Caeté</t>
  </si>
  <si>
    <t>Santa Luzia do Pará</t>
  </si>
  <si>
    <t>Mamanguape</t>
  </si>
  <si>
    <t>Moreno</t>
  </si>
  <si>
    <t>Júlio Borges</t>
  </si>
  <si>
    <t>Porto do Mangue</t>
  </si>
  <si>
    <t>Ciríaco</t>
  </si>
  <si>
    <t>Ibirama</t>
  </si>
  <si>
    <t>Campo Limpo Paulista</t>
  </si>
  <si>
    <t>Rio da Conceição</t>
  </si>
  <si>
    <t>Correntina</t>
  </si>
  <si>
    <t>Milagres</t>
  </si>
  <si>
    <t>Ipameri</t>
  </si>
  <si>
    <t>Marajá do Sena</t>
  </si>
  <si>
    <t>Rondonópolis</t>
  </si>
  <si>
    <t>Caiana</t>
  </si>
  <si>
    <t>Santa Maria das Barreiras</t>
  </si>
  <si>
    <t>Manaíra</t>
  </si>
  <si>
    <t>Nazaré da Mata</t>
  </si>
  <si>
    <t>Pureza</t>
  </si>
  <si>
    <t>Içara</t>
  </si>
  <si>
    <t>Campos do Jordão</t>
  </si>
  <si>
    <t>Rio dos Bois</t>
  </si>
  <si>
    <t>Jamaica</t>
  </si>
  <si>
    <t>Cotegipe</t>
  </si>
  <si>
    <t>Milhã</t>
  </si>
  <si>
    <t>Ipiranga de Goiás</t>
  </si>
  <si>
    <t>Maranhãozinho</t>
  </si>
  <si>
    <t>Rosário Oeste</t>
  </si>
  <si>
    <t>Cajuri</t>
  </si>
  <si>
    <t>Santa Maria do Pará</t>
  </si>
  <si>
    <t>Marcação</t>
  </si>
  <si>
    <t>Olinda</t>
  </si>
  <si>
    <t>Lagoa Alegre</t>
  </si>
  <si>
    <t>Rafael Fernandes</t>
  </si>
  <si>
    <t>Ilhota</t>
  </si>
  <si>
    <t>Campos Novos Paulista</t>
  </si>
  <si>
    <t>Rio Sono</t>
  </si>
  <si>
    <t>Japão</t>
  </si>
  <si>
    <t>Cravolândia</t>
  </si>
  <si>
    <t>Miraíma</t>
  </si>
  <si>
    <t>Iporá</t>
  </si>
  <si>
    <t>Mata Roma</t>
  </si>
  <si>
    <t>Salto do Céu</t>
  </si>
  <si>
    <t>Caldas</t>
  </si>
  <si>
    <t>Santana do Araguaia</t>
  </si>
  <si>
    <t>Mari</t>
  </si>
  <si>
    <t>Orobó</t>
  </si>
  <si>
    <t>Lagoa de São Francisco</t>
  </si>
  <si>
    <t>Rafael Godeiro</t>
  </si>
  <si>
    <t>Condor</t>
  </si>
  <si>
    <t>Imaruí</t>
  </si>
  <si>
    <t>Cananéia</t>
  </si>
  <si>
    <t>Sampaio</t>
  </si>
  <si>
    <t>Jibuti</t>
  </si>
  <si>
    <t>Crisópolis</t>
  </si>
  <si>
    <t>Missão Velha</t>
  </si>
  <si>
    <t>Israelândia</t>
  </si>
  <si>
    <t>Matinha</t>
  </si>
  <si>
    <t>Santa Carmem</t>
  </si>
  <si>
    <t>Camacho</t>
  </si>
  <si>
    <t>Santarém</t>
  </si>
  <si>
    <t>Marizópolis</t>
  </si>
  <si>
    <t>Orocó</t>
  </si>
  <si>
    <t>Lagoa do Barro do Piauí</t>
  </si>
  <si>
    <t>Riacho da Cruz</t>
  </si>
  <si>
    <t>Constantina</t>
  </si>
  <si>
    <t>Imbituba</t>
  </si>
  <si>
    <t>Canas</t>
  </si>
  <si>
    <t>Sandolândia</t>
  </si>
  <si>
    <t>Jordânia</t>
  </si>
  <si>
    <t>Cristópolis</t>
  </si>
  <si>
    <t>Mombaça</t>
  </si>
  <si>
    <t>Itaberaí</t>
  </si>
  <si>
    <t>Matões</t>
  </si>
  <si>
    <t>Santa Cruz do Xingu</t>
  </si>
  <si>
    <t>Camanducaia</t>
  </si>
  <si>
    <t>Santarém Novo</t>
  </si>
  <si>
    <t>Massaranduba</t>
  </si>
  <si>
    <t>Ouricuri</t>
  </si>
  <si>
    <t>Lagoa do Piauí</t>
  </si>
  <si>
    <t>Riacho de Santana</t>
  </si>
  <si>
    <t>Coqueiro Baixo</t>
  </si>
  <si>
    <t>Imbuia</t>
  </si>
  <si>
    <t>Cândido Mota</t>
  </si>
  <si>
    <t>Santa Fé do Araguaia</t>
  </si>
  <si>
    <t>Kiribati</t>
  </si>
  <si>
    <t>Cruz das Almas</t>
  </si>
  <si>
    <t>Monsenhor Tabosa</t>
  </si>
  <si>
    <t>Itaguari</t>
  </si>
  <si>
    <t>Matões do Norte</t>
  </si>
  <si>
    <t>Santa Rita do Trivelato</t>
  </si>
  <si>
    <t>Cambuí</t>
  </si>
  <si>
    <t>Santo Antônio do Tauá</t>
  </si>
  <si>
    <t>Mataraca</t>
  </si>
  <si>
    <t>Palmares</t>
  </si>
  <si>
    <t>Lagoa do Sítio</t>
  </si>
  <si>
    <t>Coqueiros do Sul</t>
  </si>
  <si>
    <t>Indaial</t>
  </si>
  <si>
    <t>Cândido Rodrigues</t>
  </si>
  <si>
    <t>Santa Maria do Tocantins</t>
  </si>
  <si>
    <t>Kuwait</t>
  </si>
  <si>
    <t>Curaçá</t>
  </si>
  <si>
    <t>Morada Nova</t>
  </si>
  <si>
    <t>Itaguaru</t>
  </si>
  <si>
    <t>Milagres do Maranhão</t>
  </si>
  <si>
    <t>Santa Terezinha</t>
  </si>
  <si>
    <t>Cambuquira</t>
  </si>
  <si>
    <t>São Caetano de Odivelas</t>
  </si>
  <si>
    <t>Matinhas</t>
  </si>
  <si>
    <t>Palmeirina</t>
  </si>
  <si>
    <t>Lagoinha do Piauí</t>
  </si>
  <si>
    <t>Rio do Fogo</t>
  </si>
  <si>
    <t>Coronel Barros</t>
  </si>
  <si>
    <t>Iomerê</t>
  </si>
  <si>
    <t>Canitar</t>
  </si>
  <si>
    <t>Santa Rita do Tocantins</t>
  </si>
  <si>
    <t>Laos</t>
  </si>
  <si>
    <t>Dário Meira</t>
  </si>
  <si>
    <t>Moraújo</t>
  </si>
  <si>
    <t>Santo Afonso</t>
  </si>
  <si>
    <t>Campanário</t>
  </si>
  <si>
    <t>São Domingos do Araguaia</t>
  </si>
  <si>
    <t>Mato Grosso</t>
  </si>
  <si>
    <t>Panelas</t>
  </si>
  <si>
    <t>Landri Sales</t>
  </si>
  <si>
    <t>Rodolfo Fernandes</t>
  </si>
  <si>
    <t>Coronel Bicaco</t>
  </si>
  <si>
    <t>Ipira</t>
  </si>
  <si>
    <t>Capão Bonito</t>
  </si>
  <si>
    <t>Santa Rosa do Tocantins</t>
  </si>
  <si>
    <t>Lesoto</t>
  </si>
  <si>
    <t>Dias d'Ávila</t>
  </si>
  <si>
    <t>Morrinhos</t>
  </si>
  <si>
    <t>Itapaci</t>
  </si>
  <si>
    <t>Miranda do Norte</t>
  </si>
  <si>
    <t>Santo Antônio de Leverger</t>
  </si>
  <si>
    <t>Campanha</t>
  </si>
  <si>
    <t>São Domingos do Capim</t>
  </si>
  <si>
    <t>Maturéia</t>
  </si>
  <si>
    <t>Paranatama</t>
  </si>
  <si>
    <t>Luís Correia</t>
  </si>
  <si>
    <t>Ruy Barbosa</t>
  </si>
  <si>
    <t>Coronel Pilar</t>
  </si>
  <si>
    <t>Iporã do Oeste</t>
  </si>
  <si>
    <t>Capela do Alto</t>
  </si>
  <si>
    <t>Santa Tereza do Tocantins</t>
  </si>
  <si>
    <t>Letônia</t>
  </si>
  <si>
    <t>Dom Basílio</t>
  </si>
  <si>
    <t>Mucambo</t>
  </si>
  <si>
    <t>Itapirapuã</t>
  </si>
  <si>
    <t>Mirinzal</t>
  </si>
  <si>
    <t>Santo Antônio do Leste</t>
  </si>
  <si>
    <t>São Félix do Xingu</t>
  </si>
  <si>
    <t>Mogeiro</t>
  </si>
  <si>
    <t>Luzilândia</t>
  </si>
  <si>
    <t>Santa Cruz</t>
  </si>
  <si>
    <t>Cotiporã</t>
  </si>
  <si>
    <t>Ipuaçu</t>
  </si>
  <si>
    <t>Capivari</t>
  </si>
  <si>
    <t>Santa Terezinha do Tocantins</t>
  </si>
  <si>
    <t>Líbano</t>
  </si>
  <si>
    <t>Dom Macedo Costa</t>
  </si>
  <si>
    <t>Mulungu</t>
  </si>
  <si>
    <t>Itapuranga</t>
  </si>
  <si>
    <t>Monção</t>
  </si>
  <si>
    <t>São Félix do Araguaia</t>
  </si>
  <si>
    <t>Campina Verde</t>
  </si>
  <si>
    <t>São Francisco do Pará</t>
  </si>
  <si>
    <t>Montadas</t>
  </si>
  <si>
    <t>Passira</t>
  </si>
  <si>
    <t>Madeiro</t>
  </si>
  <si>
    <t>Santa Maria</t>
  </si>
  <si>
    <t>Coxilha</t>
  </si>
  <si>
    <t>Ipumirim</t>
  </si>
  <si>
    <t>Caraguatatuba</t>
  </si>
  <si>
    <t>São Bento do Tocantins</t>
  </si>
  <si>
    <t>Libéria</t>
  </si>
  <si>
    <t>Elísio Medrado</t>
  </si>
  <si>
    <t>Itarumã</t>
  </si>
  <si>
    <t>Montes Altos</t>
  </si>
  <si>
    <t>São José do Povo</t>
  </si>
  <si>
    <t>Campo Azul</t>
  </si>
  <si>
    <t>São Geraldo do Araguaia</t>
  </si>
  <si>
    <t>Monte Horebe</t>
  </si>
  <si>
    <t>Paudalho</t>
  </si>
  <si>
    <t>Manoel Emídio</t>
  </si>
  <si>
    <t>Santana do Matos</t>
  </si>
  <si>
    <t>Crissiumal</t>
  </si>
  <si>
    <t>Iraceminha</t>
  </si>
  <si>
    <t>Carapicuíba</t>
  </si>
  <si>
    <t>São Félix do Tocantins</t>
  </si>
  <si>
    <t>Líbia</t>
  </si>
  <si>
    <t>Encruzilhada</t>
  </si>
  <si>
    <t>Nova Russas</t>
  </si>
  <si>
    <t>Itauçu</t>
  </si>
  <si>
    <t>Morros</t>
  </si>
  <si>
    <t>São José do Rio Claro</t>
  </si>
  <si>
    <t>Campo Belo</t>
  </si>
  <si>
    <t>São João da Ponta</t>
  </si>
  <si>
    <t>Monteiro</t>
  </si>
  <si>
    <t>Paulista</t>
  </si>
  <si>
    <t>Marcolândia</t>
  </si>
  <si>
    <t>Santana do Seridó</t>
  </si>
  <si>
    <t>Cristal</t>
  </si>
  <si>
    <t>Irani</t>
  </si>
  <si>
    <t>Cardoso</t>
  </si>
  <si>
    <t>São Miguel do Tocantins</t>
  </si>
  <si>
    <t>Liechtenstein</t>
  </si>
  <si>
    <t>Novo Oriente</t>
  </si>
  <si>
    <t>Itumbiara</t>
  </si>
  <si>
    <t>Nina Rodrigues</t>
  </si>
  <si>
    <t>São José do Xingu</t>
  </si>
  <si>
    <t>Campo do Meio</t>
  </si>
  <si>
    <t>São João de Pirabas</t>
  </si>
  <si>
    <t>Pedra</t>
  </si>
  <si>
    <t>Marcos Parente</t>
  </si>
  <si>
    <t>Santo Antônio</t>
  </si>
  <si>
    <t>Cristal do Sul</t>
  </si>
  <si>
    <t>Casa Branca</t>
  </si>
  <si>
    <t>São Salvador do Tocantins</t>
  </si>
  <si>
    <t>Lituânia</t>
  </si>
  <si>
    <t>Érico Cardoso</t>
  </si>
  <si>
    <t>Ocara</t>
  </si>
  <si>
    <t>Ivolândia</t>
  </si>
  <si>
    <t>Nova Colinas</t>
  </si>
  <si>
    <t>São José dos Quatro Marcos</t>
  </si>
  <si>
    <t>Campo Florido</t>
  </si>
  <si>
    <t>São João do Araguaia</t>
  </si>
  <si>
    <t>Natuba</t>
  </si>
  <si>
    <t>Pesqueira</t>
  </si>
  <si>
    <t>Massapê do Piauí</t>
  </si>
  <si>
    <t>São Bento do Norte</t>
  </si>
  <si>
    <t>Cruz Alta</t>
  </si>
  <si>
    <t>Irineópolis</t>
  </si>
  <si>
    <t>Cássia dos Coqueiros</t>
  </si>
  <si>
    <t>São Sebastião do Tocantins</t>
  </si>
  <si>
    <t>Luxemburgo</t>
  </si>
  <si>
    <t>Esplanada</t>
  </si>
  <si>
    <t>Orós</t>
  </si>
  <si>
    <t>Jandaia</t>
  </si>
  <si>
    <t>Nova Iorque</t>
  </si>
  <si>
    <t>São Pedro da Cipa</t>
  </si>
  <si>
    <t>Campos Altos</t>
  </si>
  <si>
    <t>São Miguel do Guamá</t>
  </si>
  <si>
    <t>Nazarezinho</t>
  </si>
  <si>
    <t>Petrolândia</t>
  </si>
  <si>
    <t>Matias Olímpio</t>
  </si>
  <si>
    <t>São Bento do Trairí</t>
  </si>
  <si>
    <t>Cruzaltense</t>
  </si>
  <si>
    <t>Itá</t>
  </si>
  <si>
    <t>Castilho</t>
  </si>
  <si>
    <t>São Valério</t>
  </si>
  <si>
    <t>Macedônia do Norte</t>
  </si>
  <si>
    <t>Euclides da Cunha</t>
  </si>
  <si>
    <t>Pacajus</t>
  </si>
  <si>
    <t>Jaraguá</t>
  </si>
  <si>
    <t>Nova Olinda do Maranhão</t>
  </si>
  <si>
    <t>Sapezal</t>
  </si>
  <si>
    <t>Campos Gerais</t>
  </si>
  <si>
    <t>São Sebastião da Boa Vista</t>
  </si>
  <si>
    <t>Nova Floresta</t>
  </si>
  <si>
    <t>Miguel Alves</t>
  </si>
  <si>
    <t>São Fernando</t>
  </si>
  <si>
    <t>Itaiópolis</t>
  </si>
  <si>
    <t>Catanduva</t>
  </si>
  <si>
    <t>Silvanópolis</t>
  </si>
  <si>
    <t>Madagascar</t>
  </si>
  <si>
    <t>Eunápolis</t>
  </si>
  <si>
    <t>Jataí</t>
  </si>
  <si>
    <t>Olho d'Água das Cunhãs</t>
  </si>
  <si>
    <t>Serra Nova Dourada</t>
  </si>
  <si>
    <t>Cana Verde</t>
  </si>
  <si>
    <t>Poção</t>
  </si>
  <si>
    <t>Miguel Leão</t>
  </si>
  <si>
    <t>São Francisco do Oeste</t>
  </si>
  <si>
    <t>David Canabarro</t>
  </si>
  <si>
    <t>Catiguá</t>
  </si>
  <si>
    <t>Sítio Novo do Tocantins</t>
  </si>
  <si>
    <t>Malásia</t>
  </si>
  <si>
    <t>Pacoti</t>
  </si>
  <si>
    <t>Jaupaci</t>
  </si>
  <si>
    <t>Olinda Nova do Maranhão</t>
  </si>
  <si>
    <t>Sinop</t>
  </si>
  <si>
    <t>Canaã</t>
  </si>
  <si>
    <t>Senador José Porfírio</t>
  </si>
  <si>
    <t>Nova Palmeira</t>
  </si>
  <si>
    <t>Pombos</t>
  </si>
  <si>
    <t>Milton Brandão</t>
  </si>
  <si>
    <t>São Gonçalo do Amarante</t>
  </si>
  <si>
    <t>Derrubadas</t>
  </si>
  <si>
    <t>Itapema</t>
  </si>
  <si>
    <t>Sucupira</t>
  </si>
  <si>
    <t>Malaui</t>
  </si>
  <si>
    <t>Feira da Mata</t>
  </si>
  <si>
    <t>Pacujá</t>
  </si>
  <si>
    <t>Jesúpolis</t>
  </si>
  <si>
    <t>Paço do Lumiar</t>
  </si>
  <si>
    <t>Sorriso</t>
  </si>
  <si>
    <t>Soure</t>
  </si>
  <si>
    <t>Olho d'Água</t>
  </si>
  <si>
    <t>Monsenhor Gil</t>
  </si>
  <si>
    <t>São João do Sabugi</t>
  </si>
  <si>
    <t>Dezesseis de Novembro</t>
  </si>
  <si>
    <t>Cerqueira César</t>
  </si>
  <si>
    <t>Tabocão</t>
  </si>
  <si>
    <t>Maldivas</t>
  </si>
  <si>
    <t>Feira de Santana</t>
  </si>
  <si>
    <t>Palhano</t>
  </si>
  <si>
    <t>Joviânia</t>
  </si>
  <si>
    <t>Palmeirândia</t>
  </si>
  <si>
    <t>Tabaporã</t>
  </si>
  <si>
    <t>Tailândia</t>
  </si>
  <si>
    <t>Olivedos</t>
  </si>
  <si>
    <t>Quipapá</t>
  </si>
  <si>
    <t>Monsenhor Hipólito</t>
  </si>
  <si>
    <t>São José de Mipibu</t>
  </si>
  <si>
    <t>Dilermando de Aguiar</t>
  </si>
  <si>
    <t>Itapoá</t>
  </si>
  <si>
    <t>Cerquilho</t>
  </si>
  <si>
    <t>Taguatinga</t>
  </si>
  <si>
    <t>Mali</t>
  </si>
  <si>
    <t>Palmácia</t>
  </si>
  <si>
    <t>Paraibano</t>
  </si>
  <si>
    <t>Tangará da Serra</t>
  </si>
  <si>
    <t>Terra Alta</t>
  </si>
  <si>
    <t>Ouro Velho</t>
  </si>
  <si>
    <t>Quixaba</t>
  </si>
  <si>
    <t>Monte Alegre do Piauí</t>
  </si>
  <si>
    <t>São José do Campestre</t>
  </si>
  <si>
    <t>Dois Irmãos</t>
  </si>
  <si>
    <t>Ituporanga</t>
  </si>
  <si>
    <t>Cesário Lange</t>
  </si>
  <si>
    <t>Taipas do Tocantins</t>
  </si>
  <si>
    <t>Firmino Alves</t>
  </si>
  <si>
    <t>Paracuru</t>
  </si>
  <si>
    <t>Lagoa Santa</t>
  </si>
  <si>
    <t>Parnarama</t>
  </si>
  <si>
    <t>Tapurah</t>
  </si>
  <si>
    <t>Caparaó</t>
  </si>
  <si>
    <t>Terra Santa</t>
  </si>
  <si>
    <t>Parari</t>
  </si>
  <si>
    <t>Morro Cabeça no Tempo</t>
  </si>
  <si>
    <t>São José do Seridó</t>
  </si>
  <si>
    <t>Dois Irmãos das Missões</t>
  </si>
  <si>
    <t>Jaborá</t>
  </si>
  <si>
    <t>Charqueada</t>
  </si>
  <si>
    <t>Talismã</t>
  </si>
  <si>
    <t>Marrocos</t>
  </si>
  <si>
    <t>Floresta Azul</t>
  </si>
  <si>
    <t>Paraipaba</t>
  </si>
  <si>
    <t>Leopoldo de Bulhões</t>
  </si>
  <si>
    <t>Passagem Franca</t>
  </si>
  <si>
    <t>Terra Nova do Norte</t>
  </si>
  <si>
    <t>Capela Nova</t>
  </si>
  <si>
    <t>Tomé-Açu</t>
  </si>
  <si>
    <t>Riacho das Almas</t>
  </si>
  <si>
    <t>Morro do Chapéu do Piauí</t>
  </si>
  <si>
    <t>São Miguel</t>
  </si>
  <si>
    <t>Dois Lajeados</t>
  </si>
  <si>
    <t>Jacinto Machado</t>
  </si>
  <si>
    <t>Chavantes</t>
  </si>
  <si>
    <t>Tocantínia</t>
  </si>
  <si>
    <t>Martinica</t>
  </si>
  <si>
    <t>Formosa do Rio Preto</t>
  </si>
  <si>
    <t>Parambu</t>
  </si>
  <si>
    <t>Luziânia</t>
  </si>
  <si>
    <t>Pastos Bons</t>
  </si>
  <si>
    <t>Tesouro</t>
  </si>
  <si>
    <t>Capelinha</t>
  </si>
  <si>
    <t>Tracuateua</t>
  </si>
  <si>
    <t>Patos</t>
  </si>
  <si>
    <t>Ribeirão</t>
  </si>
  <si>
    <t>Murici dos Portelas</t>
  </si>
  <si>
    <t>São Miguel do Gostoso</t>
  </si>
  <si>
    <t>Dom Feliciano</t>
  </si>
  <si>
    <t>Jaguaruna</t>
  </si>
  <si>
    <t>Clementina</t>
  </si>
  <si>
    <t>Tocantinópolis</t>
  </si>
  <si>
    <t>Maurícia</t>
  </si>
  <si>
    <t>Gandu</t>
  </si>
  <si>
    <t>Paramoti</t>
  </si>
  <si>
    <t>Mairipotaba</t>
  </si>
  <si>
    <t>Paulino Neves</t>
  </si>
  <si>
    <t>Torixoréu</t>
  </si>
  <si>
    <t>Capetinga</t>
  </si>
  <si>
    <t>Trairão</t>
  </si>
  <si>
    <t>Rio Formoso</t>
  </si>
  <si>
    <t>Nazaré do Piauí</t>
  </si>
  <si>
    <t>São Paulo do Potengi</t>
  </si>
  <si>
    <t>Dom Pedrito</t>
  </si>
  <si>
    <t>Jaraguá do Sul</t>
  </si>
  <si>
    <t>Tupirama</t>
  </si>
  <si>
    <t>Mauritânia</t>
  </si>
  <si>
    <t>Gavião</t>
  </si>
  <si>
    <t>Pedra Branca</t>
  </si>
  <si>
    <t>Mambaí</t>
  </si>
  <si>
    <t>Paulo Ramos</t>
  </si>
  <si>
    <t>União do Sul</t>
  </si>
  <si>
    <t>Capim Branco</t>
  </si>
  <si>
    <t>Tucumã</t>
  </si>
  <si>
    <t>Sairé</t>
  </si>
  <si>
    <t>Nazária</t>
  </si>
  <si>
    <t>São Pedro</t>
  </si>
  <si>
    <t>Dom Pedro de Alcântara</t>
  </si>
  <si>
    <t>Jardinópolis</t>
  </si>
  <si>
    <t>Tupiratins</t>
  </si>
  <si>
    <t>México</t>
  </si>
  <si>
    <t>Gentio do Ouro</t>
  </si>
  <si>
    <t>Penaforte</t>
  </si>
  <si>
    <t>Mara Rosa</t>
  </si>
  <si>
    <t>Pedreiras</t>
  </si>
  <si>
    <t>Vale de São Domingos</t>
  </si>
  <si>
    <t>Capinópolis</t>
  </si>
  <si>
    <t>Tucuruí</t>
  </si>
  <si>
    <t>Pedra Lavrada</t>
  </si>
  <si>
    <t>Salgadinho</t>
  </si>
  <si>
    <t>Nossa Senhora de Nazaré</t>
  </si>
  <si>
    <t>São Rafael</t>
  </si>
  <si>
    <t>Dona Francisca</t>
  </si>
  <si>
    <t>Joaçaba</t>
  </si>
  <si>
    <t>Conchal</t>
  </si>
  <si>
    <t>Wanderlândia</t>
  </si>
  <si>
    <t>Mianmar</t>
  </si>
  <si>
    <t>Glória</t>
  </si>
  <si>
    <t>Pentecoste</t>
  </si>
  <si>
    <t>Marzagão</t>
  </si>
  <si>
    <t>Pedro do Rosário</t>
  </si>
  <si>
    <t>Várzea Grande</t>
  </si>
  <si>
    <t>Capitão Andrade</t>
  </si>
  <si>
    <t>Ulianópolis</t>
  </si>
  <si>
    <t>Pedras de Fogo</t>
  </si>
  <si>
    <t>Salgueiro</t>
  </si>
  <si>
    <t>Nossa Senhora dos Remédios</t>
  </si>
  <si>
    <t>Doutor Maurício Cardoso</t>
  </si>
  <si>
    <t>Joinville</t>
  </si>
  <si>
    <t>Conchas</t>
  </si>
  <si>
    <t>Xambioá</t>
  </si>
  <si>
    <t>Moçambique</t>
  </si>
  <si>
    <t>Gongogi</t>
  </si>
  <si>
    <t>Pereiro</t>
  </si>
  <si>
    <t>Matrinchã</t>
  </si>
  <si>
    <t>Penalva</t>
  </si>
  <si>
    <t>Vera</t>
  </si>
  <si>
    <t>Capitão Enéas</t>
  </si>
  <si>
    <t>Uruará</t>
  </si>
  <si>
    <t>Pedro Régis</t>
  </si>
  <si>
    <t>Saloá</t>
  </si>
  <si>
    <t>Nova Santa Rita</t>
  </si>
  <si>
    <t>São Vicente</t>
  </si>
  <si>
    <t>Doutor Ricardo</t>
  </si>
  <si>
    <t>José Boiteux</t>
  </si>
  <si>
    <t>Moldávia</t>
  </si>
  <si>
    <t>Governador Mangabeira</t>
  </si>
  <si>
    <t>Pindoretama</t>
  </si>
  <si>
    <t>Maurilândia</t>
  </si>
  <si>
    <t>Peri Mirim</t>
  </si>
  <si>
    <t>Vila Bela da Santíssima Trindade</t>
  </si>
  <si>
    <t>Capitólio</t>
  </si>
  <si>
    <t>Vigia</t>
  </si>
  <si>
    <t>Piancó</t>
  </si>
  <si>
    <t>Sanharó</t>
  </si>
  <si>
    <t>Novo Oriente do Piauí</t>
  </si>
  <si>
    <t>Senador Elói de Souza</t>
  </si>
  <si>
    <t>Eldorado do Sul</t>
  </si>
  <si>
    <t>Jupiá</t>
  </si>
  <si>
    <t>Coroados</t>
  </si>
  <si>
    <t>Mônaco</t>
  </si>
  <si>
    <t>Guajeru</t>
  </si>
  <si>
    <t>Piquet Carneiro</t>
  </si>
  <si>
    <t>Mimoso de Goiás</t>
  </si>
  <si>
    <t>Peritoró</t>
  </si>
  <si>
    <t>Vila Rica</t>
  </si>
  <si>
    <t>Caputira</t>
  </si>
  <si>
    <t>Viseu</t>
  </si>
  <si>
    <t>Picuí</t>
  </si>
  <si>
    <t>Senador Georgino Avelino</t>
  </si>
  <si>
    <t>Encantado</t>
  </si>
  <si>
    <t>Lacerdópolis</t>
  </si>
  <si>
    <t>Coronel Macedo</t>
  </si>
  <si>
    <t>Mongólia</t>
  </si>
  <si>
    <t>Guanambi</t>
  </si>
  <si>
    <t>Pires Ferreira</t>
  </si>
  <si>
    <t>Minaçu</t>
  </si>
  <si>
    <t>Pindaré-Mirim</t>
  </si>
  <si>
    <t>Caraí</t>
  </si>
  <si>
    <t>Vitória do Xingu</t>
  </si>
  <si>
    <t>Santa Cruz da Baixa Verde</t>
  </si>
  <si>
    <t>Oeiras</t>
  </si>
  <si>
    <t>Serra Caiada</t>
  </si>
  <si>
    <t>Encruzilhada do Sul</t>
  </si>
  <si>
    <t>Lages</t>
  </si>
  <si>
    <t>Corumbataí</t>
  </si>
  <si>
    <t>Montenegro</t>
  </si>
  <si>
    <t>Guaratinga</t>
  </si>
  <si>
    <t>Poranga</t>
  </si>
  <si>
    <t>Mineiros</t>
  </si>
  <si>
    <t>Pinheiro</t>
  </si>
  <si>
    <t>Caranaíba</t>
  </si>
  <si>
    <t>Xinguara</t>
  </si>
  <si>
    <t>Santa Cruz do Capibaribe</t>
  </si>
  <si>
    <t>Olho D'Água do Piauí</t>
  </si>
  <si>
    <t>Serra de São Bento</t>
  </si>
  <si>
    <t>Engenho Velho</t>
  </si>
  <si>
    <t>Laguna</t>
  </si>
  <si>
    <t>Cosmópolis</t>
  </si>
  <si>
    <t>Montserrat</t>
  </si>
  <si>
    <t>Heliópolis</t>
  </si>
  <si>
    <t>Porteiras</t>
  </si>
  <si>
    <t>Moiporá</t>
  </si>
  <si>
    <t>Pio XII</t>
  </si>
  <si>
    <t>Carandaí</t>
  </si>
  <si>
    <t>Pilõezinhos</t>
  </si>
  <si>
    <t>Santa Filomena</t>
  </si>
  <si>
    <t>Padre Marcos</t>
  </si>
  <si>
    <t>Serra do Mel</t>
  </si>
  <si>
    <t>Entre Rios do Sul</t>
  </si>
  <si>
    <t>Lajeado Grande</t>
  </si>
  <si>
    <t>Cosmorama</t>
  </si>
  <si>
    <t>Namíbia</t>
  </si>
  <si>
    <t>Iaçu</t>
  </si>
  <si>
    <t>Potengi</t>
  </si>
  <si>
    <t>Monte Alegre de Goiás</t>
  </si>
  <si>
    <t>Pirapemas</t>
  </si>
  <si>
    <t>Carangola</t>
  </si>
  <si>
    <t>Pirpirituba</t>
  </si>
  <si>
    <t>Santa Maria da Boa Vista</t>
  </si>
  <si>
    <t>Paes Landim</t>
  </si>
  <si>
    <t>Serra Negra do Norte</t>
  </si>
  <si>
    <t>Entre-Ijuís</t>
  </si>
  <si>
    <t>Laurentino</t>
  </si>
  <si>
    <t>Cotia</t>
  </si>
  <si>
    <t>Nauru</t>
  </si>
  <si>
    <t>Ibiassucê</t>
  </si>
  <si>
    <t>Potiretama</t>
  </si>
  <si>
    <t>Montes Claros de Goiás</t>
  </si>
  <si>
    <t>Poção de Pedras</t>
  </si>
  <si>
    <t>Caratinga</t>
  </si>
  <si>
    <t>Pitimbu</t>
  </si>
  <si>
    <t>Santa Maria do Cambucá</t>
  </si>
  <si>
    <t>Pajeú do Piauí</t>
  </si>
  <si>
    <t>Serrinha</t>
  </si>
  <si>
    <t>Erebango</t>
  </si>
  <si>
    <t>Lauro Müller</t>
  </si>
  <si>
    <t>Cravinhos</t>
  </si>
  <si>
    <t>Nepal</t>
  </si>
  <si>
    <t>Ibicaraí</t>
  </si>
  <si>
    <t>Quiterianópolis</t>
  </si>
  <si>
    <t>Montividiu</t>
  </si>
  <si>
    <t>Porto Franco</t>
  </si>
  <si>
    <t>Carbonita</t>
  </si>
  <si>
    <t>Pocinhos</t>
  </si>
  <si>
    <t>Palmeira do Piauí</t>
  </si>
  <si>
    <t>Serrinha dos Pintos</t>
  </si>
  <si>
    <t>Erechim</t>
  </si>
  <si>
    <t>Lebon Régis</t>
  </si>
  <si>
    <t>Cristais Paulista</t>
  </si>
  <si>
    <t>Nicarágua</t>
  </si>
  <si>
    <t>Ibicoara</t>
  </si>
  <si>
    <t>Quixadá</t>
  </si>
  <si>
    <t>Montividiu do Norte</t>
  </si>
  <si>
    <t>Porto Rico do Maranhão</t>
  </si>
  <si>
    <t>Careaçu</t>
  </si>
  <si>
    <t>Poço Dantas</t>
  </si>
  <si>
    <t>São Benedito do Sul</t>
  </si>
  <si>
    <t>Palmeirais</t>
  </si>
  <si>
    <t>Severiano Melo</t>
  </si>
  <si>
    <t>Ernestina</t>
  </si>
  <si>
    <t>Leoberto Leal</t>
  </si>
  <si>
    <t>Cruzália</t>
  </si>
  <si>
    <t>Níger</t>
  </si>
  <si>
    <t>Ibicuí</t>
  </si>
  <si>
    <t>Quixelô</t>
  </si>
  <si>
    <t>Presidente Dutra</t>
  </si>
  <si>
    <t>Carlos Chagas</t>
  </si>
  <si>
    <t>Poço de José de Moura</t>
  </si>
  <si>
    <t>São Bento do Una</t>
  </si>
  <si>
    <t>Paquetá</t>
  </si>
  <si>
    <t>Sítio Novo</t>
  </si>
  <si>
    <t>Erval Grande</t>
  </si>
  <si>
    <t>Lindóia do Sul</t>
  </si>
  <si>
    <t>Cruzeiro</t>
  </si>
  <si>
    <t>Nigéria</t>
  </si>
  <si>
    <t>Ibipeba</t>
  </si>
  <si>
    <t>Quixeramobim</t>
  </si>
  <si>
    <t>Morro Agudo de Goiás</t>
  </si>
  <si>
    <t>Presidente Juscelino</t>
  </si>
  <si>
    <t>Carmésia</t>
  </si>
  <si>
    <t>Pombal</t>
  </si>
  <si>
    <t>São Caitano</t>
  </si>
  <si>
    <t>Parnaguá</t>
  </si>
  <si>
    <t>Taboleiro Grande</t>
  </si>
  <si>
    <t>Erval Seco</t>
  </si>
  <si>
    <t>Lontras</t>
  </si>
  <si>
    <t>Cubatão</t>
  </si>
  <si>
    <t>Noruega</t>
  </si>
  <si>
    <t>Ibipitanga</t>
  </si>
  <si>
    <t>Quixeré</t>
  </si>
  <si>
    <t>Mossâmedes</t>
  </si>
  <si>
    <t>Carmo da Cachoeira</t>
  </si>
  <si>
    <t>Prata</t>
  </si>
  <si>
    <t>Parnaíba</t>
  </si>
  <si>
    <t>Taipu</t>
  </si>
  <si>
    <t>Esmeralda</t>
  </si>
  <si>
    <t>Luiz Alves</t>
  </si>
  <si>
    <t>Cunha</t>
  </si>
  <si>
    <t>Nova Zelândia</t>
  </si>
  <si>
    <t>Ibiquera</t>
  </si>
  <si>
    <t>Mozarlândia</t>
  </si>
  <si>
    <t>Presidente Sarney</t>
  </si>
  <si>
    <t>Carmo da Mata</t>
  </si>
  <si>
    <t>Princesa Isabel</t>
  </si>
  <si>
    <t>São Joaquim do Monte</t>
  </si>
  <si>
    <t>Passagem Franca do Piauí</t>
  </si>
  <si>
    <t>Tangará</t>
  </si>
  <si>
    <t>Esperança do Sul</t>
  </si>
  <si>
    <t>Luzerna</t>
  </si>
  <si>
    <t>Descalvado</t>
  </si>
  <si>
    <t>Omã</t>
  </si>
  <si>
    <t>Ibirapitanga</t>
  </si>
  <si>
    <t>Reriutaba</t>
  </si>
  <si>
    <t>Presidente Vargas</t>
  </si>
  <si>
    <t>Carmo de Minas</t>
  </si>
  <si>
    <t>Puxinanã</t>
  </si>
  <si>
    <t>São José da Coroa Grande</t>
  </si>
  <si>
    <t>Patos do Piauí</t>
  </si>
  <si>
    <t>Tenente Ananias</t>
  </si>
  <si>
    <t>Espumoso</t>
  </si>
  <si>
    <t>Macieira</t>
  </si>
  <si>
    <t>Diadema</t>
  </si>
  <si>
    <t>Países Baixos</t>
  </si>
  <si>
    <t>Ibirapuã</t>
  </si>
  <si>
    <t>Russas</t>
  </si>
  <si>
    <t>Mutunópolis</t>
  </si>
  <si>
    <t>Primeira Cruz</t>
  </si>
  <si>
    <t>Carmo do Cajuru</t>
  </si>
  <si>
    <t>Queimadas</t>
  </si>
  <si>
    <t>São José do Belmonte</t>
  </si>
  <si>
    <t>Pau D'Arco do Piauí</t>
  </si>
  <si>
    <t>Tenente Laurentino Cruz</t>
  </si>
  <si>
    <t>Estação</t>
  </si>
  <si>
    <t>Mafra</t>
  </si>
  <si>
    <t>Dirce Reis</t>
  </si>
  <si>
    <t>Palau</t>
  </si>
  <si>
    <t>Ibirataia</t>
  </si>
  <si>
    <t>Saboeiro</t>
  </si>
  <si>
    <t>Nazário</t>
  </si>
  <si>
    <t>Raposa</t>
  </si>
  <si>
    <t>Carmo do Paranaíba</t>
  </si>
  <si>
    <t>São José do Egito</t>
  </si>
  <si>
    <t>Paulistana</t>
  </si>
  <si>
    <t>Tibau</t>
  </si>
  <si>
    <t>Estância Velha</t>
  </si>
  <si>
    <t>Major Gercino</t>
  </si>
  <si>
    <t>Divinolândia</t>
  </si>
  <si>
    <t>Panamá</t>
  </si>
  <si>
    <t>Ibitiara</t>
  </si>
  <si>
    <t>Salitre</t>
  </si>
  <si>
    <t>Nerópolis</t>
  </si>
  <si>
    <t>Riachão</t>
  </si>
  <si>
    <t>Carmo do Rio Claro</t>
  </si>
  <si>
    <t>Remígio</t>
  </si>
  <si>
    <t>São Lourenço da Mata</t>
  </si>
  <si>
    <t>Pavussu</t>
  </si>
  <si>
    <t>Tibau do Sul</t>
  </si>
  <si>
    <t>Esteio</t>
  </si>
  <si>
    <t>Major Vieira</t>
  </si>
  <si>
    <t>Dobrada</t>
  </si>
  <si>
    <t>Papua-Nova Guiné</t>
  </si>
  <si>
    <t>Ibititá</t>
  </si>
  <si>
    <t>Santa Quitéria</t>
  </si>
  <si>
    <t>Niquelândia</t>
  </si>
  <si>
    <t>Ribamar Fiquene</t>
  </si>
  <si>
    <t>Carmópolis de Minas</t>
  </si>
  <si>
    <t>São Vicente Férrer</t>
  </si>
  <si>
    <t>Pedro II</t>
  </si>
  <si>
    <t>Timbaúba dos Batistas</t>
  </si>
  <si>
    <t>Estrela</t>
  </si>
  <si>
    <t>Maracajá</t>
  </si>
  <si>
    <t>Dois Córregos</t>
  </si>
  <si>
    <t>Paquistão</t>
  </si>
  <si>
    <t>Ibotirama</t>
  </si>
  <si>
    <t>Santana do Acaraú</t>
  </si>
  <si>
    <t>Nova América</t>
  </si>
  <si>
    <t>Rosário</t>
  </si>
  <si>
    <t>Carneirinho</t>
  </si>
  <si>
    <t>Riachão do Bacamarte</t>
  </si>
  <si>
    <t>Serra Talhada</t>
  </si>
  <si>
    <t>Pedro Laurentino</t>
  </si>
  <si>
    <t>Touros</t>
  </si>
  <si>
    <t>Estrela Velha</t>
  </si>
  <si>
    <t>Dolcinópolis</t>
  </si>
  <si>
    <t>Paraguai</t>
  </si>
  <si>
    <t>Ichu</t>
  </si>
  <si>
    <t>Santana do Cariri</t>
  </si>
  <si>
    <t>Sambaíba</t>
  </si>
  <si>
    <t>Carrancas</t>
  </si>
  <si>
    <t>Riachão do Poço</t>
  </si>
  <si>
    <t>Serrita</t>
  </si>
  <si>
    <t>Picos</t>
  </si>
  <si>
    <t>Triunfo Potiguar</t>
  </si>
  <si>
    <t>Eugênio de Castro</t>
  </si>
  <si>
    <t>Marema</t>
  </si>
  <si>
    <t>Dourado</t>
  </si>
  <si>
    <t>Peru</t>
  </si>
  <si>
    <t>Igaporã</t>
  </si>
  <si>
    <t>São Benedito</t>
  </si>
  <si>
    <t>Nova Crixás</t>
  </si>
  <si>
    <t>Santa Filomena do Maranhão</t>
  </si>
  <si>
    <t>Carvalhópolis</t>
  </si>
  <si>
    <t>Riacho de Santo Antônio</t>
  </si>
  <si>
    <t>Sertânia</t>
  </si>
  <si>
    <t>Pimenteiras</t>
  </si>
  <si>
    <t>Umarizal</t>
  </si>
  <si>
    <t>Fagundes Varela</t>
  </si>
  <si>
    <t>Dracena</t>
  </si>
  <si>
    <t>Polônia</t>
  </si>
  <si>
    <t>Igrapiúna</t>
  </si>
  <si>
    <t>Nova Glória</t>
  </si>
  <si>
    <t>Carvalhos</t>
  </si>
  <si>
    <t>Riacho dos Cavalos</t>
  </si>
  <si>
    <t>Sirinhaém</t>
  </si>
  <si>
    <t>Pio IX</t>
  </si>
  <si>
    <t>Upanema</t>
  </si>
  <si>
    <t>Farroupilha</t>
  </si>
  <si>
    <t>Matos Costa</t>
  </si>
  <si>
    <t>Duartina</t>
  </si>
  <si>
    <t>Iguaí</t>
  </si>
  <si>
    <t>São João do Jaguaribe</t>
  </si>
  <si>
    <t>Nova Iguaçu de Goiás</t>
  </si>
  <si>
    <t>Casa Grande</t>
  </si>
  <si>
    <t>Rio Tinto</t>
  </si>
  <si>
    <t>Solidão</t>
  </si>
  <si>
    <t>Piracuruca</t>
  </si>
  <si>
    <t>Várzea</t>
  </si>
  <si>
    <t>Faxinal do Soturno</t>
  </si>
  <si>
    <t>Meleiro</t>
  </si>
  <si>
    <t>Dumont</t>
  </si>
  <si>
    <t>Ilhéus</t>
  </si>
  <si>
    <t>São Luís do Curu</t>
  </si>
  <si>
    <t>Nova Roma</t>
  </si>
  <si>
    <t>Santa Luzia</t>
  </si>
  <si>
    <t>Cascalho Rico</t>
  </si>
  <si>
    <t>Surubim</t>
  </si>
  <si>
    <t>Piripiri</t>
  </si>
  <si>
    <t>Venha-Ver</t>
  </si>
  <si>
    <t>Faxinalzinho</t>
  </si>
  <si>
    <t>Mirim Doce</t>
  </si>
  <si>
    <t>Echaporã</t>
  </si>
  <si>
    <t>Quênia</t>
  </si>
  <si>
    <t>Inhambupe</t>
  </si>
  <si>
    <t>Senador Pompeu</t>
  </si>
  <si>
    <t>Nova Veneza</t>
  </si>
  <si>
    <t>Santa Luzia do Paruá</t>
  </si>
  <si>
    <t>Cássia</t>
  </si>
  <si>
    <t>Salgado de São Félix</t>
  </si>
  <si>
    <t>Tabira</t>
  </si>
  <si>
    <t>Porto</t>
  </si>
  <si>
    <t>Vera Cruz</t>
  </si>
  <si>
    <t>Fazenda Vilanova</t>
  </si>
  <si>
    <t>Modelo</t>
  </si>
  <si>
    <t>Quirguistão</t>
  </si>
  <si>
    <t>Ipecaetá</t>
  </si>
  <si>
    <t>Senador Sá</t>
  </si>
  <si>
    <t>Novo Brasil</t>
  </si>
  <si>
    <t>Santa Quitéria do Maranhão</t>
  </si>
  <si>
    <t>Cataguases</t>
  </si>
  <si>
    <t>Santa Cecília</t>
  </si>
  <si>
    <t>Tacaimbó</t>
  </si>
  <si>
    <t>Porto Alegre do Piauí</t>
  </si>
  <si>
    <t>Feliz</t>
  </si>
  <si>
    <t>Mondaí</t>
  </si>
  <si>
    <t>Elias Fausto</t>
  </si>
  <si>
    <t>Reino Unido</t>
  </si>
  <si>
    <t>Ipiaú</t>
  </si>
  <si>
    <t>Sobral</t>
  </si>
  <si>
    <t>Novo Gama</t>
  </si>
  <si>
    <t>Santa Rita</t>
  </si>
  <si>
    <t>Catas Altas</t>
  </si>
  <si>
    <t>Tacaratu</t>
  </si>
  <si>
    <t>Prata do Piauí</t>
  </si>
  <si>
    <t>Vila Flor</t>
  </si>
  <si>
    <t>Flores da Cunha</t>
  </si>
  <si>
    <t>Monte Carlo</t>
  </si>
  <si>
    <t>Elisiário</t>
  </si>
  <si>
    <t>República Centro-Africana</t>
  </si>
  <si>
    <t>Ipirá</t>
  </si>
  <si>
    <t>Solonópole</t>
  </si>
  <si>
    <t>Novo Planalto</t>
  </si>
  <si>
    <t>Santana do Maranhão</t>
  </si>
  <si>
    <t>Catas Altas da Noruega</t>
  </si>
  <si>
    <t>Tamandaré</t>
  </si>
  <si>
    <t>Queimada Nova</t>
  </si>
  <si>
    <t>Floriano Peixoto</t>
  </si>
  <si>
    <t>Monte Castelo</t>
  </si>
  <si>
    <t>Embaúba</t>
  </si>
  <si>
    <t>República Democrática do Congo</t>
  </si>
  <si>
    <t>Ipupiara</t>
  </si>
  <si>
    <t>Tabuleiro do Norte</t>
  </si>
  <si>
    <t>Orizona</t>
  </si>
  <si>
    <t>Santo Amaro do Maranhão</t>
  </si>
  <si>
    <t>Catuji</t>
  </si>
  <si>
    <t>Taquaritinga do Norte</t>
  </si>
  <si>
    <t>Redenção do Gurguéia</t>
  </si>
  <si>
    <t>Fontoura Xavier</t>
  </si>
  <si>
    <t>Morro da Fumaça</t>
  </si>
  <si>
    <t>Embu das Artes</t>
  </si>
  <si>
    <t>República do Congo</t>
  </si>
  <si>
    <t>Irajuba</t>
  </si>
  <si>
    <t>Tamboril</t>
  </si>
  <si>
    <t>Ouro Verde de Goiás</t>
  </si>
  <si>
    <t>Santo Antônio dos Lopes</t>
  </si>
  <si>
    <t>Catuti</t>
  </si>
  <si>
    <t>Terezinha</t>
  </si>
  <si>
    <t>Regeneração</t>
  </si>
  <si>
    <t>Formigueiro</t>
  </si>
  <si>
    <t>Morro Grande</t>
  </si>
  <si>
    <t>Embu-Guaçu</t>
  </si>
  <si>
    <t>República Dominicana</t>
  </si>
  <si>
    <t>Iramaia</t>
  </si>
  <si>
    <t>Tarrafas</t>
  </si>
  <si>
    <t>Ouvidor</t>
  </si>
  <si>
    <t>São Benedito do Rio Preto</t>
  </si>
  <si>
    <t>Caxambu</t>
  </si>
  <si>
    <t>Terra Nova</t>
  </si>
  <si>
    <t>Riacho Frio</t>
  </si>
  <si>
    <t>Forquetinha</t>
  </si>
  <si>
    <t>Navegantes</t>
  </si>
  <si>
    <t>Emilianópolis</t>
  </si>
  <si>
    <t>Romênia</t>
  </si>
  <si>
    <t>Iraquara</t>
  </si>
  <si>
    <t>Tauá</t>
  </si>
  <si>
    <t>Padre Bernardo</t>
  </si>
  <si>
    <t>São Bento</t>
  </si>
  <si>
    <t>Cedro do Abaeté</t>
  </si>
  <si>
    <t>Santa Teresinha</t>
  </si>
  <si>
    <t>Timbaúba</t>
  </si>
  <si>
    <t>Ribeira do Piauí</t>
  </si>
  <si>
    <t>Fortaleza dos Valos</t>
  </si>
  <si>
    <t>Nova Erechim</t>
  </si>
  <si>
    <t>Engenheiro Coelho</t>
  </si>
  <si>
    <t>Ruanda</t>
  </si>
  <si>
    <t>Irará</t>
  </si>
  <si>
    <t>Tejuçuoca</t>
  </si>
  <si>
    <t>Palestina de Goiás</t>
  </si>
  <si>
    <t>São Bernardo</t>
  </si>
  <si>
    <t>Central de Minas</t>
  </si>
  <si>
    <t>Santana de Mangueira</t>
  </si>
  <si>
    <t>Toritama</t>
  </si>
  <si>
    <t>Ribeiro Gonçalves</t>
  </si>
  <si>
    <t>Frederico Westphalen</t>
  </si>
  <si>
    <t>Nova Itaberaba</t>
  </si>
  <si>
    <t>Espírito Santo do Pinhal</t>
  </si>
  <si>
    <t>Rússia</t>
  </si>
  <si>
    <t>Irecê</t>
  </si>
  <si>
    <t>Tianguá</t>
  </si>
  <si>
    <t>Palmeiras de Goiás</t>
  </si>
  <si>
    <t>São Domingos do Azeitão</t>
  </si>
  <si>
    <t>Centralina</t>
  </si>
  <si>
    <t>Santana dos Garrotes</t>
  </si>
  <si>
    <t>Tracunhaém</t>
  </si>
  <si>
    <t>Rio Grande do Piauí</t>
  </si>
  <si>
    <t>Garibaldi</t>
  </si>
  <si>
    <t>Nova Trento</t>
  </si>
  <si>
    <t>Espírito Santo do Turvo</t>
  </si>
  <si>
    <t>Itabela</t>
  </si>
  <si>
    <t>Trairi</t>
  </si>
  <si>
    <t>Palmelo</t>
  </si>
  <si>
    <t>São Domingos do Maranhão</t>
  </si>
  <si>
    <t>Chácara</t>
  </si>
  <si>
    <t>Santo André</t>
  </si>
  <si>
    <t>Trindade</t>
  </si>
  <si>
    <t>Santa Cruz do Piauí</t>
  </si>
  <si>
    <t>Garruchos</t>
  </si>
  <si>
    <t>Estiva Gerbi</t>
  </si>
  <si>
    <t>Saba</t>
  </si>
  <si>
    <t>Itaberaba</t>
  </si>
  <si>
    <t>Tururu</t>
  </si>
  <si>
    <t>Palminópolis</t>
  </si>
  <si>
    <t>São Félix de Balsas</t>
  </si>
  <si>
    <t>Chalé</t>
  </si>
  <si>
    <t>São Bentinho</t>
  </si>
  <si>
    <t>Triunfo</t>
  </si>
  <si>
    <t>Santa Cruz dos Milagres</t>
  </si>
  <si>
    <t>Gaurama</t>
  </si>
  <si>
    <t>Novo Horizonte</t>
  </si>
  <si>
    <t>Samoa Ocidental</t>
  </si>
  <si>
    <t>Itabuna</t>
  </si>
  <si>
    <t>Ubajara</t>
  </si>
  <si>
    <t>São Francisco do Brejão</t>
  </si>
  <si>
    <t>Chapada do Norte</t>
  </si>
  <si>
    <t>Tupanatinga</t>
  </si>
  <si>
    <t>General Câmara</t>
  </si>
  <si>
    <t>Orleans</t>
  </si>
  <si>
    <t>Estrela d'Oeste</t>
  </si>
  <si>
    <t>San Marino</t>
  </si>
  <si>
    <t>Itacaré</t>
  </si>
  <si>
    <t>Umari</t>
  </si>
  <si>
    <t>Paranaiguara</t>
  </si>
  <si>
    <t>São Francisco do Maranhão</t>
  </si>
  <si>
    <t>Chapada Gaúcha</t>
  </si>
  <si>
    <t>Tuparetama</t>
  </si>
  <si>
    <t>Santa Luz</t>
  </si>
  <si>
    <t>Gentil</t>
  </si>
  <si>
    <t>Otacílio Costa</t>
  </si>
  <si>
    <t>Euclides da Cunha Paulista</t>
  </si>
  <si>
    <t>Itaeté</t>
  </si>
  <si>
    <t>Umirim</t>
  </si>
  <si>
    <t>Paraúna</t>
  </si>
  <si>
    <t>São João Batista</t>
  </si>
  <si>
    <t>Chiador</t>
  </si>
  <si>
    <t>São Domingos do Cariri</t>
  </si>
  <si>
    <t>Venturosa</t>
  </si>
  <si>
    <t>Santa Rosa do Piauí</t>
  </si>
  <si>
    <t>Getúlio Vargas</t>
  </si>
  <si>
    <t>Ouro</t>
  </si>
  <si>
    <t>Fartura</t>
  </si>
  <si>
    <t>Santo Eustáquio</t>
  </si>
  <si>
    <t>Itagi</t>
  </si>
  <si>
    <t>Uruburetama</t>
  </si>
  <si>
    <t>Perolândia</t>
  </si>
  <si>
    <t>São João do Carú</t>
  </si>
  <si>
    <t>Cipotânea</t>
  </si>
  <si>
    <t>Verdejante</t>
  </si>
  <si>
    <t>Santana do Piauí</t>
  </si>
  <si>
    <t>Giruá</t>
  </si>
  <si>
    <t>Ouro Verde</t>
  </si>
  <si>
    <t>Fernando Prestes</t>
  </si>
  <si>
    <t>São Bartolomeu</t>
  </si>
  <si>
    <t>Itagibá</t>
  </si>
  <si>
    <t>Uruoca</t>
  </si>
  <si>
    <t>Petrolina de Goiás</t>
  </si>
  <si>
    <t>São João do Paraíso</t>
  </si>
  <si>
    <t>Claraval</t>
  </si>
  <si>
    <t>São João do Cariri</t>
  </si>
  <si>
    <t>Vertente do Lério</t>
  </si>
  <si>
    <t>Santo Antônio de Lisboa</t>
  </si>
  <si>
    <t>Glorinha</t>
  </si>
  <si>
    <t>Paial</t>
  </si>
  <si>
    <t>Fernandópolis</t>
  </si>
  <si>
    <t>São Cristóvão e Névis</t>
  </si>
  <si>
    <t>Itagimirim</t>
  </si>
  <si>
    <t>Varjota</t>
  </si>
  <si>
    <t>Pilar de Goiás</t>
  </si>
  <si>
    <t>São João do Soter</t>
  </si>
  <si>
    <t>Claro dos Poções</t>
  </si>
  <si>
    <t>São João do Rio do Peixe</t>
  </si>
  <si>
    <t>Vertentes</t>
  </si>
  <si>
    <t>Santo Antônio dos Milagres</t>
  </si>
  <si>
    <t>Gramado</t>
  </si>
  <si>
    <t>Painel</t>
  </si>
  <si>
    <t>Fernão</t>
  </si>
  <si>
    <t>São Martinho</t>
  </si>
  <si>
    <t>Itaguaçu da Bahia</t>
  </si>
  <si>
    <t>Várzea Alegre</t>
  </si>
  <si>
    <t>Piracanjuba</t>
  </si>
  <si>
    <t>São João dos Patos</t>
  </si>
  <si>
    <t>Cláudio</t>
  </si>
  <si>
    <t>São João do Tigre</t>
  </si>
  <si>
    <t>Vicência</t>
  </si>
  <si>
    <t>Santo Inácio do Piauí</t>
  </si>
  <si>
    <t>Gramado dos Loureiros</t>
  </si>
  <si>
    <t>Palhoça</t>
  </si>
  <si>
    <t>Ferraz de Vasconcelos</t>
  </si>
  <si>
    <t>Itaju do Colônia</t>
  </si>
  <si>
    <t>Viçosa do Ceará</t>
  </si>
  <si>
    <t>São José de Ribamar</t>
  </si>
  <si>
    <t>Coimbra</t>
  </si>
  <si>
    <t>São José da Lagoa Tapada</t>
  </si>
  <si>
    <t>Vitória de Santo Antão</t>
  </si>
  <si>
    <t>São Braz do Piauí</t>
  </si>
  <si>
    <t>Gramado Xavier</t>
  </si>
  <si>
    <t>Palma Sola</t>
  </si>
  <si>
    <t>Flora Rica</t>
  </si>
  <si>
    <t>São Tomé e Príncipe</t>
  </si>
  <si>
    <t>Itajuípe</t>
  </si>
  <si>
    <t>Pirenópolis</t>
  </si>
  <si>
    <t>São José dos Basílios</t>
  </si>
  <si>
    <t>Coluna</t>
  </si>
  <si>
    <t>São José de Caiana</t>
  </si>
  <si>
    <t>Xexéu</t>
  </si>
  <si>
    <t>São Félix do Piauí</t>
  </si>
  <si>
    <t>Gravataí</t>
  </si>
  <si>
    <t>Floreal</t>
  </si>
  <si>
    <t>São Vicente e Granadinas</t>
  </si>
  <si>
    <t>Itamaraju</t>
  </si>
  <si>
    <t>Pires do Rio</t>
  </si>
  <si>
    <t>São Luís</t>
  </si>
  <si>
    <t>Comendador Gomes</t>
  </si>
  <si>
    <t>São José de Espinharas</t>
  </si>
  <si>
    <t>São Francisco de Assis do Piauí</t>
  </si>
  <si>
    <t>Guabiju</t>
  </si>
  <si>
    <t>Palmitos</t>
  </si>
  <si>
    <t>Flórida Paulista</t>
  </si>
  <si>
    <t>Seicheles</t>
  </si>
  <si>
    <t>Itamari</t>
  </si>
  <si>
    <t>Planaltina</t>
  </si>
  <si>
    <t>São Luís Gonzaga do Maranhão</t>
  </si>
  <si>
    <t>Comercinho</t>
  </si>
  <si>
    <t>São José de Piranhas</t>
  </si>
  <si>
    <t>São Francisco do Piauí</t>
  </si>
  <si>
    <t>Guaíba</t>
  </si>
  <si>
    <t>Papanduva</t>
  </si>
  <si>
    <t>Florínea</t>
  </si>
  <si>
    <t>Senegal</t>
  </si>
  <si>
    <t>Pontalina</t>
  </si>
  <si>
    <t>São Mateus do Maranhão</t>
  </si>
  <si>
    <t>Conceição da Aparecida</t>
  </si>
  <si>
    <t>São José de Princesa</t>
  </si>
  <si>
    <t>São Gonçalo do Gurguéia</t>
  </si>
  <si>
    <t>Guaporé</t>
  </si>
  <si>
    <t>Paraíso</t>
  </si>
  <si>
    <t>Franca</t>
  </si>
  <si>
    <t>Serra Leoa</t>
  </si>
  <si>
    <t>Itanagra</t>
  </si>
  <si>
    <t>Porangatu</t>
  </si>
  <si>
    <t>São Pedro da Água Branca</t>
  </si>
  <si>
    <t>Conceição da Barra de Minas</t>
  </si>
  <si>
    <t>São José do Bonfim</t>
  </si>
  <si>
    <t>São Gonçalo do Piauí</t>
  </si>
  <si>
    <t>Guarani das Missões</t>
  </si>
  <si>
    <t>Passo de Torres</t>
  </si>
  <si>
    <t>Francisco Morato</t>
  </si>
  <si>
    <t>Sérvia</t>
  </si>
  <si>
    <t>Itanhém</t>
  </si>
  <si>
    <t>Porteirão</t>
  </si>
  <si>
    <t>São Pedro dos Crentes</t>
  </si>
  <si>
    <t>Conceição das Alagoas</t>
  </si>
  <si>
    <t>São José do Brejo do Cruz</t>
  </si>
  <si>
    <t>São João da Canabrava</t>
  </si>
  <si>
    <t>Harmonia</t>
  </si>
  <si>
    <t>Passos Maia</t>
  </si>
  <si>
    <t>Franco da Rocha</t>
  </si>
  <si>
    <t>Itaparica</t>
  </si>
  <si>
    <t>Portelândia</t>
  </si>
  <si>
    <t>São Raimundo das Mangabeiras</t>
  </si>
  <si>
    <t>Conceição das Pedras</t>
  </si>
  <si>
    <t>São José do Sabugi</t>
  </si>
  <si>
    <t>São João da Fronteira</t>
  </si>
  <si>
    <t>Herval</t>
  </si>
  <si>
    <t>Paulo Lopes</t>
  </si>
  <si>
    <t>Gabriel Monteiro</t>
  </si>
  <si>
    <t>Síria</t>
  </si>
  <si>
    <t>Itapé</t>
  </si>
  <si>
    <t>Posse</t>
  </si>
  <si>
    <t>São Raimundo do Doca Bezerra</t>
  </si>
  <si>
    <t>Conceição de Ipanema</t>
  </si>
  <si>
    <t>São José dos Cordeiros</t>
  </si>
  <si>
    <t>São João da Serra</t>
  </si>
  <si>
    <t>Herveiras</t>
  </si>
  <si>
    <t>Pedras Grandes</t>
  </si>
  <si>
    <t>Gália</t>
  </si>
  <si>
    <t>Somália</t>
  </si>
  <si>
    <t>Itapebi</t>
  </si>
  <si>
    <t>Professor Jamil</t>
  </si>
  <si>
    <t>São Roberto</t>
  </si>
  <si>
    <t>Conceição do Mato Dentro</t>
  </si>
  <si>
    <t>São José dos Ramos</t>
  </si>
  <si>
    <t>São João da Varjota</t>
  </si>
  <si>
    <t>Horizontina</t>
  </si>
  <si>
    <t>Penha</t>
  </si>
  <si>
    <t>Garça</t>
  </si>
  <si>
    <t>Sri Lanka</t>
  </si>
  <si>
    <t>Itapetinga</t>
  </si>
  <si>
    <t>Quirinópolis</t>
  </si>
  <si>
    <t>São Vicente Ferrer</t>
  </si>
  <si>
    <t>Conceição do Pará</t>
  </si>
  <si>
    <t>São Mamede</t>
  </si>
  <si>
    <t>São João do Arraial</t>
  </si>
  <si>
    <t>Hulha Negra</t>
  </si>
  <si>
    <t>Peritiba</t>
  </si>
  <si>
    <t>Gastão Vidigal</t>
  </si>
  <si>
    <t>Sudão</t>
  </si>
  <si>
    <t>Itapicuru</t>
  </si>
  <si>
    <t>Rialma</t>
  </si>
  <si>
    <t>Satubinha</t>
  </si>
  <si>
    <t>Conceição do Rio Verde</t>
  </si>
  <si>
    <t>São Miguel de Taipu</t>
  </si>
  <si>
    <t>São João do Piauí</t>
  </si>
  <si>
    <t>Pescaria Brava</t>
  </si>
  <si>
    <t>Gavião Peixoto</t>
  </si>
  <si>
    <t>Sudão do Sul</t>
  </si>
  <si>
    <t>Itapitanga</t>
  </si>
  <si>
    <t>Rianápolis</t>
  </si>
  <si>
    <t>Senador Alexandre Costa</t>
  </si>
  <si>
    <t>Conceição dos Ouros</t>
  </si>
  <si>
    <t>São Sebastião de Lagoa de Roça</t>
  </si>
  <si>
    <t>São José do Divino</t>
  </si>
  <si>
    <t>Ibarama</t>
  </si>
  <si>
    <t>General Salgado</t>
  </si>
  <si>
    <t>Suécia</t>
  </si>
  <si>
    <t>Itaquara</t>
  </si>
  <si>
    <t>Rio Quente</t>
  </si>
  <si>
    <t>Senador La Rocque</t>
  </si>
  <si>
    <t>Cônego Marinho</t>
  </si>
  <si>
    <t>São Sebastião do Umbuzeiro</t>
  </si>
  <si>
    <t>São José do Peixe</t>
  </si>
  <si>
    <t>Ibiaçá</t>
  </si>
  <si>
    <t>Pinhalzinho</t>
  </si>
  <si>
    <t>Getulina</t>
  </si>
  <si>
    <t>Suíça</t>
  </si>
  <si>
    <t>Itarantim</t>
  </si>
  <si>
    <t>Rio Verde</t>
  </si>
  <si>
    <t>Serrano do Maranhão</t>
  </si>
  <si>
    <t>Confins</t>
  </si>
  <si>
    <t>São Vicente do Seridó</t>
  </si>
  <si>
    <t>São José do Piauí</t>
  </si>
  <si>
    <t>Ibiraiaras</t>
  </si>
  <si>
    <t>Pinheiro Preto</t>
  </si>
  <si>
    <t>Glicério</t>
  </si>
  <si>
    <t>Suriname</t>
  </si>
  <si>
    <t>Itatim</t>
  </si>
  <si>
    <t>Rubiataba</t>
  </si>
  <si>
    <t>Congonhal</t>
  </si>
  <si>
    <t>Sapé</t>
  </si>
  <si>
    <t>São Julião</t>
  </si>
  <si>
    <t>Ibirapuitã</t>
  </si>
  <si>
    <t>Piratuba</t>
  </si>
  <si>
    <t>Guaiçara</t>
  </si>
  <si>
    <t>Itiruçu</t>
  </si>
  <si>
    <t>Sanclerlândia</t>
  </si>
  <si>
    <t>Sucupira do Norte</t>
  </si>
  <si>
    <t>Congonhas</t>
  </si>
  <si>
    <t>Serra Branca</t>
  </si>
  <si>
    <t>São Lourenço do Piauí</t>
  </si>
  <si>
    <t>Ibirubá</t>
  </si>
  <si>
    <t>Planalto Alegre</t>
  </si>
  <si>
    <t>Guaimbê</t>
  </si>
  <si>
    <t>Tajiquistão</t>
  </si>
  <si>
    <t>Itiúba</t>
  </si>
  <si>
    <t>Santa Bárbara de Goiás</t>
  </si>
  <si>
    <t>Sucupira do Riachão</t>
  </si>
  <si>
    <t>Congonhas do Norte</t>
  </si>
  <si>
    <t>Serra da Raiz</t>
  </si>
  <si>
    <t>São Luis do Piauí</t>
  </si>
  <si>
    <t>Igrejinha</t>
  </si>
  <si>
    <t>Pomerode</t>
  </si>
  <si>
    <t>Tanzânia</t>
  </si>
  <si>
    <t>Itororó</t>
  </si>
  <si>
    <t>Santa Cruz de Goiás</t>
  </si>
  <si>
    <t>Tasso Fragoso</t>
  </si>
  <si>
    <t>Conquista</t>
  </si>
  <si>
    <t>Serra Grande</t>
  </si>
  <si>
    <t>São Miguel da Baixa Grande</t>
  </si>
  <si>
    <t>Ijuí</t>
  </si>
  <si>
    <t>Ponte Alta</t>
  </si>
  <si>
    <t>Guapiaçu</t>
  </si>
  <si>
    <t>Tchéquia</t>
  </si>
  <si>
    <t>Ituaçu</t>
  </si>
  <si>
    <t>Santa Fé de Goiás</t>
  </si>
  <si>
    <t>Timbiras</t>
  </si>
  <si>
    <t>Conselheiro Lafaiete</t>
  </si>
  <si>
    <t>Serra Redonda</t>
  </si>
  <si>
    <t>São Miguel do Fidalgo</t>
  </si>
  <si>
    <t>Ilópolis</t>
  </si>
  <si>
    <t>Ponte Alta do Norte</t>
  </si>
  <si>
    <t>Guapiara</t>
  </si>
  <si>
    <t>Timor-Leste</t>
  </si>
  <si>
    <t>Ituberá</t>
  </si>
  <si>
    <t>Santa Helena de Goiás</t>
  </si>
  <si>
    <t>Timon</t>
  </si>
  <si>
    <t>Conselheiro Pena</t>
  </si>
  <si>
    <t>Serraria</t>
  </si>
  <si>
    <t>São Miguel do Tapuio</t>
  </si>
  <si>
    <t>Imbé</t>
  </si>
  <si>
    <t>Ponte Serrada</t>
  </si>
  <si>
    <t>Guará</t>
  </si>
  <si>
    <t>Togo</t>
  </si>
  <si>
    <t>Iuiu</t>
  </si>
  <si>
    <t>Santa Isabel</t>
  </si>
  <si>
    <t>Trizidela do Vale</t>
  </si>
  <si>
    <t>Consolação</t>
  </si>
  <si>
    <t>Sertãozinho</t>
  </si>
  <si>
    <t>São Pedro do Piauí</t>
  </si>
  <si>
    <t>Imigrante</t>
  </si>
  <si>
    <t>Porto Belo</t>
  </si>
  <si>
    <t>Guaraçaí</t>
  </si>
  <si>
    <t>Tonga</t>
  </si>
  <si>
    <t>Jaborandi</t>
  </si>
  <si>
    <t>Santa Rita do Araguaia</t>
  </si>
  <si>
    <t>Tufilândia</t>
  </si>
  <si>
    <t>Contagem</t>
  </si>
  <si>
    <t>Sobrado</t>
  </si>
  <si>
    <t>São Raimundo Nonato</t>
  </si>
  <si>
    <t>Porto União</t>
  </si>
  <si>
    <t>Trinidad e Tobago</t>
  </si>
  <si>
    <t>Jacaraci</t>
  </si>
  <si>
    <t>Santa Rita do Novo Destino</t>
  </si>
  <si>
    <t>Tuntum</t>
  </si>
  <si>
    <t>Coqueiral</t>
  </si>
  <si>
    <t>Solânea</t>
  </si>
  <si>
    <t>Sebastião Barros</t>
  </si>
  <si>
    <t>Inhacorá</t>
  </si>
  <si>
    <t>Pouso Redondo</t>
  </si>
  <si>
    <t>Guarani d'Oeste</t>
  </si>
  <si>
    <t>Tunísia</t>
  </si>
  <si>
    <t>Jacobina</t>
  </si>
  <si>
    <t>Santa Rosa de Goiás</t>
  </si>
  <si>
    <t>Turiaçu</t>
  </si>
  <si>
    <t>Coração de Jesus</t>
  </si>
  <si>
    <t>Soledade</t>
  </si>
  <si>
    <t>Sebastião Leal</t>
  </si>
  <si>
    <t>Ipê</t>
  </si>
  <si>
    <t>Praia Grande</t>
  </si>
  <si>
    <t>Guarantã</t>
  </si>
  <si>
    <t>Turcomenistão</t>
  </si>
  <si>
    <t>Jaguaquara</t>
  </si>
  <si>
    <t>Santa Tereza de Goiás</t>
  </si>
  <si>
    <t>Turilândia</t>
  </si>
  <si>
    <t>Cordisburgo</t>
  </si>
  <si>
    <t>Sossêgo</t>
  </si>
  <si>
    <t>Sigefredo Pacheco</t>
  </si>
  <si>
    <t>Ipiranga do Sul</t>
  </si>
  <si>
    <t>Presidente Castello Branco</t>
  </si>
  <si>
    <t>Guararapes</t>
  </si>
  <si>
    <t>Turquia</t>
  </si>
  <si>
    <t>Jaguarari</t>
  </si>
  <si>
    <t>Santa Terezinha de Goiás</t>
  </si>
  <si>
    <t>Tutóia</t>
  </si>
  <si>
    <t>Cordislândia</t>
  </si>
  <si>
    <t>Sousa</t>
  </si>
  <si>
    <t>Simões</t>
  </si>
  <si>
    <t>Iraí</t>
  </si>
  <si>
    <t>Presidente Getúlio</t>
  </si>
  <si>
    <t>Guararema</t>
  </si>
  <si>
    <t>Tuvalu</t>
  </si>
  <si>
    <t>Jaguaripe</t>
  </si>
  <si>
    <t>Santo Antônio da Barra</t>
  </si>
  <si>
    <t>Urbano Santos</t>
  </si>
  <si>
    <t>Corinto</t>
  </si>
  <si>
    <t>Sumé</t>
  </si>
  <si>
    <t>Simplício Mendes</t>
  </si>
  <si>
    <t>Itaara</t>
  </si>
  <si>
    <t>Presidente Nereu</t>
  </si>
  <si>
    <t>Guaratinguetá</t>
  </si>
  <si>
    <t>Ucrânia</t>
  </si>
  <si>
    <t>Santo Antônio de Goiás</t>
  </si>
  <si>
    <t>Vargem Grande</t>
  </si>
  <si>
    <t>Coroaci</t>
  </si>
  <si>
    <t>Tacima</t>
  </si>
  <si>
    <t>Socorro do Piauí</t>
  </si>
  <si>
    <t>Itacurubi</t>
  </si>
  <si>
    <t>Princesa</t>
  </si>
  <si>
    <t>Guareí</t>
  </si>
  <si>
    <t>Uganda</t>
  </si>
  <si>
    <t>Jequié</t>
  </si>
  <si>
    <t>Santo Antônio do Descoberto</t>
  </si>
  <si>
    <t>Coromandel</t>
  </si>
  <si>
    <t>Taperoá</t>
  </si>
  <si>
    <t>Sussuapara</t>
  </si>
  <si>
    <t>Itapuca</t>
  </si>
  <si>
    <t>Quilombo</t>
  </si>
  <si>
    <t>Guariba</t>
  </si>
  <si>
    <t>Uruguai</t>
  </si>
  <si>
    <t>Jeremoabo</t>
  </si>
  <si>
    <t>Vila Nova dos Martírios</t>
  </si>
  <si>
    <t>Coronel Fabriciano</t>
  </si>
  <si>
    <t>Tavares</t>
  </si>
  <si>
    <t>Tamboril do Piauí</t>
  </si>
  <si>
    <t>Rancho Queimado</t>
  </si>
  <si>
    <t>Guarujá</t>
  </si>
  <si>
    <t>Uzbequistão</t>
  </si>
  <si>
    <t>Jiquiriçá</t>
  </si>
  <si>
    <t>São Francisco de Goiás</t>
  </si>
  <si>
    <t>Vitória do Mearim</t>
  </si>
  <si>
    <t>Coronel Murta</t>
  </si>
  <si>
    <t>Teixeira</t>
  </si>
  <si>
    <t>Tanque do Piauí</t>
  </si>
  <si>
    <t>Itati</t>
  </si>
  <si>
    <t>Rio das Antas</t>
  </si>
  <si>
    <t>Guarulhos</t>
  </si>
  <si>
    <t>Vanuatu</t>
  </si>
  <si>
    <t>Jitaúna</t>
  </si>
  <si>
    <t>São João da Paraúna</t>
  </si>
  <si>
    <t>Vitorino Freire</t>
  </si>
  <si>
    <t>Coronel Pacheco</t>
  </si>
  <si>
    <t>Tenório</t>
  </si>
  <si>
    <t>Teresina</t>
  </si>
  <si>
    <t>Itatiba do Sul</t>
  </si>
  <si>
    <t>Rio do Campo</t>
  </si>
  <si>
    <t>Guatapará</t>
  </si>
  <si>
    <t>Vaticano</t>
  </si>
  <si>
    <t>João Dourado</t>
  </si>
  <si>
    <t>São João d'Aliança</t>
  </si>
  <si>
    <t>Zé Doca</t>
  </si>
  <si>
    <t>Coronel Xavier Chaves</t>
  </si>
  <si>
    <t>União</t>
  </si>
  <si>
    <t>Ivorá</t>
  </si>
  <si>
    <t>Rio do Oeste</t>
  </si>
  <si>
    <t>Guzolândia</t>
  </si>
  <si>
    <t>Venezuela</t>
  </si>
  <si>
    <t>Juazeiro</t>
  </si>
  <si>
    <t>São Luís de Montes Belos</t>
  </si>
  <si>
    <t>Córrego Danta</t>
  </si>
  <si>
    <t>Uiraúna</t>
  </si>
  <si>
    <t>Uruçuí</t>
  </si>
  <si>
    <t>Ivoti</t>
  </si>
  <si>
    <t>Rio do Sul</t>
  </si>
  <si>
    <t>Herculândia</t>
  </si>
  <si>
    <t>Vietnã</t>
  </si>
  <si>
    <t>Jucuruçu</t>
  </si>
  <si>
    <t>São Luiz do Norte</t>
  </si>
  <si>
    <t>Córrego do Bom Jesus</t>
  </si>
  <si>
    <t>Umbuzeiro</t>
  </si>
  <si>
    <t>Valença do Piauí</t>
  </si>
  <si>
    <t>Jaboticaba</t>
  </si>
  <si>
    <t>Rio dos Cedros</t>
  </si>
  <si>
    <t>Zâmbia</t>
  </si>
  <si>
    <t>São Miguel do Araguaia</t>
  </si>
  <si>
    <t>Córrego Fundo</t>
  </si>
  <si>
    <t>Várzea Branca</t>
  </si>
  <si>
    <t>Jacuizinho</t>
  </si>
  <si>
    <t>Rio Fortuna</t>
  </si>
  <si>
    <t>Hortolândia</t>
  </si>
  <si>
    <t>Zimbábue</t>
  </si>
  <si>
    <t>Jussari</t>
  </si>
  <si>
    <t>São Miguel do Passa Quatro</t>
  </si>
  <si>
    <t>Córrego Novo</t>
  </si>
  <si>
    <t>Vieirópolis</t>
  </si>
  <si>
    <t>Jacutinga</t>
  </si>
  <si>
    <t>Rio Negrinho</t>
  </si>
  <si>
    <t>Iacanga</t>
  </si>
  <si>
    <t>Jussiape</t>
  </si>
  <si>
    <t>São Patrício</t>
  </si>
  <si>
    <t>Couto de Magalhães de Minas</t>
  </si>
  <si>
    <t>Vista Serrana</t>
  </si>
  <si>
    <t>Vera Mendes</t>
  </si>
  <si>
    <t>Jaguarão</t>
  </si>
  <si>
    <t>Rio Rufino</t>
  </si>
  <si>
    <t>Iacri</t>
  </si>
  <si>
    <t>Lafaiete Coutinho</t>
  </si>
  <si>
    <t>São Simão</t>
  </si>
  <si>
    <t>Crisólita</t>
  </si>
  <si>
    <t>Zabelê</t>
  </si>
  <si>
    <t>Vila Nova do Piauí</t>
  </si>
  <si>
    <t>Jaguari</t>
  </si>
  <si>
    <t>Riqueza</t>
  </si>
  <si>
    <t>Iaras</t>
  </si>
  <si>
    <t>Lagoa Real</t>
  </si>
  <si>
    <t>Senador Canedo</t>
  </si>
  <si>
    <t>Cristais</t>
  </si>
  <si>
    <t>Wall Ferraz</t>
  </si>
  <si>
    <t>Jaquirana</t>
  </si>
  <si>
    <t>Rodeio</t>
  </si>
  <si>
    <t>Ibaté</t>
  </si>
  <si>
    <t>Laje</t>
  </si>
  <si>
    <t>Serranópolis</t>
  </si>
  <si>
    <t>Cristália</t>
  </si>
  <si>
    <t>Jari</t>
  </si>
  <si>
    <t>Romelândia</t>
  </si>
  <si>
    <t>Ibirá</t>
  </si>
  <si>
    <t>Lajedão</t>
  </si>
  <si>
    <t>Silvânia</t>
  </si>
  <si>
    <t>Cristiano Otoni</t>
  </si>
  <si>
    <t>Jóia</t>
  </si>
  <si>
    <t>Salete</t>
  </si>
  <si>
    <t>Ibirarema</t>
  </si>
  <si>
    <t>Lajedinho</t>
  </si>
  <si>
    <t>Simolândia</t>
  </si>
  <si>
    <t>Cristina</t>
  </si>
  <si>
    <t>Júlio de Castilhos</t>
  </si>
  <si>
    <t>Saltinho</t>
  </si>
  <si>
    <t>Ibitinga</t>
  </si>
  <si>
    <t>Lajedo do Tabocal</t>
  </si>
  <si>
    <t>Sítio d'Abadia</t>
  </si>
  <si>
    <t>Crucilândia</t>
  </si>
  <si>
    <t>Munhoz de Melo</t>
  </si>
  <si>
    <t>Lagoa Bonita do Sul</t>
  </si>
  <si>
    <t>Salto Veloso</t>
  </si>
  <si>
    <t>Ibiúna</t>
  </si>
  <si>
    <t>Lamarão</t>
  </si>
  <si>
    <t>Taquaral de Goiás</t>
  </si>
  <si>
    <t>Cruzeiro da Fortaleza</t>
  </si>
  <si>
    <t>Lagoa dos Três Cantos</t>
  </si>
  <si>
    <t>Sangão</t>
  </si>
  <si>
    <t>Icém</t>
  </si>
  <si>
    <t>Lapão</t>
  </si>
  <si>
    <t>Teresina de Goiás</t>
  </si>
  <si>
    <t>Cruzília</t>
  </si>
  <si>
    <t>Lagoa Vermelha</t>
  </si>
  <si>
    <t>Iepê</t>
  </si>
  <si>
    <t>Lauro de Freitas</t>
  </si>
  <si>
    <t>Terezópolis de Goiás</t>
  </si>
  <si>
    <t>Cuparaque</t>
  </si>
  <si>
    <t>Lagoão</t>
  </si>
  <si>
    <t>Igaraçu do Tietê</t>
  </si>
  <si>
    <t>Lençóis</t>
  </si>
  <si>
    <t>Três Ranchos</t>
  </si>
  <si>
    <t>Curral de Dentro</t>
  </si>
  <si>
    <t>Igarapava</t>
  </si>
  <si>
    <t>Licínio de Almeida</t>
  </si>
  <si>
    <t>Curvelo</t>
  </si>
  <si>
    <t>Lajeado do Bugre</t>
  </si>
  <si>
    <t>Santa Rosa do Sul</t>
  </si>
  <si>
    <t>Igaratá</t>
  </si>
  <si>
    <t>Livramento de Nossa Senhora</t>
  </si>
  <si>
    <t>Trombas</t>
  </si>
  <si>
    <t>Datas</t>
  </si>
  <si>
    <t>Lavras do Sul</t>
  </si>
  <si>
    <t>Iguape</t>
  </si>
  <si>
    <t>Turvânia</t>
  </si>
  <si>
    <t>Delfim Moreira</t>
  </si>
  <si>
    <t>Liberato Salzano</t>
  </si>
  <si>
    <t>Santa Terezinha do Progresso</t>
  </si>
  <si>
    <t>Ilha Comprida</t>
  </si>
  <si>
    <t>Macajuba</t>
  </si>
  <si>
    <t>Turvelândia</t>
  </si>
  <si>
    <t>Delfinópolis</t>
  </si>
  <si>
    <t>Lindolfo Collor</t>
  </si>
  <si>
    <t>Santiago do Sul</t>
  </si>
  <si>
    <t>Ilha Solteira</t>
  </si>
  <si>
    <t>Macarani</t>
  </si>
  <si>
    <t>Uirapuru</t>
  </si>
  <si>
    <t>Delta</t>
  </si>
  <si>
    <t>Linha Nova</t>
  </si>
  <si>
    <t>Santo Amaro da Imperatriz</t>
  </si>
  <si>
    <t>Ilhabela</t>
  </si>
  <si>
    <t>Macaúbas</t>
  </si>
  <si>
    <t>Uruaçu</t>
  </si>
  <si>
    <t>Descoberto</t>
  </si>
  <si>
    <t>Maçambará</t>
  </si>
  <si>
    <t>São Bento do Sul</t>
  </si>
  <si>
    <t>Indaiatuba</t>
  </si>
  <si>
    <t>Macururé</t>
  </si>
  <si>
    <t>Uruana</t>
  </si>
  <si>
    <t>Desterro de Entre Rios</t>
  </si>
  <si>
    <t>Machadinho</t>
  </si>
  <si>
    <t>São Bernardino</t>
  </si>
  <si>
    <t>Indiana</t>
  </si>
  <si>
    <t>Madre de Deus</t>
  </si>
  <si>
    <t>Urutaí</t>
  </si>
  <si>
    <t>Desterro do Melo</t>
  </si>
  <si>
    <t>Mampituba</t>
  </si>
  <si>
    <t>São Bonifácio</t>
  </si>
  <si>
    <t>Indiaporã</t>
  </si>
  <si>
    <t>Maetinga</t>
  </si>
  <si>
    <t>Valparaíso de Goiás</t>
  </si>
  <si>
    <t>Diamantina</t>
  </si>
  <si>
    <t>Manoel Viana</t>
  </si>
  <si>
    <t>São Carlos</t>
  </si>
  <si>
    <t>Inúbia Paulista</t>
  </si>
  <si>
    <t>Maiquinique</t>
  </si>
  <si>
    <t>Varjão</t>
  </si>
  <si>
    <t>Diogo de Vasconcelos</t>
  </si>
  <si>
    <t>Maquiné</t>
  </si>
  <si>
    <t>São Cristóvão do Sul</t>
  </si>
  <si>
    <t>Ipaussu</t>
  </si>
  <si>
    <t>Mairi</t>
  </si>
  <si>
    <t>Vianópolis</t>
  </si>
  <si>
    <t>Dionísio</t>
  </si>
  <si>
    <t>Maratá</t>
  </si>
  <si>
    <t>Iperó</t>
  </si>
  <si>
    <t>Malhada</t>
  </si>
  <si>
    <t>Vicentinópolis</t>
  </si>
  <si>
    <t>Divinésia</t>
  </si>
  <si>
    <t>Marau</t>
  </si>
  <si>
    <t>São Francisco do Sul</t>
  </si>
  <si>
    <t>Ipeúna</t>
  </si>
  <si>
    <t>Malhada de Pedras</t>
  </si>
  <si>
    <t>Vila Boa</t>
  </si>
  <si>
    <t>Divino</t>
  </si>
  <si>
    <t>Marcelino Ramos</t>
  </si>
  <si>
    <t>Ipiguá</t>
  </si>
  <si>
    <t>Manoel Vitorino</t>
  </si>
  <si>
    <t>Vila Propício</t>
  </si>
  <si>
    <t>Divino das Laranjeiras</t>
  </si>
  <si>
    <t>Mariana Pimentel</t>
  </si>
  <si>
    <t>São João do Itaperiú</t>
  </si>
  <si>
    <t>Iporanga</t>
  </si>
  <si>
    <t>Mansidão</t>
  </si>
  <si>
    <t>Divinolândia de Minas</t>
  </si>
  <si>
    <t>Mariano Moro</t>
  </si>
  <si>
    <t>São João do Oeste</t>
  </si>
  <si>
    <t>Ipuã</t>
  </si>
  <si>
    <t>Maracás</t>
  </si>
  <si>
    <t>Divinópolis</t>
  </si>
  <si>
    <t>Marques de Souza</t>
  </si>
  <si>
    <t>São João do Sul</t>
  </si>
  <si>
    <t>Iracemápolis</t>
  </si>
  <si>
    <t>Maragogipe</t>
  </si>
  <si>
    <t>Divisa Alegre</t>
  </si>
  <si>
    <t>Mata</t>
  </si>
  <si>
    <t>São Joaquim</t>
  </si>
  <si>
    <t>Irapuã</t>
  </si>
  <si>
    <t>Maraú</t>
  </si>
  <si>
    <t>Divisa Nova</t>
  </si>
  <si>
    <t>Mato Castelhano</t>
  </si>
  <si>
    <t>São José</t>
  </si>
  <si>
    <t>Irapuru</t>
  </si>
  <si>
    <t>Marcionílio Souza</t>
  </si>
  <si>
    <t>Divisópolis</t>
  </si>
  <si>
    <t>Mato Leitão</t>
  </si>
  <si>
    <t>São José do Cedro</t>
  </si>
  <si>
    <t>Itaberá</t>
  </si>
  <si>
    <t>Mascote</t>
  </si>
  <si>
    <t>Dom Bosco</t>
  </si>
  <si>
    <t>Mato Queimado</t>
  </si>
  <si>
    <t>São José do Cerrito</t>
  </si>
  <si>
    <t>Itaí</t>
  </si>
  <si>
    <t>Mata de São João</t>
  </si>
  <si>
    <t>Dom Cavati</t>
  </si>
  <si>
    <t>Maximiliano de Almeida</t>
  </si>
  <si>
    <t>São Lourenço do Oeste</t>
  </si>
  <si>
    <t>Itajobi</t>
  </si>
  <si>
    <t>Matina</t>
  </si>
  <si>
    <t>Dom Joaquim</t>
  </si>
  <si>
    <t>Minas do Leão</t>
  </si>
  <si>
    <t>São Ludgero</t>
  </si>
  <si>
    <t>Itaju</t>
  </si>
  <si>
    <t>Medeiros Neto</t>
  </si>
  <si>
    <t>Dom Silvério</t>
  </si>
  <si>
    <t>Miraguaí</t>
  </si>
  <si>
    <t>Itanhaém</t>
  </si>
  <si>
    <t>Miguel Calmon</t>
  </si>
  <si>
    <t>Dom Viçoso</t>
  </si>
  <si>
    <t>Montauri</t>
  </si>
  <si>
    <t>São Miguel da Boa Vista</t>
  </si>
  <si>
    <t>Itaoca</t>
  </si>
  <si>
    <t>Dona Euzébia</t>
  </si>
  <si>
    <t>Monte Alegre dos Campos</t>
  </si>
  <si>
    <t>São Miguel do Oeste</t>
  </si>
  <si>
    <t>Itapecerica da Serra</t>
  </si>
  <si>
    <t>Mirangaba</t>
  </si>
  <si>
    <t>Dores de Campos</t>
  </si>
  <si>
    <t>Monte Belo do Sul</t>
  </si>
  <si>
    <t>São Pedro de Alcântara</t>
  </si>
  <si>
    <t>Itapetininga</t>
  </si>
  <si>
    <t>Mirante</t>
  </si>
  <si>
    <t>Dores de Guanhães</t>
  </si>
  <si>
    <t>Saudades</t>
  </si>
  <si>
    <t>Itapeva</t>
  </si>
  <si>
    <t>Monte Santo</t>
  </si>
  <si>
    <t>Dores do Indaiá</t>
  </si>
  <si>
    <t>Mormaço</t>
  </si>
  <si>
    <t>Schroeder</t>
  </si>
  <si>
    <t>Itapevi</t>
  </si>
  <si>
    <t>Morpará</t>
  </si>
  <si>
    <t>Dores do Turvo</t>
  </si>
  <si>
    <t>Morrinhos do Sul</t>
  </si>
  <si>
    <t>Seara</t>
  </si>
  <si>
    <t>Itapira</t>
  </si>
  <si>
    <t>Morro do Chapéu</t>
  </si>
  <si>
    <t>Doresópolis</t>
  </si>
  <si>
    <t>Morro Redondo</t>
  </si>
  <si>
    <t>Serra Alta</t>
  </si>
  <si>
    <t>Itapirapuã Paulista</t>
  </si>
  <si>
    <t>Mortugaba</t>
  </si>
  <si>
    <t>Douradoquara</t>
  </si>
  <si>
    <t>Morro Reuter</t>
  </si>
  <si>
    <t>Siderópolis</t>
  </si>
  <si>
    <t>Itápolis</t>
  </si>
  <si>
    <t>Mucugê</t>
  </si>
  <si>
    <t>Durandé</t>
  </si>
  <si>
    <t>Mostardas</t>
  </si>
  <si>
    <t>Sombrio</t>
  </si>
  <si>
    <t>Mucuri</t>
  </si>
  <si>
    <t>Elói Mendes</t>
  </si>
  <si>
    <t>Muçum</t>
  </si>
  <si>
    <t>Sul Brasil</t>
  </si>
  <si>
    <t>Itapuí</t>
  </si>
  <si>
    <t>Mulungu do Morro</t>
  </si>
  <si>
    <t>Engenheiro Caldas</t>
  </si>
  <si>
    <t>Muitos Capões</t>
  </si>
  <si>
    <t>Taió</t>
  </si>
  <si>
    <t>Itapura</t>
  </si>
  <si>
    <t>Engenheiro Navarro</t>
  </si>
  <si>
    <t>Muliterno</t>
  </si>
  <si>
    <t>Itaquaquecetuba</t>
  </si>
  <si>
    <t>Muniz Ferreira</t>
  </si>
  <si>
    <t>Entre Folhas</t>
  </si>
  <si>
    <t>Não-Me-Toque</t>
  </si>
  <si>
    <t>Tigrinhos</t>
  </si>
  <si>
    <t>Itararé</t>
  </si>
  <si>
    <t>Muquém do São Francisco</t>
  </si>
  <si>
    <t>Entre Rios de Minas</t>
  </si>
  <si>
    <t>Nicolau Vergueiro</t>
  </si>
  <si>
    <t>Tijucas</t>
  </si>
  <si>
    <t>Itariri</t>
  </si>
  <si>
    <t>Muritiba</t>
  </si>
  <si>
    <t>Ervália</t>
  </si>
  <si>
    <t>Nonoai</t>
  </si>
  <si>
    <t>Timbé do Sul</t>
  </si>
  <si>
    <t>Itatiba</t>
  </si>
  <si>
    <t>Mutuípe</t>
  </si>
  <si>
    <t>Esmeraldas</t>
  </si>
  <si>
    <t>Nova Alvorada</t>
  </si>
  <si>
    <t>Timbó</t>
  </si>
  <si>
    <t>Itatinga</t>
  </si>
  <si>
    <t>Espera Feliz</t>
  </si>
  <si>
    <t>Nova Araçá</t>
  </si>
  <si>
    <t>Timbó Grande</t>
  </si>
  <si>
    <t>Itirapina</t>
  </si>
  <si>
    <t>Nilo Peçanha</t>
  </si>
  <si>
    <t>Espinosa</t>
  </si>
  <si>
    <t>Nova Bassano</t>
  </si>
  <si>
    <t>Três Barras</t>
  </si>
  <si>
    <t>Itirapuã</t>
  </si>
  <si>
    <t>Nordestina</t>
  </si>
  <si>
    <t>Espírito Santo do Dourado</t>
  </si>
  <si>
    <t>Nova Boa Vista</t>
  </si>
  <si>
    <t>Treviso</t>
  </si>
  <si>
    <t>Itobi</t>
  </si>
  <si>
    <t>Nova Canaã</t>
  </si>
  <si>
    <t>Estiva</t>
  </si>
  <si>
    <t>Nova Bréscia</t>
  </si>
  <si>
    <t>Treze de Maio</t>
  </si>
  <si>
    <t>Itu</t>
  </si>
  <si>
    <t>Estrela Dalva</t>
  </si>
  <si>
    <t>Nova Candelária</t>
  </si>
  <si>
    <t>Treze Tílias</t>
  </si>
  <si>
    <t>Itupeva</t>
  </si>
  <si>
    <t>Nova Ibiá</t>
  </si>
  <si>
    <t>Estrela do Indaiá</t>
  </si>
  <si>
    <t>Nova Esperança do Sul</t>
  </si>
  <si>
    <t>Trombudo Central</t>
  </si>
  <si>
    <t>Ituverava</t>
  </si>
  <si>
    <t>Nova Itarana</t>
  </si>
  <si>
    <t>Estrela do Sul</t>
  </si>
  <si>
    <t>Nova Hartz</t>
  </si>
  <si>
    <t>Tubarão</t>
  </si>
  <si>
    <t>Nova Redenção</t>
  </si>
  <si>
    <t>Eugenópolis</t>
  </si>
  <si>
    <t>Nova Pádua</t>
  </si>
  <si>
    <t>Tunápolis</t>
  </si>
  <si>
    <t>Jaboticabal</t>
  </si>
  <si>
    <t>Nova Soure</t>
  </si>
  <si>
    <t>Ewbank da Câmara</t>
  </si>
  <si>
    <t>Nova Palma</t>
  </si>
  <si>
    <t>Jacareí</t>
  </si>
  <si>
    <t>Nova Viçosa</t>
  </si>
  <si>
    <t>Extrema</t>
  </si>
  <si>
    <t>Nova Petrópolis</t>
  </si>
  <si>
    <t>União do Oeste</t>
  </si>
  <si>
    <t>Jaci</t>
  </si>
  <si>
    <t>Fama</t>
  </si>
  <si>
    <t>Nova Prata</t>
  </si>
  <si>
    <t>Urubici</t>
  </si>
  <si>
    <t>Jacupiranga</t>
  </si>
  <si>
    <t>Novo Triunfo</t>
  </si>
  <si>
    <t>Faria Lemos</t>
  </si>
  <si>
    <t>Nova Ramada</t>
  </si>
  <si>
    <t>Urupema</t>
  </si>
  <si>
    <t>Jaguariúna</t>
  </si>
  <si>
    <t>Olindina</t>
  </si>
  <si>
    <t>Felício dos Santos</t>
  </si>
  <si>
    <t>Nova Roma do Sul</t>
  </si>
  <si>
    <t>Urussanga</t>
  </si>
  <si>
    <t>Jales</t>
  </si>
  <si>
    <t>Oliveira dos Brejinhos</t>
  </si>
  <si>
    <t>Felisburgo</t>
  </si>
  <si>
    <t>Vargeão</t>
  </si>
  <si>
    <t>Jambeiro</t>
  </si>
  <si>
    <t>Ouriçangas</t>
  </si>
  <si>
    <t>Felixlândia</t>
  </si>
  <si>
    <t>Novo Barreiro</t>
  </si>
  <si>
    <t>Vargem</t>
  </si>
  <si>
    <t>Jandira</t>
  </si>
  <si>
    <t>Ourolândia</t>
  </si>
  <si>
    <t>Fernandes Tourinho</t>
  </si>
  <si>
    <t>Novo Cabrais</t>
  </si>
  <si>
    <t>Vargem Bonita</t>
  </si>
  <si>
    <t>Palmas de Monte Alto</t>
  </si>
  <si>
    <t>Ferros</t>
  </si>
  <si>
    <t>Novo Hamburgo</t>
  </si>
  <si>
    <t>Vidal Ramos</t>
  </si>
  <si>
    <t>Jarinu</t>
  </si>
  <si>
    <t>Palmeiras</t>
  </si>
  <si>
    <t>Fervedouro</t>
  </si>
  <si>
    <t>Novo Machado</t>
  </si>
  <si>
    <t>Jaú</t>
  </si>
  <si>
    <t>Paramirim</t>
  </si>
  <si>
    <t>Florestal</t>
  </si>
  <si>
    <t>Novo Tiradentes</t>
  </si>
  <si>
    <t>Vitor Meireles</t>
  </si>
  <si>
    <t>Jeriquara</t>
  </si>
  <si>
    <t>Paratinga</t>
  </si>
  <si>
    <t>Formiga</t>
  </si>
  <si>
    <t>Novo Xingu</t>
  </si>
  <si>
    <t>Witmarsum</t>
  </si>
  <si>
    <t>Joanópolis</t>
  </si>
  <si>
    <t>Paripiranga</t>
  </si>
  <si>
    <t>Osório</t>
  </si>
  <si>
    <t>Xanxerê</t>
  </si>
  <si>
    <t>João Ramalho</t>
  </si>
  <si>
    <t>Pau Brasil</t>
  </si>
  <si>
    <t>Fortaleza de Minas</t>
  </si>
  <si>
    <t>Paim Filho</t>
  </si>
  <si>
    <t>Xavantina</t>
  </si>
  <si>
    <t>José Bonifácio</t>
  </si>
  <si>
    <t>Paulo Afonso</t>
  </si>
  <si>
    <t>Fortuna de Minas</t>
  </si>
  <si>
    <t>Palmares do Sul</t>
  </si>
  <si>
    <t>Xaxim</t>
  </si>
  <si>
    <t>Júlio Mesquita</t>
  </si>
  <si>
    <t>Pé de Serra</t>
  </si>
  <si>
    <t>Francisco Badaró</t>
  </si>
  <si>
    <t>Palmeira das Missões</t>
  </si>
  <si>
    <t>Zortéa</t>
  </si>
  <si>
    <t>Jumirim</t>
  </si>
  <si>
    <t>Pedrão</t>
  </si>
  <si>
    <t>Francisco Dumont</t>
  </si>
  <si>
    <t>Palmitinho</t>
  </si>
  <si>
    <t>Jundiaí</t>
  </si>
  <si>
    <t>Pedro Alexandre</t>
  </si>
  <si>
    <t>Francisco Sá</t>
  </si>
  <si>
    <t>Panambi</t>
  </si>
  <si>
    <t>Junqueirópolis</t>
  </si>
  <si>
    <t>Piatã</t>
  </si>
  <si>
    <t>Franciscópolis</t>
  </si>
  <si>
    <t>Pantano Grande</t>
  </si>
  <si>
    <t>Juquiá</t>
  </si>
  <si>
    <t>Pilão Arcado</t>
  </si>
  <si>
    <t>Frei Gaspar</t>
  </si>
  <si>
    <t>Rancho Alegre D'Oeste</t>
  </si>
  <si>
    <t>Paraí</t>
  </si>
  <si>
    <t>Juquitiba</t>
  </si>
  <si>
    <t>Pindaí</t>
  </si>
  <si>
    <t>Frei Inocêncio</t>
  </si>
  <si>
    <t>Paraíso do Sul</t>
  </si>
  <si>
    <t>Lagoinha</t>
  </si>
  <si>
    <t>Pindobaçu</t>
  </si>
  <si>
    <t>Frei Lagonegro</t>
  </si>
  <si>
    <t>Pareci Novo</t>
  </si>
  <si>
    <t>Laranjal Paulista</t>
  </si>
  <si>
    <t>Pintadas</t>
  </si>
  <si>
    <t>Fronteira</t>
  </si>
  <si>
    <t>Parobé</t>
  </si>
  <si>
    <t>Lavínia</t>
  </si>
  <si>
    <t>Piraí do Norte</t>
  </si>
  <si>
    <t>Fronteira dos Vales</t>
  </si>
  <si>
    <t>Passa Sete</t>
  </si>
  <si>
    <t>Lavrinhas</t>
  </si>
  <si>
    <t>Piripá</t>
  </si>
  <si>
    <t>Fruta de Leite</t>
  </si>
  <si>
    <t>Passo do Sobrado</t>
  </si>
  <si>
    <t>Leme</t>
  </si>
  <si>
    <t>Piritiba</t>
  </si>
  <si>
    <t>Frutal</t>
  </si>
  <si>
    <t>Passo Fundo</t>
  </si>
  <si>
    <t>Lençóis Paulista</t>
  </si>
  <si>
    <t>Planaltino</t>
  </si>
  <si>
    <t>Funilândia</t>
  </si>
  <si>
    <t>Paulo Bento</t>
  </si>
  <si>
    <t>Limeira</t>
  </si>
  <si>
    <t>Galiléia</t>
  </si>
  <si>
    <t>Paverama</t>
  </si>
  <si>
    <t>Lindóia</t>
  </si>
  <si>
    <t>Poções</t>
  </si>
  <si>
    <t>Gameleiras</t>
  </si>
  <si>
    <t>Pedras Altas</t>
  </si>
  <si>
    <t>Lins</t>
  </si>
  <si>
    <t>Pojuca</t>
  </si>
  <si>
    <t>Glaucilândia</t>
  </si>
  <si>
    <t>Pedro Osório</t>
  </si>
  <si>
    <t>Lorena</t>
  </si>
  <si>
    <t>Ponto Novo</t>
  </si>
  <si>
    <t>Goiabeira</t>
  </si>
  <si>
    <t>Pejuçara</t>
  </si>
  <si>
    <t>Lourdes</t>
  </si>
  <si>
    <t>Porto Seguro</t>
  </si>
  <si>
    <t>Goianá</t>
  </si>
  <si>
    <t>Pelotas</t>
  </si>
  <si>
    <t>Louveira</t>
  </si>
  <si>
    <t>Potiraguá</t>
  </si>
  <si>
    <t>Gonçalves</t>
  </si>
  <si>
    <t>Picada Café</t>
  </si>
  <si>
    <t>Lucélia</t>
  </si>
  <si>
    <t>Prado</t>
  </si>
  <si>
    <t>Gonzaga</t>
  </si>
  <si>
    <t>Pinhal</t>
  </si>
  <si>
    <t>Lucianópolis</t>
  </si>
  <si>
    <t>Gouveia</t>
  </si>
  <si>
    <t>Pinhal da Serra</t>
  </si>
  <si>
    <t>Luís Antônio</t>
  </si>
  <si>
    <t>Presidente Jânio Quadros</t>
  </si>
  <si>
    <t>Governador Valadares</t>
  </si>
  <si>
    <t>Pinhal Grande</t>
  </si>
  <si>
    <t>Luiziânia</t>
  </si>
  <si>
    <t>Presidente Tancredo Neves</t>
  </si>
  <si>
    <t>Grão Mogol</t>
  </si>
  <si>
    <t>Pinheirinho do Vale</t>
  </si>
  <si>
    <t>Lupércio</t>
  </si>
  <si>
    <t>Grupiara</t>
  </si>
  <si>
    <t>Pinheiro Machado</t>
  </si>
  <si>
    <t>Lutécia</t>
  </si>
  <si>
    <t>Quijingue</t>
  </si>
  <si>
    <t>Guanhães</t>
  </si>
  <si>
    <t>Pinto Bandeira</t>
  </si>
  <si>
    <t>Macatuba</t>
  </si>
  <si>
    <t>Quixabeira</t>
  </si>
  <si>
    <t>Guapé</t>
  </si>
  <si>
    <t>Pirapó</t>
  </si>
  <si>
    <t>Macaubal</t>
  </si>
  <si>
    <t>Rafael Jambeiro</t>
  </si>
  <si>
    <t>Piratini</t>
  </si>
  <si>
    <t>Macedônia</t>
  </si>
  <si>
    <t>Remanso</t>
  </si>
  <si>
    <t>Guaraciama</t>
  </si>
  <si>
    <t>Magda</t>
  </si>
  <si>
    <t>Retirolândia</t>
  </si>
  <si>
    <t>Guaranésia</t>
  </si>
  <si>
    <t>Poço das Antas</t>
  </si>
  <si>
    <t>Mairinque</t>
  </si>
  <si>
    <t>Riachão das Neves</t>
  </si>
  <si>
    <t>Guarani</t>
  </si>
  <si>
    <t>Pontão</t>
  </si>
  <si>
    <t>Mairiporã</t>
  </si>
  <si>
    <t>Riachão do Jacuípe</t>
  </si>
  <si>
    <t>Guarará</t>
  </si>
  <si>
    <t>Ponte Preta</t>
  </si>
  <si>
    <t>Manduri</t>
  </si>
  <si>
    <t>Guarda-Mor</t>
  </si>
  <si>
    <t>Portão</t>
  </si>
  <si>
    <t>Marabá Paulista</t>
  </si>
  <si>
    <t>Ribeira do Amparo</t>
  </si>
  <si>
    <t>Guaxupé</t>
  </si>
  <si>
    <t>Maracaí</t>
  </si>
  <si>
    <t>Ribeira do Pombal</t>
  </si>
  <si>
    <t>Guidoval</t>
  </si>
  <si>
    <t>Porto Lucena</t>
  </si>
  <si>
    <t>Marapoama</t>
  </si>
  <si>
    <t>Ribeirão do Largo</t>
  </si>
  <si>
    <t>Guimarânia</t>
  </si>
  <si>
    <t>Porto Mauá</t>
  </si>
  <si>
    <t>Mariápolis</t>
  </si>
  <si>
    <t>Rio de Contas</t>
  </si>
  <si>
    <t>Guiricema</t>
  </si>
  <si>
    <t>Porto Vera Cruz</t>
  </si>
  <si>
    <t>Marília</t>
  </si>
  <si>
    <t>Rio do Antônio</t>
  </si>
  <si>
    <t>Gurinhatã</t>
  </si>
  <si>
    <t>Porto Xavier</t>
  </si>
  <si>
    <t>Marinópolis</t>
  </si>
  <si>
    <t>Rio do Pires</t>
  </si>
  <si>
    <t>Heliodora</t>
  </si>
  <si>
    <t>Pouso Novo</t>
  </si>
  <si>
    <t>Martinópolis</t>
  </si>
  <si>
    <t>Rio Real</t>
  </si>
  <si>
    <t>Iapu</t>
  </si>
  <si>
    <t>Presidente Lucena</t>
  </si>
  <si>
    <t>Matão</t>
  </si>
  <si>
    <t>Rodelas</t>
  </si>
  <si>
    <t>Ibertioga</t>
  </si>
  <si>
    <t>Progresso</t>
  </si>
  <si>
    <t>Mauá</t>
  </si>
  <si>
    <t>Ibiá</t>
  </si>
  <si>
    <t>Protásio Alves</t>
  </si>
  <si>
    <t>Mendonça</t>
  </si>
  <si>
    <t>Salinas da Margarida</t>
  </si>
  <si>
    <t>Ibiaí</t>
  </si>
  <si>
    <t>Putinga</t>
  </si>
  <si>
    <t>Meridiano</t>
  </si>
  <si>
    <t>Salvador</t>
  </si>
  <si>
    <t>Ibiracatu</t>
  </si>
  <si>
    <t>Quaraí</t>
  </si>
  <si>
    <t>Mesópolis</t>
  </si>
  <si>
    <t>Santa Bárbara</t>
  </si>
  <si>
    <t>Ibiraci</t>
  </si>
  <si>
    <t>Quatro Irmãos</t>
  </si>
  <si>
    <t>Miguelópolis</t>
  </si>
  <si>
    <t>Santa Brígida</t>
  </si>
  <si>
    <t>Ibirité</t>
  </si>
  <si>
    <t>Quevedos</t>
  </si>
  <si>
    <t>Mineiros do Tietê</t>
  </si>
  <si>
    <t>Santa Cruz Cabrália</t>
  </si>
  <si>
    <t>Ibitiúra de Minas</t>
  </si>
  <si>
    <t>Quinze de Novembro</t>
  </si>
  <si>
    <t>Mira Estrela</t>
  </si>
  <si>
    <t>Santa Cruz da Vitória</t>
  </si>
  <si>
    <t>Ibituruna</t>
  </si>
  <si>
    <t>Redentora</t>
  </si>
  <si>
    <t>Miracatu</t>
  </si>
  <si>
    <t>Icaraí de Minas</t>
  </si>
  <si>
    <t>Relvado</t>
  </si>
  <si>
    <t>Mirandópolis</t>
  </si>
  <si>
    <t>Igarapé</t>
  </si>
  <si>
    <t>Restinga Sêca</t>
  </si>
  <si>
    <t>Mirante do Paranapanema</t>
  </si>
  <si>
    <t>Santa Maria da Vitória</t>
  </si>
  <si>
    <t>Igaratinga</t>
  </si>
  <si>
    <t>Rio dos Índios</t>
  </si>
  <si>
    <t>Mirassol</t>
  </si>
  <si>
    <t>Santa Rita de Cássia</t>
  </si>
  <si>
    <t>Iguatama</t>
  </si>
  <si>
    <t>Rio Grande</t>
  </si>
  <si>
    <t>Mirassolândia</t>
  </si>
  <si>
    <t>Ijaci</t>
  </si>
  <si>
    <t>Rio Pardo</t>
  </si>
  <si>
    <t>Mococa</t>
  </si>
  <si>
    <t>Santaluz</t>
  </si>
  <si>
    <t>Ilicínea</t>
  </si>
  <si>
    <t>Riozinho</t>
  </si>
  <si>
    <t>Imbé de Minas</t>
  </si>
  <si>
    <t>Roca Sales</t>
  </si>
  <si>
    <t>Mogi Guaçu</t>
  </si>
  <si>
    <t>Santanópolis</t>
  </si>
  <si>
    <t>Inconfidentes</t>
  </si>
  <si>
    <t>Rodeio Bonito</t>
  </si>
  <si>
    <t>Mogi Mirim</t>
  </si>
  <si>
    <t>Santo Amaro</t>
  </si>
  <si>
    <t>Indaiabira</t>
  </si>
  <si>
    <t>Rolador</t>
  </si>
  <si>
    <t>Mombuca</t>
  </si>
  <si>
    <t>Santo Antônio de Jesus</t>
  </si>
  <si>
    <t>Rolante</t>
  </si>
  <si>
    <t>Monções</t>
  </si>
  <si>
    <t>Santo Estêvão</t>
  </si>
  <si>
    <t>Ingaí</t>
  </si>
  <si>
    <t>Ronda Alta</t>
  </si>
  <si>
    <t>Mongaguá</t>
  </si>
  <si>
    <t>São Desidério</t>
  </si>
  <si>
    <t>Inhapim</t>
  </si>
  <si>
    <t>Rondinha</t>
  </si>
  <si>
    <t>Monte Alegre do Sul</t>
  </si>
  <si>
    <t>Inhaúma</t>
  </si>
  <si>
    <t>Roque Gonzales</t>
  </si>
  <si>
    <t>Monte Alto</t>
  </si>
  <si>
    <t>São Felipe</t>
  </si>
  <si>
    <t>Inimutaba</t>
  </si>
  <si>
    <t>Rosário do Sul</t>
  </si>
  <si>
    <t>Monte Aprazível</t>
  </si>
  <si>
    <t>São Félix</t>
  </si>
  <si>
    <t>Ipaba</t>
  </si>
  <si>
    <t>Sagrada Família</t>
  </si>
  <si>
    <t>Monte Azul Paulista</t>
  </si>
  <si>
    <t>São Félix do Coribe</t>
  </si>
  <si>
    <t>Ipanema</t>
  </si>
  <si>
    <t>Saldanha Marinho</t>
  </si>
  <si>
    <t>São Francisco do Conde</t>
  </si>
  <si>
    <t>Ipatinga</t>
  </si>
  <si>
    <t>Salto do Jacuí</t>
  </si>
  <si>
    <t>Monte Mor</t>
  </si>
  <si>
    <t>São Gabriel</t>
  </si>
  <si>
    <t>Ipiaçu</t>
  </si>
  <si>
    <t>Salvador das Missões</t>
  </si>
  <si>
    <t>Monteiro Lobato</t>
  </si>
  <si>
    <t>São Gonçalo dos Campos</t>
  </si>
  <si>
    <t>Ipuiúna</t>
  </si>
  <si>
    <t>Salvador do Sul</t>
  </si>
  <si>
    <t>Morro Agudo</t>
  </si>
  <si>
    <t>São José da Vitória</t>
  </si>
  <si>
    <t>Iraí de Minas</t>
  </si>
  <si>
    <t>Sananduva</t>
  </si>
  <si>
    <t>Morungaba</t>
  </si>
  <si>
    <t>São José do Jacuípe</t>
  </si>
  <si>
    <t>Itabira</t>
  </si>
  <si>
    <t>Santa Bárbara do Sul</t>
  </si>
  <si>
    <t>Motuca</t>
  </si>
  <si>
    <t>São Miguel das Matas</t>
  </si>
  <si>
    <t>Itabirinha</t>
  </si>
  <si>
    <t>Santa Cecília do Sul</t>
  </si>
  <si>
    <t>Murutinga do Sul</t>
  </si>
  <si>
    <t>São Sebastião do Passé</t>
  </si>
  <si>
    <t>Itabirito</t>
  </si>
  <si>
    <t>Santa Clara do Sul</t>
  </si>
  <si>
    <t>Nantes</t>
  </si>
  <si>
    <t>Sapeaçu</t>
  </si>
  <si>
    <t>Itacambira</t>
  </si>
  <si>
    <t>Santa Cruz do Sul</t>
  </si>
  <si>
    <t>Narandiba</t>
  </si>
  <si>
    <t>Sátiro Dias</t>
  </si>
  <si>
    <t>Itacarambi</t>
  </si>
  <si>
    <t>Santa Margarida do Sul</t>
  </si>
  <si>
    <t>Natividade da Serra</t>
  </si>
  <si>
    <t>Saubara</t>
  </si>
  <si>
    <t>Itaguara</t>
  </si>
  <si>
    <t>Nazaré Paulista</t>
  </si>
  <si>
    <t>Saúde</t>
  </si>
  <si>
    <t>Itaipé</t>
  </si>
  <si>
    <t>Santa Maria do Herval</t>
  </si>
  <si>
    <t>Neves Paulista</t>
  </si>
  <si>
    <t>Seabra</t>
  </si>
  <si>
    <t>Itajubá</t>
  </si>
  <si>
    <t>Santa Rosa</t>
  </si>
  <si>
    <t>Nhandeara</t>
  </si>
  <si>
    <t>Sebastião Laranjeiras</t>
  </si>
  <si>
    <t>Itamarandiba</t>
  </si>
  <si>
    <t>Santa Tereza</t>
  </si>
  <si>
    <t>Nipoã</t>
  </si>
  <si>
    <t>Senhor do Bonfim</t>
  </si>
  <si>
    <t>Itamarati de Minas</t>
  </si>
  <si>
    <t>Santa Vitória do Palmar</t>
  </si>
  <si>
    <t>Nova Aliança</t>
  </si>
  <si>
    <t>Sento Sé</t>
  </si>
  <si>
    <t>Itambacuri</t>
  </si>
  <si>
    <t>Santana da Boa Vista</t>
  </si>
  <si>
    <t>Nova Campina</t>
  </si>
  <si>
    <t>Serra do Ramalho</t>
  </si>
  <si>
    <t>Itambé do Mato Dentro</t>
  </si>
  <si>
    <t>Sant'Ana do Livramento</t>
  </si>
  <si>
    <t>Nova Canaã Paulista</t>
  </si>
  <si>
    <t>Serra Dourada</t>
  </si>
  <si>
    <t>Itamogi</t>
  </si>
  <si>
    <t>Santiago</t>
  </si>
  <si>
    <t>Nova Castilho</t>
  </si>
  <si>
    <t>Serra Preta</t>
  </si>
  <si>
    <t>Itamonte</t>
  </si>
  <si>
    <t>Santo Ângelo</t>
  </si>
  <si>
    <t>Nova Europa</t>
  </si>
  <si>
    <t>Itanhandu</t>
  </si>
  <si>
    <t>Santo Antônio da Patrulha</t>
  </si>
  <si>
    <t>Nova Granada</t>
  </si>
  <si>
    <t>Serrolândia</t>
  </si>
  <si>
    <t>Itanhomi</t>
  </si>
  <si>
    <t>Santo Antônio das Missões</t>
  </si>
  <si>
    <t>Nova Guataporanga</t>
  </si>
  <si>
    <t>Simões Filho</t>
  </si>
  <si>
    <t>Itaobim</t>
  </si>
  <si>
    <t>Santo Antônio do Palma</t>
  </si>
  <si>
    <t>Nova Independência</t>
  </si>
  <si>
    <t>Sítio do Mato</t>
  </si>
  <si>
    <t>Itapagipe</t>
  </si>
  <si>
    <t>Santo Antônio do Planalto</t>
  </si>
  <si>
    <t>Nova Luzitânia</t>
  </si>
  <si>
    <t>Sítio do Quinto</t>
  </si>
  <si>
    <t>Itapecerica</t>
  </si>
  <si>
    <t>Santo Augusto</t>
  </si>
  <si>
    <t>Nova Odessa</t>
  </si>
  <si>
    <t>Sobradinho</t>
  </si>
  <si>
    <t>Santo Cristo</t>
  </si>
  <si>
    <t>Novais</t>
  </si>
  <si>
    <t>Souto Soares</t>
  </si>
  <si>
    <t>Itatiaiuçu</t>
  </si>
  <si>
    <t>Santo Expedito do Sul</t>
  </si>
  <si>
    <t>Tabocas do Brejo Velho</t>
  </si>
  <si>
    <t>Itaú de Minas</t>
  </si>
  <si>
    <t>São Borja</t>
  </si>
  <si>
    <t>Nuporanga</t>
  </si>
  <si>
    <t>Tanhaçu</t>
  </si>
  <si>
    <t>Itaúna</t>
  </si>
  <si>
    <t>São Domingos do Sul</t>
  </si>
  <si>
    <t>Ocauçu</t>
  </si>
  <si>
    <t>Tanque Novo</t>
  </si>
  <si>
    <t>Itaverava</t>
  </si>
  <si>
    <t>São Francisco de Assis</t>
  </si>
  <si>
    <t>Óleo</t>
  </si>
  <si>
    <t>Tanquinho</t>
  </si>
  <si>
    <t>Itinga</t>
  </si>
  <si>
    <t>São Francisco de Paula</t>
  </si>
  <si>
    <t>Olímpia</t>
  </si>
  <si>
    <t>Itueta</t>
  </si>
  <si>
    <t>Onda Verde</t>
  </si>
  <si>
    <t>Tapiramutá</t>
  </si>
  <si>
    <t>Ituiutaba</t>
  </si>
  <si>
    <t>São Jerônimo</t>
  </si>
  <si>
    <t>Oriente</t>
  </si>
  <si>
    <t>Teixeira de Freitas</t>
  </si>
  <si>
    <t>Itumirim</t>
  </si>
  <si>
    <t>São João da Urtiga</t>
  </si>
  <si>
    <t>Orindiúva</t>
  </si>
  <si>
    <t>Teodoro Sampaio</t>
  </si>
  <si>
    <t>Iturama</t>
  </si>
  <si>
    <t>São João do Polêsine</t>
  </si>
  <si>
    <t>Orlândia</t>
  </si>
  <si>
    <t>Teofilândia</t>
  </si>
  <si>
    <t>Itutinga</t>
  </si>
  <si>
    <t>São Jorge</t>
  </si>
  <si>
    <t>Osasco</t>
  </si>
  <si>
    <t>Teolândia</t>
  </si>
  <si>
    <t>Jaboticatubas</t>
  </si>
  <si>
    <t>São José das Missões</t>
  </si>
  <si>
    <t>Oscar Bressane</t>
  </si>
  <si>
    <t>Jacinto</t>
  </si>
  <si>
    <t>São José do Herval</t>
  </si>
  <si>
    <t>Osvaldo Cruz</t>
  </si>
  <si>
    <t>Tremedal</t>
  </si>
  <si>
    <t>Jacuí</t>
  </si>
  <si>
    <t>São José do Hortêncio</t>
  </si>
  <si>
    <t>Ourinhos</t>
  </si>
  <si>
    <t>Tucano</t>
  </si>
  <si>
    <t>São José do Inhacorá</t>
  </si>
  <si>
    <t>Uauá</t>
  </si>
  <si>
    <t>Jaguaraçu</t>
  </si>
  <si>
    <t>São José do Norte</t>
  </si>
  <si>
    <t>Ouroeste</t>
  </si>
  <si>
    <t>Ubaíra</t>
  </si>
  <si>
    <t>Jaíba</t>
  </si>
  <si>
    <t>São José do Ouro</t>
  </si>
  <si>
    <t>Pacaembu</t>
  </si>
  <si>
    <t>Ubaitaba</t>
  </si>
  <si>
    <t>Jampruca</t>
  </si>
  <si>
    <t>São José do Sul</t>
  </si>
  <si>
    <t>Ubatã</t>
  </si>
  <si>
    <t>Janaúba</t>
  </si>
  <si>
    <t>São José dos Ausentes</t>
  </si>
  <si>
    <t>Palmares Paulista</t>
  </si>
  <si>
    <t>Uibaí</t>
  </si>
  <si>
    <t>Januária</t>
  </si>
  <si>
    <t>São Leopoldo</t>
  </si>
  <si>
    <t>Palmeira d'Oeste</t>
  </si>
  <si>
    <t>Umburanas</t>
  </si>
  <si>
    <t>Japaraíba</t>
  </si>
  <si>
    <t>São Lourenço do Sul</t>
  </si>
  <si>
    <t>Una</t>
  </si>
  <si>
    <t>Japonvar</t>
  </si>
  <si>
    <t>São Luiz Gonzaga</t>
  </si>
  <si>
    <t>Panorama</t>
  </si>
  <si>
    <t>Urandi</t>
  </si>
  <si>
    <t>Jeceaba</t>
  </si>
  <si>
    <t>São Marcos</t>
  </si>
  <si>
    <t>Paraguaçu Paulista</t>
  </si>
  <si>
    <t>Uruçuca</t>
  </si>
  <si>
    <t>Jenipapo de Minas</t>
  </si>
  <si>
    <t>Paraibuna</t>
  </si>
  <si>
    <t>Utinga</t>
  </si>
  <si>
    <t>Jequeri</t>
  </si>
  <si>
    <t>São Martinho da Serra</t>
  </si>
  <si>
    <t>Jequitaí</t>
  </si>
  <si>
    <t>São Miguel das Missões</t>
  </si>
  <si>
    <t>Paranapanema</t>
  </si>
  <si>
    <t>Valente</t>
  </si>
  <si>
    <t>Jequitibá</t>
  </si>
  <si>
    <t>São Nicolau</t>
  </si>
  <si>
    <t>Paranapuã</t>
  </si>
  <si>
    <t>Várzea da Roça</t>
  </si>
  <si>
    <t>Jequitinhonha</t>
  </si>
  <si>
    <t>São Paulo das Missões</t>
  </si>
  <si>
    <t>Parapuã</t>
  </si>
  <si>
    <t>Várzea do Poço</t>
  </si>
  <si>
    <t>Jesuânia</t>
  </si>
  <si>
    <t>São Pedro da Serra</t>
  </si>
  <si>
    <t>Pardinho</t>
  </si>
  <si>
    <t>Várzea Nova</t>
  </si>
  <si>
    <t>Joaíma</t>
  </si>
  <si>
    <t>São Pedro das Missões</t>
  </si>
  <si>
    <t>Pariquera-Açu</t>
  </si>
  <si>
    <t>Varzedo</t>
  </si>
  <si>
    <t>Joanésia</t>
  </si>
  <si>
    <t>São Pedro do Butiá</t>
  </si>
  <si>
    <t>Parisi</t>
  </si>
  <si>
    <t>João Monlevade</t>
  </si>
  <si>
    <t>São Pedro do Sul</t>
  </si>
  <si>
    <t>Patrocínio Paulista</t>
  </si>
  <si>
    <t>Vereda</t>
  </si>
  <si>
    <t>João Pinheiro</t>
  </si>
  <si>
    <t>São Sebastião do Caí</t>
  </si>
  <si>
    <t>Paulicéia</t>
  </si>
  <si>
    <t>Vitória da Conquista</t>
  </si>
  <si>
    <t>Joaquim Felício</t>
  </si>
  <si>
    <t>São Sepé</t>
  </si>
  <si>
    <t>Paulínia</t>
  </si>
  <si>
    <t>Wagner</t>
  </si>
  <si>
    <t>São Valentim</t>
  </si>
  <si>
    <t>Paulistânia</t>
  </si>
  <si>
    <t>Wanderley</t>
  </si>
  <si>
    <t>José Gonçalves de Minas</t>
  </si>
  <si>
    <t>São Valentim do Sul</t>
  </si>
  <si>
    <t>Paulo de Faria</t>
  </si>
  <si>
    <t>Wenceslau Guimarães</t>
  </si>
  <si>
    <t>José Raydan</t>
  </si>
  <si>
    <t>São Valério do Sul</t>
  </si>
  <si>
    <t>Pederneiras</t>
  </si>
  <si>
    <t>Xique-Xique</t>
  </si>
  <si>
    <t>Josenópolis</t>
  </si>
  <si>
    <t>São Vendelino</t>
  </si>
  <si>
    <t>Pedra Bela</t>
  </si>
  <si>
    <t>Juatuba</t>
  </si>
  <si>
    <t>São Vicente do Sul</t>
  </si>
  <si>
    <t>Pedranópolis</t>
  </si>
  <si>
    <t>Juiz de Fora</t>
  </si>
  <si>
    <t>Sapiranga</t>
  </si>
  <si>
    <t>Pedregulho</t>
  </si>
  <si>
    <t>Juramento</t>
  </si>
  <si>
    <t>Sapucaia do Sul</t>
  </si>
  <si>
    <t>Pedreira</t>
  </si>
  <si>
    <t>Juruaia</t>
  </si>
  <si>
    <t>Pedrinhas Paulista</t>
  </si>
  <si>
    <t>Juvenília</t>
  </si>
  <si>
    <t>Seberi</t>
  </si>
  <si>
    <t>Pedro de Toledo</t>
  </si>
  <si>
    <t>Ladainha</t>
  </si>
  <si>
    <t>Sede Nova</t>
  </si>
  <si>
    <t>Penápolis</t>
  </si>
  <si>
    <t>Lagamar</t>
  </si>
  <si>
    <t>Segredo</t>
  </si>
  <si>
    <t>Pereira Barreto</t>
  </si>
  <si>
    <t>Lagoa da Prata</t>
  </si>
  <si>
    <t>Selbach</t>
  </si>
  <si>
    <t>Pereiras</t>
  </si>
  <si>
    <t>Lagoa dos Patos</t>
  </si>
  <si>
    <t>Senador Salgado Filho</t>
  </si>
  <si>
    <t>Peruíbe</t>
  </si>
  <si>
    <t>Lagoa Dourada</t>
  </si>
  <si>
    <t>Sentinela do Sul</t>
  </si>
  <si>
    <t>Piacatu</t>
  </si>
  <si>
    <t>Lagoa Formosa</t>
  </si>
  <si>
    <t>Serafina Corrêa</t>
  </si>
  <si>
    <t>Piedade</t>
  </si>
  <si>
    <t>Sério</t>
  </si>
  <si>
    <t>Pilar do Sul</t>
  </si>
  <si>
    <t>Sertão</t>
  </si>
  <si>
    <t>Pindamonhangaba</t>
  </si>
  <si>
    <t>Lajinha</t>
  </si>
  <si>
    <t>Sertão Santana</t>
  </si>
  <si>
    <t>Pindorama</t>
  </si>
  <si>
    <t>Lambari</t>
  </si>
  <si>
    <t>Sete de Setembro</t>
  </si>
  <si>
    <t>Lamim</t>
  </si>
  <si>
    <t>Severiano de Almeida</t>
  </si>
  <si>
    <t>Piquerobi</t>
  </si>
  <si>
    <t>Silveira Martins</t>
  </si>
  <si>
    <t>Piquete</t>
  </si>
  <si>
    <t>Lassance</t>
  </si>
  <si>
    <t>Sinimbu</t>
  </si>
  <si>
    <t>Piracaia</t>
  </si>
  <si>
    <t>Piracicaba</t>
  </si>
  <si>
    <t>Leandro Ferreira</t>
  </si>
  <si>
    <t>Piraju</t>
  </si>
  <si>
    <t>Leme do Prado</t>
  </si>
  <si>
    <t>Tabaí</t>
  </si>
  <si>
    <t>Pirajuí</t>
  </si>
  <si>
    <t>Leopoldina</t>
  </si>
  <si>
    <t>Pirangi</t>
  </si>
  <si>
    <t>Liberdade</t>
  </si>
  <si>
    <t>Tapera</t>
  </si>
  <si>
    <t>Pirapora do Bom Jesus</t>
  </si>
  <si>
    <t>Lima Duarte</t>
  </si>
  <si>
    <t>Tapes</t>
  </si>
  <si>
    <t>Pirapozinho</t>
  </si>
  <si>
    <t>Limeira do Oeste</t>
  </si>
  <si>
    <t>Taquara</t>
  </si>
  <si>
    <t>Pirassununga</t>
  </si>
  <si>
    <t>Lontra</t>
  </si>
  <si>
    <t>Taquari</t>
  </si>
  <si>
    <t>Piratininga</t>
  </si>
  <si>
    <t>Luisburgo</t>
  </si>
  <si>
    <t>Taquaruçu do Sul</t>
  </si>
  <si>
    <t>Luislândia</t>
  </si>
  <si>
    <t>Luminárias</t>
  </si>
  <si>
    <t>Tenente Portela</t>
  </si>
  <si>
    <t>Platina</t>
  </si>
  <si>
    <t>Luz</t>
  </si>
  <si>
    <t>Terra de Areia</t>
  </si>
  <si>
    <t>Poá</t>
  </si>
  <si>
    <t>Machacalis</t>
  </si>
  <si>
    <t>Teutônia</t>
  </si>
  <si>
    <t>Poloni</t>
  </si>
  <si>
    <t>Machado</t>
  </si>
  <si>
    <t>Tio Hugo</t>
  </si>
  <si>
    <t>Pompéia</t>
  </si>
  <si>
    <t>Madre de Deus de Minas</t>
  </si>
  <si>
    <t>Tiradentes do Sul</t>
  </si>
  <si>
    <t>Pongaí</t>
  </si>
  <si>
    <t>Malacacheta</t>
  </si>
  <si>
    <t>Toropi</t>
  </si>
  <si>
    <t>Pontal</t>
  </si>
  <si>
    <t>Mamonas</t>
  </si>
  <si>
    <t>Torres</t>
  </si>
  <si>
    <t>Pontalinda</t>
  </si>
  <si>
    <t>Manga</t>
  </si>
  <si>
    <t>Tramandaí</t>
  </si>
  <si>
    <t>Pontes Gestal</t>
  </si>
  <si>
    <t>Manhuaçu</t>
  </si>
  <si>
    <t>Travesseiro</t>
  </si>
  <si>
    <t>Populina</t>
  </si>
  <si>
    <t>Manhumirim</t>
  </si>
  <si>
    <t>Três Arroios</t>
  </si>
  <si>
    <t>Porangaba</t>
  </si>
  <si>
    <t>Mantena</t>
  </si>
  <si>
    <t>Três Cachoeiras</t>
  </si>
  <si>
    <t>Porto Feliz</t>
  </si>
  <si>
    <t>Mar de Espanha</t>
  </si>
  <si>
    <t>Três Coroas</t>
  </si>
  <si>
    <t>Porto Ferreira</t>
  </si>
  <si>
    <t>Maravilhas</t>
  </si>
  <si>
    <t>Três de Maio</t>
  </si>
  <si>
    <t>Potim</t>
  </si>
  <si>
    <t>Maria da Fé</t>
  </si>
  <si>
    <t>Três Forquilhas</t>
  </si>
  <si>
    <t>Potirendaba</t>
  </si>
  <si>
    <t>Mariana</t>
  </si>
  <si>
    <t>Três Palmeiras</t>
  </si>
  <si>
    <t>Pracinha</t>
  </si>
  <si>
    <t>Marilac</t>
  </si>
  <si>
    <t>Três Passos</t>
  </si>
  <si>
    <t>Pradópolis</t>
  </si>
  <si>
    <t>Mário Campos</t>
  </si>
  <si>
    <t>Trindade do Sul</t>
  </si>
  <si>
    <t>Maripá de Minas</t>
  </si>
  <si>
    <t>Pratânia</t>
  </si>
  <si>
    <t>Marliéria</t>
  </si>
  <si>
    <t>Tucunduva</t>
  </si>
  <si>
    <t>Presidente Alves</t>
  </si>
  <si>
    <t>Marmelópolis</t>
  </si>
  <si>
    <t>Tunas</t>
  </si>
  <si>
    <t>Presidente Bernardes</t>
  </si>
  <si>
    <t>Martinho Campos</t>
  </si>
  <si>
    <t>Tupanci do Sul</t>
  </si>
  <si>
    <t>Presidente Epitácio</t>
  </si>
  <si>
    <t>Martins Soares</t>
  </si>
  <si>
    <t>Tupanciretã</t>
  </si>
  <si>
    <t>Mata Verde</t>
  </si>
  <si>
    <t>Tupandi</t>
  </si>
  <si>
    <t>Presidente Venceslau</t>
  </si>
  <si>
    <t>Materlândia</t>
  </si>
  <si>
    <t>Tuparendi</t>
  </si>
  <si>
    <t>Promissão</t>
  </si>
  <si>
    <t>Mateus Leme</t>
  </si>
  <si>
    <t>Turuçu</t>
  </si>
  <si>
    <t>Quadra</t>
  </si>
  <si>
    <t>Mathias Lobato</t>
  </si>
  <si>
    <t>Ubiretama</t>
  </si>
  <si>
    <t>Quatá</t>
  </si>
  <si>
    <t>Matias Barbosa</t>
  </si>
  <si>
    <t>União da Serra</t>
  </si>
  <si>
    <t>Queiroz</t>
  </si>
  <si>
    <t>Matias Cardoso</t>
  </si>
  <si>
    <t>Unistalda</t>
  </si>
  <si>
    <t>Queluz</t>
  </si>
  <si>
    <t>Matipó</t>
  </si>
  <si>
    <t>Uruguaiana</t>
  </si>
  <si>
    <t>Quintana</t>
  </si>
  <si>
    <t>Mato Verde</t>
  </si>
  <si>
    <t>Vacaria</t>
  </si>
  <si>
    <t>Rafard</t>
  </si>
  <si>
    <t>Matozinhos</t>
  </si>
  <si>
    <t>Vale do Sol</t>
  </si>
  <si>
    <t>Rancharia</t>
  </si>
  <si>
    <t>Matutina</t>
  </si>
  <si>
    <t>Vale Real</t>
  </si>
  <si>
    <t>Redenção da Serra</t>
  </si>
  <si>
    <t>Medeiros</t>
  </si>
  <si>
    <t>Vale Verde</t>
  </si>
  <si>
    <t>Regente Feijó</t>
  </si>
  <si>
    <t>Medina</t>
  </si>
  <si>
    <t>Vanini</t>
  </si>
  <si>
    <t>Reginópolis</t>
  </si>
  <si>
    <t>Mendes Pimentel</t>
  </si>
  <si>
    <t>Venâncio Aires</t>
  </si>
  <si>
    <t>Registro</t>
  </si>
  <si>
    <t>Mercês</t>
  </si>
  <si>
    <t>Restinga</t>
  </si>
  <si>
    <t>Veranópolis</t>
  </si>
  <si>
    <t>Ribeira</t>
  </si>
  <si>
    <t>Minas Novas</t>
  </si>
  <si>
    <t>Vespasiano Corrêa</t>
  </si>
  <si>
    <t>Ribeirão Bonito</t>
  </si>
  <si>
    <t>Minduri</t>
  </si>
  <si>
    <t>Viadutos</t>
  </si>
  <si>
    <t>Ribeirão Branco</t>
  </si>
  <si>
    <t>Mirabela</t>
  </si>
  <si>
    <t>Viamão</t>
  </si>
  <si>
    <t>Ribeirão Corrente</t>
  </si>
  <si>
    <t>Miradouro</t>
  </si>
  <si>
    <t>Vicente Dutra</t>
  </si>
  <si>
    <t>Ribeirão do Sul</t>
  </si>
  <si>
    <t>Miraí</t>
  </si>
  <si>
    <t>Victor Graeff</t>
  </si>
  <si>
    <t>Ribeirão dos Índios</t>
  </si>
  <si>
    <t>Miravânia</t>
  </si>
  <si>
    <t>Vila Flores</t>
  </si>
  <si>
    <t>Ribeirão Grande</t>
  </si>
  <si>
    <t>Moeda</t>
  </si>
  <si>
    <t>Vila Lângaro</t>
  </si>
  <si>
    <t>Ribeirão Pires</t>
  </si>
  <si>
    <t>Moema</t>
  </si>
  <si>
    <t>Vila Maria</t>
  </si>
  <si>
    <t>Ribeirão Preto</t>
  </si>
  <si>
    <t>Monjolos</t>
  </si>
  <si>
    <t>Vila Nova do Sul</t>
  </si>
  <si>
    <t>Rifaina</t>
  </si>
  <si>
    <t>Monsenhor Paulo</t>
  </si>
  <si>
    <t>Vista Alegre</t>
  </si>
  <si>
    <t>Rincão</t>
  </si>
  <si>
    <t>Montalvânia</t>
  </si>
  <si>
    <t>Vista Alegre do Prata</t>
  </si>
  <si>
    <t>Rinópolis</t>
  </si>
  <si>
    <t>Monte Alegre de Minas</t>
  </si>
  <si>
    <t>Vista Gaúcha</t>
  </si>
  <si>
    <t>Monte Azul</t>
  </si>
  <si>
    <t>Vitória das Missões</t>
  </si>
  <si>
    <t>Rio das Pedras</t>
  </si>
  <si>
    <t>Monte Belo</t>
  </si>
  <si>
    <t>Westfália</t>
  </si>
  <si>
    <t>Rio Grande da Serra</t>
  </si>
  <si>
    <t>Monte Carmelo</t>
  </si>
  <si>
    <t>Xangri-lá</t>
  </si>
  <si>
    <t>Riolândia</t>
  </si>
  <si>
    <t>Monte Formoso</t>
  </si>
  <si>
    <t>Riversul</t>
  </si>
  <si>
    <t>Monte Santo de Minas</t>
  </si>
  <si>
    <t>Rosana</t>
  </si>
  <si>
    <t>Monte Sião</t>
  </si>
  <si>
    <t>Roseira</t>
  </si>
  <si>
    <t>Montes Claros</t>
  </si>
  <si>
    <t>Rubiácea</t>
  </si>
  <si>
    <t>Montezuma</t>
  </si>
  <si>
    <t>Rubinéia</t>
  </si>
  <si>
    <t>Morada Nova de Minas</t>
  </si>
  <si>
    <t>Sabino</t>
  </si>
  <si>
    <t>Morro da Garça</t>
  </si>
  <si>
    <t>Sagres</t>
  </si>
  <si>
    <t>Morro do Pilar</t>
  </si>
  <si>
    <t>Sales</t>
  </si>
  <si>
    <t>Munhoz</t>
  </si>
  <si>
    <t>Sales Oliveira</t>
  </si>
  <si>
    <t>Muriaé</t>
  </si>
  <si>
    <t>Salesópolis</t>
  </si>
  <si>
    <t>Mutum</t>
  </si>
  <si>
    <t>Salmourão</t>
  </si>
  <si>
    <t>Muzambinho</t>
  </si>
  <si>
    <t>Nacip Raydan</t>
  </si>
  <si>
    <t>Salto</t>
  </si>
  <si>
    <t>Nanuque</t>
  </si>
  <si>
    <t>Salto de Pirapora</t>
  </si>
  <si>
    <t>Naque</t>
  </si>
  <si>
    <t>Salto Grande</t>
  </si>
  <si>
    <t>Natalândia</t>
  </si>
  <si>
    <t>Sandovalina</t>
  </si>
  <si>
    <t>Natércia</t>
  </si>
  <si>
    <t>Santa Adélia</t>
  </si>
  <si>
    <t>Nazareno</t>
  </si>
  <si>
    <t>Santa Albertina</t>
  </si>
  <si>
    <t>Nepomuceno</t>
  </si>
  <si>
    <t>Santa Bárbara d'Oeste</t>
  </si>
  <si>
    <t>Ninheira</t>
  </si>
  <si>
    <t>Santa Branca</t>
  </si>
  <si>
    <t>Nova Belém</t>
  </si>
  <si>
    <t>Santa Clara d'Oeste</t>
  </si>
  <si>
    <t>Nova Era</t>
  </si>
  <si>
    <t>Santa Cruz da Conceição</t>
  </si>
  <si>
    <t>Nova Lima</t>
  </si>
  <si>
    <t>Santa Cruz da Esperança</t>
  </si>
  <si>
    <t>Nova Módica</t>
  </si>
  <si>
    <t>Santa Cruz das Palmeiras</t>
  </si>
  <si>
    <t>Nova Ponte</t>
  </si>
  <si>
    <t>Santa Cruz do Rio Pardo</t>
  </si>
  <si>
    <t>Nova Porteirinha</t>
  </si>
  <si>
    <t>Santa Ernestina</t>
  </si>
  <si>
    <t>Nova Resende</t>
  </si>
  <si>
    <t>Santa Fé do Sul</t>
  </si>
  <si>
    <t>Nova Serrana</t>
  </si>
  <si>
    <t>Santa Gertrudes</t>
  </si>
  <si>
    <t>Novo Cruzeiro</t>
  </si>
  <si>
    <t>Novo Oriente de Minas</t>
  </si>
  <si>
    <t>Santa Maria da Serra</t>
  </si>
  <si>
    <t>Novorizonte</t>
  </si>
  <si>
    <t>Santa Mercedes</t>
  </si>
  <si>
    <t>Olaria</t>
  </si>
  <si>
    <t>Santa Rita do Passa Quatro</t>
  </si>
  <si>
    <t>Olhos-d'Água</t>
  </si>
  <si>
    <t>Santa Rita d'Oeste</t>
  </si>
  <si>
    <t>Olímpio Noronha</t>
  </si>
  <si>
    <t>Santa Rosa de Viterbo</t>
  </si>
  <si>
    <t>Oliveira</t>
  </si>
  <si>
    <t>Santa Salete</t>
  </si>
  <si>
    <t>Oliveira Fortes</t>
  </si>
  <si>
    <t>Santana da Ponte Pensa</t>
  </si>
  <si>
    <t>Onça de Pitangui</t>
  </si>
  <si>
    <t>Santana de Parnaíba</t>
  </si>
  <si>
    <t>Oratórios</t>
  </si>
  <si>
    <t>Santo Anastácio</t>
  </si>
  <si>
    <t>Orizânia</t>
  </si>
  <si>
    <t>Santo Antônio da Alegria</t>
  </si>
  <si>
    <t>Ouro Fino</t>
  </si>
  <si>
    <t>Santo Antônio de Posse</t>
  </si>
  <si>
    <t>Ouro Preto</t>
  </si>
  <si>
    <t>Santo Antônio do Aracanguá</t>
  </si>
  <si>
    <t>Ouro Verde de Minas</t>
  </si>
  <si>
    <t>Santo Antônio do Jardim</t>
  </si>
  <si>
    <t>Padre Carvalho</t>
  </si>
  <si>
    <t>Santo Antônio do Pinhal</t>
  </si>
  <si>
    <t>Padre Paraíso</t>
  </si>
  <si>
    <t>Santo Expedito</t>
  </si>
  <si>
    <t>Pai Pedro</t>
  </si>
  <si>
    <t>Santópolis do Aguapeí</t>
  </si>
  <si>
    <t>Paineiras</t>
  </si>
  <si>
    <t>Santos</t>
  </si>
  <si>
    <t>Pains</t>
  </si>
  <si>
    <t>São Bento do Sapucaí</t>
  </si>
  <si>
    <t>Paiva</t>
  </si>
  <si>
    <t>São Bernardo do Campo</t>
  </si>
  <si>
    <t>Palma</t>
  </si>
  <si>
    <t>São Caetano do Sul</t>
  </si>
  <si>
    <t>Palmópolis</t>
  </si>
  <si>
    <t>Papagaios</t>
  </si>
  <si>
    <t>Pará de Minas</t>
  </si>
  <si>
    <t>São João da Boa Vista</t>
  </si>
  <si>
    <t>Paracatu</t>
  </si>
  <si>
    <t>São João das Duas Pontes</t>
  </si>
  <si>
    <t>Paraguaçu</t>
  </si>
  <si>
    <t>São João de Iracema</t>
  </si>
  <si>
    <t>Paraisópolis</t>
  </si>
  <si>
    <t>São João do Pau d'Alho</t>
  </si>
  <si>
    <t>Paraopeba</t>
  </si>
  <si>
    <t>São Joaquim da Barra</t>
  </si>
  <si>
    <t>Passa Quatro</t>
  </si>
  <si>
    <t>São José da Bela Vista</t>
  </si>
  <si>
    <t>Passa Tempo</t>
  </si>
  <si>
    <t>São José do Barreiro</t>
  </si>
  <si>
    <t>Passa Vinte</t>
  </si>
  <si>
    <t>São José do Rio Pardo</t>
  </si>
  <si>
    <t>Passabém</t>
  </si>
  <si>
    <t>São José do Rio Preto</t>
  </si>
  <si>
    <t>Passos</t>
  </si>
  <si>
    <t>São José dos Campos</t>
  </si>
  <si>
    <t>Patis</t>
  </si>
  <si>
    <t>São Lourenço da Serra</t>
  </si>
  <si>
    <t>Patos de Minas</t>
  </si>
  <si>
    <t>São Luiz do Paraitinga</t>
  </si>
  <si>
    <t>Patrocínio</t>
  </si>
  <si>
    <t>São Manuel</t>
  </si>
  <si>
    <t>Patrocínio do Muriaé</t>
  </si>
  <si>
    <t>São Miguel Arcanjo</t>
  </si>
  <si>
    <t>Paula Cândido</t>
  </si>
  <si>
    <t>Paulistas</t>
  </si>
  <si>
    <t>Pavão</t>
  </si>
  <si>
    <t>São Pedro do Turvo</t>
  </si>
  <si>
    <t>Peçanha</t>
  </si>
  <si>
    <t>São Roque</t>
  </si>
  <si>
    <t>Pedra Azul</t>
  </si>
  <si>
    <t>Pedra Bonita</t>
  </si>
  <si>
    <t>São Sebastião da Grama</t>
  </si>
  <si>
    <t>Pedra do Anta</t>
  </si>
  <si>
    <t>Pedra do Indaiá</t>
  </si>
  <si>
    <t>Pedra Dourada</t>
  </si>
  <si>
    <t>Sarapuí</t>
  </si>
  <si>
    <t>Pedralva</t>
  </si>
  <si>
    <t>Sarutaiá</t>
  </si>
  <si>
    <t>Pedras de Maria da Cruz</t>
  </si>
  <si>
    <t>Sebastianópolis do Sul</t>
  </si>
  <si>
    <t>Pedrinópolis</t>
  </si>
  <si>
    <t>Serra Azul</t>
  </si>
  <si>
    <t>Pedro Leopoldo</t>
  </si>
  <si>
    <t>Serra Negra</t>
  </si>
  <si>
    <t>Pedro Teixeira</t>
  </si>
  <si>
    <t>Serrana</t>
  </si>
  <si>
    <t>Pequeri</t>
  </si>
  <si>
    <t>Pequi</t>
  </si>
  <si>
    <t>Sete Barras</t>
  </si>
  <si>
    <t>Perdigão</t>
  </si>
  <si>
    <t>Severínia</t>
  </si>
  <si>
    <t>Perdizes</t>
  </si>
  <si>
    <t>Silveiras</t>
  </si>
  <si>
    <t>Perdões</t>
  </si>
  <si>
    <t>Socorro</t>
  </si>
  <si>
    <t>Periquito</t>
  </si>
  <si>
    <t>Sorocaba</t>
  </si>
  <si>
    <t>Pescador</t>
  </si>
  <si>
    <t>Sud Mennucci</t>
  </si>
  <si>
    <t>Piau</t>
  </si>
  <si>
    <t>Sumaré</t>
  </si>
  <si>
    <t>Piedade de Caratinga</t>
  </si>
  <si>
    <t>Suzanápolis</t>
  </si>
  <si>
    <t>Piedade de Ponte Nova</t>
  </si>
  <si>
    <t>Suzano</t>
  </si>
  <si>
    <t>Piedade do Rio Grande</t>
  </si>
  <si>
    <t>Tabapuã</t>
  </si>
  <si>
    <t>Piedade dos Gerais</t>
  </si>
  <si>
    <t>Pimenta</t>
  </si>
  <si>
    <t>Taboão da Serra</t>
  </si>
  <si>
    <t>Pingo-d'Água</t>
  </si>
  <si>
    <t>Taciba</t>
  </si>
  <si>
    <t>Pintópolis</t>
  </si>
  <si>
    <t>Taguaí</t>
  </si>
  <si>
    <t>Piracema</t>
  </si>
  <si>
    <t>Taiaçu</t>
  </si>
  <si>
    <t>Pirajuba</t>
  </si>
  <si>
    <t>Taiúva</t>
  </si>
  <si>
    <t>Piranga</t>
  </si>
  <si>
    <t>Tambaú</t>
  </si>
  <si>
    <t>Piranguçu</t>
  </si>
  <si>
    <t>Tanabi</t>
  </si>
  <si>
    <t>Piranguinho</t>
  </si>
  <si>
    <t>Tapiraí</t>
  </si>
  <si>
    <t>Pirapetinga</t>
  </si>
  <si>
    <t>Tapiratiba</t>
  </si>
  <si>
    <t>Pirapora</t>
  </si>
  <si>
    <t>Taquaral</t>
  </si>
  <si>
    <t>Piraúba</t>
  </si>
  <si>
    <t>Taquaritinga</t>
  </si>
  <si>
    <t>Pitangui</t>
  </si>
  <si>
    <t>Taquarituba</t>
  </si>
  <si>
    <t>Piumhi</t>
  </si>
  <si>
    <t>Taquarivaí</t>
  </si>
  <si>
    <t>Planura</t>
  </si>
  <si>
    <t>Tarabai</t>
  </si>
  <si>
    <t>Poço Fundo</t>
  </si>
  <si>
    <t>Tarumã</t>
  </si>
  <si>
    <t>Tatuí</t>
  </si>
  <si>
    <t>Pocrane</t>
  </si>
  <si>
    <t>Taubaté</t>
  </si>
  <si>
    <t>Pompéu</t>
  </si>
  <si>
    <t>Tejupá</t>
  </si>
  <si>
    <t>Ponte Nova</t>
  </si>
  <si>
    <t>Ponto Chique</t>
  </si>
  <si>
    <t>Ponto dos Volantes</t>
  </si>
  <si>
    <t>Tietê</t>
  </si>
  <si>
    <t>Porteirinha</t>
  </si>
  <si>
    <t>Timburi</t>
  </si>
  <si>
    <t>Porto Firme</t>
  </si>
  <si>
    <t>Torre de Pedra</t>
  </si>
  <si>
    <t>Poté</t>
  </si>
  <si>
    <t>Torrinha</t>
  </si>
  <si>
    <t>Pouso Alegre</t>
  </si>
  <si>
    <t>Trabiju</t>
  </si>
  <si>
    <t>Pouso Alto</t>
  </si>
  <si>
    <t>Tremembé</t>
  </si>
  <si>
    <t>Prados</t>
  </si>
  <si>
    <t>Três Fronteiras</t>
  </si>
  <si>
    <t>Tuiuti</t>
  </si>
  <si>
    <t>Pratápolis</t>
  </si>
  <si>
    <t>Tupã</t>
  </si>
  <si>
    <t>Pratinha</t>
  </si>
  <si>
    <t>Tupi Paulista</t>
  </si>
  <si>
    <t>Turiúba</t>
  </si>
  <si>
    <t>Turmalina</t>
  </si>
  <si>
    <t>Presidente Kubitschek</t>
  </si>
  <si>
    <t>Ubarana</t>
  </si>
  <si>
    <t>Presidente Olegário</t>
  </si>
  <si>
    <t>Ubatuba</t>
  </si>
  <si>
    <t>Prudente de Morais</t>
  </si>
  <si>
    <t>Ubirajara</t>
  </si>
  <si>
    <t>Quartel Geral</t>
  </si>
  <si>
    <t>Uchoa</t>
  </si>
  <si>
    <t>Queluzito</t>
  </si>
  <si>
    <t>União Paulista</t>
  </si>
  <si>
    <t>Raposos</t>
  </si>
  <si>
    <t>Urânia</t>
  </si>
  <si>
    <t>Raul Soares</t>
  </si>
  <si>
    <t>Uru</t>
  </si>
  <si>
    <t>Recreio</t>
  </si>
  <si>
    <t>Urupês</t>
  </si>
  <si>
    <t>Reduto</t>
  </si>
  <si>
    <t>Valentim Gentil</t>
  </si>
  <si>
    <t>Resende Costa</t>
  </si>
  <si>
    <t>Valinhos</t>
  </si>
  <si>
    <t>Resplendor</t>
  </si>
  <si>
    <t>Valparaíso</t>
  </si>
  <si>
    <t>Ressaquinha</t>
  </si>
  <si>
    <t>Vargem Grande do Sul</t>
  </si>
  <si>
    <t>Riacho dos Machados</t>
  </si>
  <si>
    <t>Vargem Grande Paulista</t>
  </si>
  <si>
    <t>Ribeirão das Neves</t>
  </si>
  <si>
    <t>Várzea Paulista</t>
  </si>
  <si>
    <t>Ribeirão Vermelho</t>
  </si>
  <si>
    <t>Rio Acima</t>
  </si>
  <si>
    <t>Vinhedo</t>
  </si>
  <si>
    <t>Rio Casca</t>
  </si>
  <si>
    <t>Viradouro</t>
  </si>
  <si>
    <t>Rio do Prado</t>
  </si>
  <si>
    <t>Vista Alegre do Alto</t>
  </si>
  <si>
    <t>Rio Doce</t>
  </si>
  <si>
    <t>Vitória Brasil</t>
  </si>
  <si>
    <t>Rio Espera</t>
  </si>
  <si>
    <t>Votorantim</t>
  </si>
  <si>
    <t>Rio Manso</t>
  </si>
  <si>
    <t>Votuporanga</t>
  </si>
  <si>
    <t>Rio Novo</t>
  </si>
  <si>
    <t>Zacarias</t>
  </si>
  <si>
    <t>Rio Paranaíba</t>
  </si>
  <si>
    <t>Rio Pardo de Minas</t>
  </si>
  <si>
    <t>Rio Piracicaba</t>
  </si>
  <si>
    <t>Rio Pomba</t>
  </si>
  <si>
    <t>Rio Preto</t>
  </si>
  <si>
    <t>Rio Vermelho</t>
  </si>
  <si>
    <t>Ritápolis</t>
  </si>
  <si>
    <t>Rochedo de Minas</t>
  </si>
  <si>
    <t>Rodeiro</t>
  </si>
  <si>
    <t>Romaria</t>
  </si>
  <si>
    <t>Rosário da Limeira</t>
  </si>
  <si>
    <t>Rubelita</t>
  </si>
  <si>
    <t>Rubim</t>
  </si>
  <si>
    <t>Sabará</t>
  </si>
  <si>
    <t>Sabinópolis</t>
  </si>
  <si>
    <t>Sacramento</t>
  </si>
  <si>
    <t>Salinas</t>
  </si>
  <si>
    <t>Salto da Divisa</t>
  </si>
  <si>
    <t>Santa Bárbara do Leste</t>
  </si>
  <si>
    <t>Santa Bárbara do Monte Verde</t>
  </si>
  <si>
    <t>Santa Bárbara do Tugúrio</t>
  </si>
  <si>
    <t>Santa Cruz de Minas</t>
  </si>
  <si>
    <t>Santa Cruz de Salinas</t>
  </si>
  <si>
    <t>Santa Cruz do Escalvado</t>
  </si>
  <si>
    <t>Santa Efigênia de Minas</t>
  </si>
  <si>
    <t>Santa Fé de Minas</t>
  </si>
  <si>
    <t>Santa Helena de Minas</t>
  </si>
  <si>
    <t>Santa Juliana</t>
  </si>
  <si>
    <t>Santa Margarida</t>
  </si>
  <si>
    <t>Santa Maria de Itabira</t>
  </si>
  <si>
    <t>Santa Maria do Salto</t>
  </si>
  <si>
    <t>Santa Maria do Suaçuí</t>
  </si>
  <si>
    <t>Santa Rita de Caldas</t>
  </si>
  <si>
    <t>Santa Rita de Ibitipoca</t>
  </si>
  <si>
    <t>Santa Rita de Jacutinga</t>
  </si>
  <si>
    <t>Santa Rita de Minas</t>
  </si>
  <si>
    <t>Santa Rita do Itueto</t>
  </si>
  <si>
    <t>Santa Rita do Sapucaí</t>
  </si>
  <si>
    <t>Santa Rosa da Serra</t>
  </si>
  <si>
    <t>Santa Vitória</t>
  </si>
  <si>
    <t>Santana da Vargem</t>
  </si>
  <si>
    <t>Santana de Cataguases</t>
  </si>
  <si>
    <t>Santana de Pirapama</t>
  </si>
  <si>
    <t>Santana do Deserto</t>
  </si>
  <si>
    <t>Santana do Garambéu</t>
  </si>
  <si>
    <t>Santana do Jacaré</t>
  </si>
  <si>
    <t>Santana do Manhuaçu</t>
  </si>
  <si>
    <t>Santana do Paraíso</t>
  </si>
  <si>
    <t>Santana do Riacho</t>
  </si>
  <si>
    <t>Santana dos Montes</t>
  </si>
  <si>
    <t>Santo Antônio do Amparo</t>
  </si>
  <si>
    <t>Santo Antônio do Aventureiro</t>
  </si>
  <si>
    <t>Santo Antônio do Grama</t>
  </si>
  <si>
    <t>Santo Antônio do Itambé</t>
  </si>
  <si>
    <t>Santo Antônio do Jacinto</t>
  </si>
  <si>
    <t>Santo Antônio do Monte</t>
  </si>
  <si>
    <t>Santo Antônio do Retiro</t>
  </si>
  <si>
    <t>Santo Antônio do Rio Abaixo</t>
  </si>
  <si>
    <t>Santo Hipólito</t>
  </si>
  <si>
    <t>Santos Dumont</t>
  </si>
  <si>
    <t>São Bento Abade</t>
  </si>
  <si>
    <t>São Brás do Suaçuí</t>
  </si>
  <si>
    <t>São Domingos das Dores</t>
  </si>
  <si>
    <t>São Domingos do Prata</t>
  </si>
  <si>
    <t>São Félix de Minas</t>
  </si>
  <si>
    <t>São Francisco de Sales</t>
  </si>
  <si>
    <t>São Francisco do Glória</t>
  </si>
  <si>
    <t>São Geraldo</t>
  </si>
  <si>
    <t>São Geraldo da Piedade</t>
  </si>
  <si>
    <t>São Geraldo do Baixio</t>
  </si>
  <si>
    <t>São Gonçalo do Abaeté</t>
  </si>
  <si>
    <t>São Gonçalo do Pará</t>
  </si>
  <si>
    <t>São Gonçalo do Rio Abaixo</t>
  </si>
  <si>
    <t>São Gonçalo do Rio Preto</t>
  </si>
  <si>
    <t>São Gonçalo do Sapucaí</t>
  </si>
  <si>
    <t>São Gotardo</t>
  </si>
  <si>
    <t>São João Batista do Glória</t>
  </si>
  <si>
    <t>São João da Lagoa</t>
  </si>
  <si>
    <t>São João da Mata</t>
  </si>
  <si>
    <t>São João da Ponte</t>
  </si>
  <si>
    <t>São João das Missões</t>
  </si>
  <si>
    <t>São João del Rei</t>
  </si>
  <si>
    <t>São João do Manhuaçu</t>
  </si>
  <si>
    <t>São João do Manteninha</t>
  </si>
  <si>
    <t>São João do Oriente</t>
  </si>
  <si>
    <t>São João do Pacuí</t>
  </si>
  <si>
    <t>São João Evangelista</t>
  </si>
  <si>
    <t>São João Nepomuceno</t>
  </si>
  <si>
    <t>São Joaquim de Bicas</t>
  </si>
  <si>
    <t>São José da Barra</t>
  </si>
  <si>
    <t>São José da Lapa</t>
  </si>
  <si>
    <t>São José da Safira</t>
  </si>
  <si>
    <t>São José da Varginha</t>
  </si>
  <si>
    <t>São José do Alegre</t>
  </si>
  <si>
    <t>São José do Goiabal</t>
  </si>
  <si>
    <t>São José do Jacuri</t>
  </si>
  <si>
    <t>São José do Mantimento</t>
  </si>
  <si>
    <t>São Lourenço</t>
  </si>
  <si>
    <t>São Miguel do Anta</t>
  </si>
  <si>
    <t>São Pedro da União</t>
  </si>
  <si>
    <t>São Pedro do Suaçuí</t>
  </si>
  <si>
    <t>São Pedro dos Ferros</t>
  </si>
  <si>
    <t>São Romão</t>
  </si>
  <si>
    <t>São Roque de Minas</t>
  </si>
  <si>
    <t>São Sebastião da Bela Vista</t>
  </si>
  <si>
    <t>São Sebastião da Vargem Alegre</t>
  </si>
  <si>
    <t>São Sebastião do Anta</t>
  </si>
  <si>
    <t>São Sebastião do Maranhão</t>
  </si>
  <si>
    <t>São Sebastião do Oeste</t>
  </si>
  <si>
    <t>São Sebastião do Paraíso</t>
  </si>
  <si>
    <t>São Sebastião do Rio Preto</t>
  </si>
  <si>
    <t>São Sebastião do Rio Verde</t>
  </si>
  <si>
    <t>São Tiago</t>
  </si>
  <si>
    <t>São Tomás de Aquino</t>
  </si>
  <si>
    <t>São Tomé das Letras</t>
  </si>
  <si>
    <t>São Vicente de Minas</t>
  </si>
  <si>
    <t>Sapucaí-Mirim</t>
  </si>
  <si>
    <t>Sardoá</t>
  </si>
  <si>
    <t>Sarzedo</t>
  </si>
  <si>
    <t>Sem-Peixe</t>
  </si>
  <si>
    <t>Senador Cortes</t>
  </si>
  <si>
    <t>Senador Firmino</t>
  </si>
  <si>
    <t>Senador José Bento</t>
  </si>
  <si>
    <t>Senador Modestino Gonçalves</t>
  </si>
  <si>
    <t>Senhora de Oliveira</t>
  </si>
  <si>
    <t>Senhora do Porto</t>
  </si>
  <si>
    <t>Senhora dos Remédios</t>
  </si>
  <si>
    <t>Sericita</t>
  </si>
  <si>
    <t>Seritinga</t>
  </si>
  <si>
    <t>Serra Azul de Minas</t>
  </si>
  <si>
    <t>Serra da Saudade</t>
  </si>
  <si>
    <t>Serra do Salitre</t>
  </si>
  <si>
    <t>Serra dos Aimorés</t>
  </si>
  <si>
    <t>Serrania</t>
  </si>
  <si>
    <t>Serranópolis de Minas</t>
  </si>
  <si>
    <t>Serranos</t>
  </si>
  <si>
    <t>Serro</t>
  </si>
  <si>
    <t>Sete Lagoas</t>
  </si>
  <si>
    <t>Setubinha</t>
  </si>
  <si>
    <t>Silveirânia</t>
  </si>
  <si>
    <t>Silvianópolis</t>
  </si>
  <si>
    <t>Simão Pereira</t>
  </si>
  <si>
    <t>Simonésia</t>
  </si>
  <si>
    <t>Sobrália</t>
  </si>
  <si>
    <t>Soledade de Minas</t>
  </si>
  <si>
    <t>Tabuleiro</t>
  </si>
  <si>
    <t>Taiobeiras</t>
  </si>
  <si>
    <t>Taparuba</t>
  </si>
  <si>
    <t>Taquaraçu de Minas</t>
  </si>
  <si>
    <t>Tarumirim</t>
  </si>
  <si>
    <t>Teixeiras</t>
  </si>
  <si>
    <t>Teófilo Otoni</t>
  </si>
  <si>
    <t>Timóteo</t>
  </si>
  <si>
    <t>Tiradentes</t>
  </si>
  <si>
    <t>Tiros</t>
  </si>
  <si>
    <t>Tocantins</t>
  </si>
  <si>
    <t>Tocos do Moji</t>
  </si>
  <si>
    <t>Tombos</t>
  </si>
  <si>
    <t>Três Corações</t>
  </si>
  <si>
    <t>Três Marias</t>
  </si>
  <si>
    <t>Tumiritinga</t>
  </si>
  <si>
    <t>Tupaciguara</t>
  </si>
  <si>
    <t>Turvolândia</t>
  </si>
  <si>
    <t>Ubá</t>
  </si>
  <si>
    <t>Ubaí</t>
  </si>
  <si>
    <t>Ubaporanga</t>
  </si>
  <si>
    <t>Uberaba</t>
  </si>
  <si>
    <t>Umburatiba</t>
  </si>
  <si>
    <t>Unaí</t>
  </si>
  <si>
    <t>União de Minas</t>
  </si>
  <si>
    <t>Uruana de Minas</t>
  </si>
  <si>
    <t>Urucânia</t>
  </si>
  <si>
    <t>Urucuia</t>
  </si>
  <si>
    <t>Vargem Alegre</t>
  </si>
  <si>
    <t>Vargem Grande do Rio Pardo</t>
  </si>
  <si>
    <t>Varjão de Minas</t>
  </si>
  <si>
    <t>Várzea da Palma</t>
  </si>
  <si>
    <t>Varzelândia</t>
  </si>
  <si>
    <t>Vazante</t>
  </si>
  <si>
    <t>Verdelândia</t>
  </si>
  <si>
    <t>Veredinha</t>
  </si>
  <si>
    <t>Veríssimo</t>
  </si>
  <si>
    <t>Vermelho Novo</t>
  </si>
  <si>
    <t>Vespasiano</t>
  </si>
  <si>
    <t>Vieiras</t>
  </si>
  <si>
    <t>Virgem da Lapa</t>
  </si>
  <si>
    <t>Virgínia</t>
  </si>
  <si>
    <t>Virginópolis</t>
  </si>
  <si>
    <t>Virgolândia</t>
  </si>
  <si>
    <t>Visconde do Rio Branco</t>
  </si>
  <si>
    <t>Volta Grande</t>
  </si>
  <si>
    <t>Coordenação</t>
  </si>
  <si>
    <t>Classificação de Produtos</t>
  </si>
  <si>
    <t>Gestão e Negócios</t>
  </si>
  <si>
    <t>Departamento de Engenharia e Logística</t>
  </si>
  <si>
    <t>Crédito Rural e Fundiário (Extensão Rural)</t>
  </si>
  <si>
    <t>Departamento de Integração, Gestão da Informação e Transferência</t>
  </si>
  <si>
    <t>Integração Institucional</t>
  </si>
  <si>
    <t>Departamento de Produtos e Serviços</t>
  </si>
  <si>
    <t>Divisão de Contabilidade</t>
  </si>
  <si>
    <t>Fruticultura (Extensão)</t>
  </si>
  <si>
    <t>Engenharia e Logística</t>
  </si>
  <si>
    <t>Estação de Pesquisa de Cambará</t>
  </si>
  <si>
    <t>Estação de Pesquisa de Cerro Azul</t>
  </si>
  <si>
    <t>Estação de Pesquisa de Fazenda Modelo</t>
  </si>
  <si>
    <t>Estação de Pesquisa de Irati</t>
  </si>
  <si>
    <t>Estação de Pesquisa da Lapa</t>
  </si>
  <si>
    <t>Estação de Pesquisa de Morretes</t>
  </si>
  <si>
    <t>Estação de Pesquisa de Palmas</t>
  </si>
  <si>
    <t>Estação de Pesquisa de Pato Branco</t>
  </si>
  <si>
    <t>Estação de Pesquisa de Pinhais</t>
  </si>
  <si>
    <t>Estação de Pesquisa de Ponta Grossa</t>
  </si>
  <si>
    <t>Estação de Pesquisa de Santa Helena</t>
  </si>
  <si>
    <t>Estação de Pesquisa de Santa Tereza do Oeste</t>
  </si>
  <si>
    <t>Estação de Pesquisa de Umuarama</t>
  </si>
  <si>
    <t>Estação de Pesquisa de Xambrê</t>
  </si>
  <si>
    <t>Estações de Pesquisa de Produção</t>
  </si>
  <si>
    <t>Gestão de ATER</t>
  </si>
  <si>
    <t>Polo de Pesquisa de Curitiba</t>
  </si>
  <si>
    <t>Polo de Pesquisa de Guarapuava</t>
  </si>
  <si>
    <t>Polo de Pesquisa de Paranavaí</t>
  </si>
  <si>
    <t>Polo de Pesquisa de Ponta Grossa</t>
  </si>
  <si>
    <t>Polo de Pesquisa de Santa Tereza do Oeste</t>
  </si>
  <si>
    <t>Produção de Grãos Sustentáveis - Feijão e Cultivos de Inverno (Extensão Rural)</t>
  </si>
  <si>
    <t>Programa de Olericultura, Raízes e Tubérculos</t>
  </si>
  <si>
    <t>Programa de Pecuária Leiteira (Pesquisa)</t>
  </si>
  <si>
    <t>Recursos Naturais e Sustentabilidade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</si>
</sst>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m/d/yyyy h:mm:ss"/>
    <numFmt numFmtId="166" formatCode="[$R$ -416]#,##0.00"/>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vertical="bottom"/>
    </xf>
    <xf borderId="0" fillId="0" fontId="1" numFmtId="49" xfId="0" applyAlignment="1" applyFont="1" applyNumberFormat="1">
      <alignment vertical="bottom"/>
    </xf>
    <xf borderId="0" fillId="0" fontId="1" numFmtId="0" xfId="0" applyAlignment="1" applyFont="1">
      <alignment horizontal="right" vertical="bottom"/>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right"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xf>
    <xf borderId="0" fillId="0" fontId="2" numFmtId="0" xfId="0" applyAlignment="1" applyFont="1">
      <alignment horizontal="center"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0"/>
    </xf>
    <xf borderId="0" fillId="0" fontId="2" numFmtId="0" xfId="0" applyAlignment="1" applyFont="1">
      <alignment readingOrder="0" shrinkToFit="0" vertical="center" wrapText="1"/>
    </xf>
    <xf borderId="0" fillId="0" fontId="2" numFmtId="4"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166" xfId="0" applyAlignment="1" applyFont="1" applyNumberFormat="1">
      <alignment shrinkToFit="0" vertical="center" wrapText="0"/>
    </xf>
    <xf borderId="0" fillId="0" fontId="2" numFmtId="0" xfId="0" applyAlignment="1" applyFont="1">
      <alignment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shrinkToFit="0" vertical="center" wrapText="0"/>
    </xf>
    <xf borderId="0" fillId="0" fontId="2" numFmtId="3" xfId="0" applyAlignment="1" applyFont="1" applyNumberFormat="1">
      <alignment horizontal="center" readingOrder="0" shrinkToFit="0" vertical="center" wrapText="0"/>
    </xf>
    <xf borderId="0" fillId="0" fontId="2" numFmtId="166" xfId="0" applyAlignment="1" applyFont="1" applyNumberFormat="1">
      <alignment readingOrder="0" shrinkToFit="0" vertical="center" wrapText="1"/>
    </xf>
    <xf quotePrefix="1" borderId="0" fillId="0" fontId="2" numFmtId="0" xfId="0" applyAlignment="1" applyFont="1">
      <alignment horizontal="center" readingOrder="0" shrinkToFit="0" vertical="center" wrapText="0"/>
    </xf>
    <xf borderId="0" fillId="0" fontId="2" numFmtId="0" xfId="0" applyAlignment="1" applyFont="1">
      <alignment shrinkToFit="0" vertical="center" wrapText="1"/>
    </xf>
    <xf borderId="0" fillId="0" fontId="2" numFmtId="0" xfId="0" applyAlignment="1" applyFont="1">
      <alignment horizontal="right" readingOrder="0" shrinkToFit="0" vertical="center" wrapText="0"/>
    </xf>
    <xf borderId="0" fillId="0" fontId="2" numFmtId="166" xfId="0" applyAlignment="1" applyFont="1" applyNumberFormat="1">
      <alignment horizontal="right" readingOrder="0" shrinkToFit="0" vertical="center" wrapText="0"/>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0"/>
    </xf>
    <xf borderId="0" fillId="0" fontId="2" numFmtId="166" xfId="0" applyAlignment="1" applyFont="1" applyNumberFormat="1">
      <alignment shrinkToFit="0" vertical="center" wrapText="1"/>
    </xf>
    <xf borderId="0" fillId="0" fontId="2" numFmtId="0" xfId="0" applyAlignment="1" applyFont="1">
      <alignment horizontal="center" shrinkToFit="0" vertical="center" wrapText="1"/>
    </xf>
    <xf borderId="0" fillId="0" fontId="2" numFmtId="165" xfId="0" applyAlignment="1" applyFont="1" applyNumberFormat="1">
      <alignment horizontal="center" readingOrder="0" shrinkToFit="0" vertical="center" wrapText="1"/>
    </xf>
    <xf borderId="0" fillId="0" fontId="2" numFmtId="166" xfId="0" applyAlignment="1" applyFont="1" applyNumberFormat="1">
      <alignment horizontal="right" shrinkToFit="0" vertical="center" wrapText="0"/>
    </xf>
    <xf borderId="0" fillId="0" fontId="2" numFmtId="0" xfId="0" applyAlignment="1" applyFont="1">
      <alignment horizontal="right" shrinkToFit="0" vertical="center" wrapText="0"/>
    </xf>
    <xf borderId="0" fillId="0" fontId="2" numFmtId="0" xfId="0" applyAlignment="1" applyFont="1">
      <alignment horizontal="right" shrinkToFit="0" vertical="center" wrapText="0"/>
    </xf>
    <xf borderId="0" fillId="0" fontId="2" numFmtId="0" xfId="0" applyAlignment="1" applyFont="1">
      <alignment shrinkToFit="0" vertical="center" wrapText="0"/>
    </xf>
    <xf borderId="0" fillId="0" fontId="2" numFmtId="165"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 numFmtId="4"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166" xfId="0" applyAlignment="1" applyFont="1" applyNumberFormat="1">
      <alignment shrinkToFit="0" vertical="center" wrapText="0"/>
    </xf>
    <xf borderId="0" fillId="0" fontId="2" numFmtId="164" xfId="0" applyAlignment="1" applyFont="1" applyNumberFormat="1">
      <alignment horizontal="center"/>
    </xf>
    <xf borderId="0" fillId="0" fontId="2" numFmtId="0" xfId="0" applyAlignment="1" applyFont="1">
      <alignment horizontal="left" shrinkToFit="0" wrapText="1"/>
    </xf>
    <xf borderId="0" fillId="0" fontId="2" numFmtId="0" xfId="0" applyAlignment="1" applyFont="1">
      <alignment horizontal="right"/>
    </xf>
    <xf borderId="0" fillId="0" fontId="2" numFmtId="0" xfId="0" applyAlignment="1" applyFont="1">
      <alignment shrinkToFit="0" wrapText="1"/>
    </xf>
    <xf borderId="0" fillId="0" fontId="2" numFmtId="0" xfId="0" applyAlignment="1" applyFont="1">
      <alignment horizontal="center" shrinkToFit="0" wrapText="0"/>
    </xf>
    <xf borderId="0" fillId="0" fontId="2" numFmtId="0" xfId="0" applyFont="1"/>
    <xf borderId="0" fillId="0" fontId="2" numFmtId="166" xfId="0" applyFont="1" applyNumberFormat="1"/>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1" numFmtId="0" xfId="0" applyAlignment="1" applyFont="1">
      <alignment readingOrder="0"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N343" sheet="Respostas ao formulário 1"/>
  </cacheSource>
  <cacheFields>
    <cacheField name="n°"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sharedItems>
    </cacheField>
    <cacheField name="Carimbo de data/hora" numFmtId="165">
      <sharedItems containsDate="1" containsString="0" containsBlank="1">
        <d v="2025-12-08T16:14:19Z"/>
        <d v="2025-12-02T09:28:25Z"/>
        <d v="2025-11-18T13:51:13Z"/>
        <d v="2025-11-26T15:46:06Z"/>
        <d v="2025-12-02T09:20:31Z"/>
        <d v="2025-12-04T10:21:09Z"/>
        <d v="2025-12-05T15:35:29Z"/>
        <d v="2025-12-08T10:48:01Z"/>
        <d v="2025-12-08T15:06:17Z"/>
        <d v="2025-12-08T18:50:29Z"/>
        <d v="2025-11-17T14:56:32Z"/>
        <d v="2025-11-17T16:05:18Z"/>
        <d v="2025-11-18T11:46:04Z"/>
        <d v="2025-11-26T10:15:01Z"/>
        <d v="2025-11-26T11:28:52Z"/>
        <d v="2025-11-29T01:20:35Z"/>
        <d v="2025-12-02T09:39:55Z"/>
        <d v="2025-12-02T09:52:29Z"/>
        <d v="2025-12-03T15:58:33Z"/>
        <d v="2025-12-08T15:49:30Z"/>
        <d v="2025-12-08T16:03:50Z"/>
        <d v="2025-12-08T16:29:49Z"/>
        <d v="2025-11-25T10:42:18Z"/>
        <d v="2025-11-12T11:27:29Z"/>
        <d v="2025-11-17T15:13:40Z"/>
        <d v="2025-11-17T15:24:44Z"/>
        <d v="2025-11-17T15:26:11Z"/>
        <d v="2025-11-18T11:04:16Z"/>
        <d v="2025-11-18T11:04:40Z"/>
        <d v="2025-11-19T11:28:47Z"/>
        <d v="2025-11-19T15:08:23Z"/>
        <d v="2025-11-19T15:22:06Z"/>
        <d v="2025-11-24T23:14:43Z"/>
        <d v="2025-11-26T11:00:53Z"/>
        <d v="2025-11-27T17:43:06Z"/>
        <d v="2025-11-28T14:07:46Z"/>
        <d v="2025-11-27T18:04:07Z"/>
        <d v="2025-11-28T11:20:13Z"/>
        <d v="2025-11-28T17:19:30Z"/>
        <d v="2025-12-01T16:30:45Z"/>
        <d v="2025-12-07T19:41:20Z"/>
        <d v="2025-12-08T18:38:03Z"/>
        <d v="2025-11-03T16:19:55Z"/>
        <d v="2025-11-12T10:29:23Z"/>
        <d v="2025-11-12T10:46:07Z"/>
        <d v="2025-11-12T10:58:39Z"/>
        <d v="2025-11-12T11:07:20Z"/>
        <d v="2025-11-12T11:15:01Z"/>
        <d v="2025-11-12T11:20:35Z"/>
        <d v="2025-11-12T11:33:26Z"/>
        <d v="2025-11-12T11:37:33Z"/>
        <d v="2025-11-14T09:08:34Z"/>
        <d v="2025-11-14T14:04:53Z"/>
        <d v="2025-11-14T14:49:34Z"/>
        <d v="2025-11-14T15:05:15Z"/>
        <d v="2025-11-14T15:11:36Z"/>
        <d v="2025-11-14T15:20:57Z"/>
        <d v="2025-11-14T15:30:19Z"/>
        <d v="2025-11-14T15:57:46Z"/>
        <d v="2025-11-14T16:06:03Z"/>
        <d v="2025-11-17T08:16:56Z"/>
        <d v="2025-11-17T09:24:39Z"/>
        <d v="2025-11-17T12:03:49Z"/>
        <d v="2025-11-17T12:56:19Z"/>
        <d v="2025-11-17T13:58:48Z"/>
        <d v="2025-11-17T14:08:17Z"/>
        <d v="2025-11-17T14:25:18Z"/>
        <d v="2025-11-18T10:48:04Z"/>
        <d v="2025-11-18T12:09:38Z"/>
        <d v="2025-11-18T14:41:02Z"/>
        <d v="2025-11-18T14:53:42Z"/>
        <d v="2025-11-18T15:12:53Z"/>
        <d v="2025-11-18T15:18:03Z"/>
        <d v="2025-11-18T15:22:42Z"/>
        <d v="2025-11-19T09:00:30Z"/>
        <d v="2025-11-19T09:23:08Z"/>
        <d v="2025-11-19T09:32:25Z"/>
        <d v="2025-11-19T13:52:51Z"/>
        <d v="2025-11-19T14:41:40Z"/>
        <d v="2025-11-27T09:20:57Z"/>
        <d v="2025-11-24T08:50:44Z"/>
        <d v="2025-11-24T11:11:16Z"/>
        <d v="2025-11-24T11:48:58Z"/>
        <d v="2025-11-24T11:51:46Z"/>
        <d v="2025-11-24T11:54:44Z"/>
        <d v="2025-11-24T11:57:21Z"/>
        <d v="2025-11-24T11:59:59Z"/>
        <d v="2025-11-24T12:02:14Z"/>
        <d v="2025-11-24T12:03:01Z"/>
        <d v="2025-11-24T12:07:09Z"/>
        <d v="2025-11-24T12:19:39Z"/>
        <d v="2025-11-24T12:31:59Z"/>
        <d v="2025-11-24T13:12:02Z"/>
        <d v="2025-11-24T13:26:16Z"/>
        <d v="2025-11-24T13:33:14Z"/>
        <d v="2025-11-24T13:42:21Z"/>
        <d v="2025-11-24T13:51:09Z"/>
        <d v="2025-11-24T13:56:42Z"/>
        <d v="2025-11-24T14:24:48Z"/>
        <d v="2025-11-24T14:41:13Z"/>
        <d v="2025-11-24T14:48:40Z"/>
        <d v="2025-11-24T14:56:30Z"/>
        <d v="2025-11-24T15:07:35Z"/>
        <d v="2025-11-24T15:18:48Z"/>
        <d v="2025-11-24T16:22:57Z"/>
        <d v="2025-11-24T16:39:25Z"/>
        <d v="2025-11-24T16:46:28Z"/>
        <d v="2025-11-24T18:08:09Z"/>
        <d v="2025-11-24T18:10:09Z"/>
        <d v="2025-11-24T18:12:29Z"/>
        <d v="2025-11-24T18:14:40Z"/>
        <d v="2025-11-24T18:16:50Z"/>
        <d v="2025-11-24T22:43:46Z"/>
        <d v="2025-11-24T22:56:26Z"/>
        <d v="2025-11-25T08:24:11Z"/>
        <d v="2025-11-25T10:09:39Z"/>
        <d v="2025-11-25T10:14:18Z"/>
        <d v="2025-11-25T10:18:22Z"/>
        <d v="2025-11-25T10:22:37Z"/>
        <d v="2025-11-25T10:26:23Z"/>
        <d v="2025-11-25T10:35:24Z"/>
        <d v="2025-11-25T10:39:44Z"/>
        <d v="2025-11-25T10:44:51Z"/>
        <d v="2025-11-25T15:27:27Z"/>
        <d v="2025-11-25T16:55:30Z"/>
        <d v="2025-11-26T08:14:07Z"/>
        <d v="2025-11-26T08:29:38Z"/>
        <d v="2025-11-26T08:33:28Z"/>
        <d v="2025-11-26T08:37:10Z"/>
        <d v="2025-11-26T08:57:50Z"/>
        <d v="2025-11-26T15:08:44Z"/>
        <d v="2025-11-26T17:44:55Z"/>
        <d v="2025-11-28T16:51:00Z"/>
        <d v="2025-11-27T08:25:30Z"/>
        <d v="2025-11-27T08:45:31Z"/>
        <d v="2025-11-27T08:45:52Z"/>
        <d v="2025-11-27T08:52:31Z"/>
        <d v="2025-11-27T09:02:11Z"/>
        <d v="2025-11-27T09:02:58Z"/>
        <d v="2025-11-27T09:10:36Z"/>
        <d v="2025-11-27T09:18:45Z"/>
        <d v="2025-11-27T09:19:37Z"/>
        <d v="2025-11-27T09:30:42Z"/>
        <d v="2025-11-27T09:32:14Z"/>
        <d v="2025-11-27T09:37:47Z"/>
        <d v="2025-11-27T09:43:51Z"/>
        <d v="2025-11-27T09:46:47Z"/>
        <d v="2025-11-27T09:52:17Z"/>
        <d v="2025-11-27T13:04:26Z"/>
        <d v="2025-11-27T13:11:15Z"/>
        <d v="2025-11-27T13:11:15Z"/>
        <d v="2025-11-27T13:14:50Z"/>
        <d v="2025-11-27T13:17:39Z"/>
        <d v="2025-11-27T13:57:26Z"/>
        <d v="2025-11-27T15:46:55Z"/>
        <d v="2025-11-27T17:52:46Z"/>
        <d v="2025-11-28T08:25:44Z"/>
        <d v="2025-11-28T08:46:17Z"/>
        <d v="2025-11-28T08:55:34Z"/>
        <d v="2025-11-28T10:12:05Z"/>
        <d v="2025-11-28T10:59:08Z"/>
        <d v="2025-11-28T11:41:38Z"/>
        <d v="2025-11-28T13:14:30Z"/>
        <d v="2025-11-28T13:33:23Z"/>
        <d v="2025-11-28T13:52:33Z"/>
        <d v="2025-11-28T14:00:33Z"/>
        <d v="2025-11-28T14:22:03Z"/>
        <d v="2025-11-28T14:28:46Z"/>
        <d v="2025-11-28T14:34:19Z"/>
        <d v="2025-11-28T14:36:09Z"/>
        <d v="2025-11-28T14:36:47Z"/>
        <d v="2025-11-28T14:43:49Z"/>
        <d v="2025-11-28T14:50:46Z"/>
        <d v="2025-11-28T14:58:31Z"/>
        <d v="2025-11-28T15:00:56Z"/>
        <d v="2025-11-28T15:03:49Z"/>
        <d v="2025-11-28T15:13:48Z"/>
        <d v="2025-11-28T15:28:18Z"/>
        <d v="2025-11-28T15:28:24Z"/>
        <d v="2025-11-28T15:57:11Z"/>
        <d v="2025-11-28T16:08:32Z"/>
        <d v="2025-11-28T16:19:35Z"/>
        <d v="2025-11-28T16:23:33Z"/>
        <d v="2025-11-28T16:26:43Z"/>
        <d v="2025-11-28T16:34:50Z"/>
        <d v="2025-11-28T16:38:28Z"/>
        <d v="2025-11-28T16:41:05Z"/>
        <d v="2025-11-28T16:42:00Z"/>
        <d v="2025-11-28T16:45:58Z"/>
        <d v="2025-11-28T16:50:29Z"/>
        <d v="2025-11-28T17:10:30Z"/>
        <d v="2025-11-28T17:32:49Z"/>
        <d v="2025-11-29T01:04:49Z"/>
        <d v="2025-11-29T01:25:28Z"/>
        <d v="2025-12-01T18:22:45Z"/>
        <d v="2025-12-01T20:13:39Z"/>
        <d v="2025-12-02T08:25:35Z"/>
        <d v="2025-12-02T08:50:45Z"/>
        <d v="2025-12-02T09:10:22Z"/>
        <d v="2025-12-02T09:16:36Z"/>
        <d v="2025-12-02T09:24:25Z"/>
        <d v="2025-12-02T09:49:39Z"/>
        <d v="2025-12-03T13:25:22Z"/>
        <d v="2025-12-03T13:29:36Z"/>
        <d v="2025-12-03T13:32:36Z"/>
        <d v="2025-12-03T13:35:23Z"/>
        <d v="2025-12-03T13:38:08Z"/>
        <d v="2025-12-03T13:39:43Z"/>
        <d v="2025-12-03T13:42:14Z"/>
        <d v="2025-12-03T14:27:48Z"/>
        <d v="2025-12-04T09:02:27Z"/>
        <d v="2025-12-04T09:05:38Z"/>
        <d v="2025-12-04T09:19:50Z"/>
        <d v="2025-12-04T09:29:53Z"/>
        <d v="2025-12-04T09:32:50Z"/>
        <d v="2025-12-04T10:41:07Z"/>
        <d v="2025-12-04T10:43:50Z"/>
        <d v="2025-12-04T10:46:13Z"/>
        <d v="2025-12-04T10:51:13Z"/>
        <d v="2025-12-04T11:01:08Z"/>
        <d v="2025-12-04T13:13:25Z"/>
        <d v="2025-12-04T13:18:52Z"/>
        <d v="2025-12-04T14:01:24Z"/>
        <d v="2025-12-04T14:40:57Z"/>
        <d v="2025-12-04T17:28:18Z"/>
        <d v="2025-12-04T17:42:00Z"/>
        <d v="2025-12-05T10:50:36Z"/>
        <d v="2025-12-05T10:53:11Z"/>
        <d v="2025-12-05T11:03:31Z"/>
        <d v="2025-12-05T13:34:06Z"/>
        <d v="2025-12-05T13:51:44Z"/>
        <d v="2025-12-05T15:13:13Z"/>
        <d v="2025-12-05T15:26:24Z"/>
        <d v="2025-12-05T15:39:11Z"/>
        <d v="2025-12-05T15:47:28Z"/>
        <d v="2025-12-05T15:52:38Z"/>
        <d v="2025-12-05T15:56:22Z"/>
        <d v="2025-12-05T16:02:25Z"/>
        <d v="2025-12-05T16:09:37Z"/>
        <d v="2025-12-05T16:21:46Z"/>
        <d v="2025-12-05T16:28:20Z"/>
        <d v="2025-12-05T16:31:49Z"/>
        <d v="2025-12-05T16:34:32Z"/>
        <d v="2025-12-05T16:38:07Z"/>
        <d v="2025-12-05T16:41:11Z"/>
        <d v="2025-12-05T16:43:50Z"/>
        <d v="2025-12-05T16:46:43Z"/>
        <d v="2025-12-05T16:49:31Z"/>
        <d v="2025-12-05T16:52:57Z"/>
        <d v="2025-12-05T16:56:31Z"/>
        <d v="2025-12-05T17:10:07Z"/>
        <d v="2025-12-05T17:18:41Z"/>
        <d v="2025-12-07T18:27:00Z"/>
        <d v="2025-12-07T18:52:27Z"/>
        <d v="2025-12-07T19:53:38Z"/>
        <d v="2025-12-07T20:10:26Z"/>
        <d v="2025-12-07T20:22:19Z"/>
        <d v="2025-12-07T20:31:14Z"/>
        <d v="2025-12-07T21:19:32Z"/>
        <d v="2025-12-07T21:40:30Z"/>
        <d v="2025-12-07T22:35:45Z"/>
        <d v="2025-12-08T08:35:33Z"/>
        <d v="2025-12-08T08:40:11Z"/>
        <d v="2025-12-08T08:46:20Z"/>
        <d v="2025-12-08T08:55:06Z"/>
        <d v="2025-12-08T08:59:15Z"/>
        <d v="2025-12-08T09:03:27Z"/>
        <d v="2025-12-08T09:08:04Z"/>
        <d v="2025-12-08T09:10:45Z"/>
        <d v="2025-12-08T09:13:29Z"/>
        <d v="2025-12-08T09:19:33Z"/>
        <d v="2025-12-08T09:23:09Z"/>
        <d v="2025-12-08T09:25:10Z"/>
        <d v="2025-12-08T10:53:42Z"/>
        <d v="2025-12-08T15:01:25Z"/>
        <d v="2025-12-08T15:28:25Z"/>
        <d v="2025-12-08T15:38:35Z"/>
        <d v="2025-12-08T16:38:54Z"/>
        <d v="2025-12-08T16:40:45Z"/>
        <d v="2025-12-08T17:12:32Z"/>
        <d v="2025-12-08T17:17:48Z"/>
        <d v="2025-12-08T17:43:50Z"/>
        <d v="2025-12-08T18:10:29Z"/>
        <d v="2025-12-08T19:34:42Z"/>
        <d v="2025-12-08T19:45:15Z"/>
        <d v="2025-12-08T19:50:41Z"/>
        <d v="2025-12-08T20:07:12Z"/>
        <d v="2025-12-08T20:12:57Z"/>
        <d v="2025-12-09T09:15:42Z"/>
        <d v="2025-12-09T11:16:53Z"/>
        <d v="2025-12-09T11:40:12Z"/>
        <d v="2025-12-15T10:31:20Z"/>
        <d v="2025-12-18T10:14:13Z"/>
        <d v="2025-11-26T10:28:06Z"/>
        <d v="2025-11-26T11:05:34Z"/>
        <d v="2025-11-28T10:25:38Z"/>
        <d v="2025-12-07T17:18:07Z"/>
        <d v="2025-12-08T14:46:18Z"/>
        <d v="2025-11-18T11:18:42Z"/>
        <d v="2025-11-26T14:43:03Z"/>
        <d v="2025-12-05T09:58:37Z"/>
        <d v="2025-12-05T13:14:10Z"/>
        <d v="2025-12-07T16:58:49Z"/>
        <d v="2025-12-08T15:34:00Z"/>
        <d v="2025-11-18T15:23:12Z"/>
        <d v="2025-11-24T22:32:38Z"/>
        <d v="2025-11-25T10:31:57Z"/>
        <d v="2025-11-26T09:21:11Z"/>
        <d v="2025-12-01T20:33:27Z"/>
        <d v="2025-12-01T21:23:59Z"/>
        <d v="2025-12-01T21:47:36Z"/>
        <d v="2025-12-05T15:46:16Z"/>
        <d v="2025-12-07T16:41:00Z"/>
        <d v="2025-12-08T14:56:21Z"/>
        <d v="2025-12-08T15:11:40Z"/>
        <d v="2025-12-08T16:03:38Z"/>
        <d v="2025-11-18T14:02:20Z"/>
        <d v="2025-11-19T08:42:46Z"/>
        <d v="2025-11-19T09:45:36Z"/>
        <d v="2025-11-19T09:56:25Z"/>
        <d v="2025-11-19T11:17:27Z"/>
        <d v="2025-11-24T10:40:58Z"/>
        <d v="2025-11-26T08:50:11Z"/>
        <d v="2025-11-26T09:16:30Z"/>
        <d v="2025-11-26T15:18:45Z"/>
        <d v="2025-11-26T15:36:56Z"/>
        <d v="2025-11-26T15:56:13Z"/>
        <d v="2025-11-28T09:33:25Z"/>
        <d v="2025-11-28T17:06:27Z"/>
        <d v="2025-11-28T17:33:11Z"/>
        <d v="2025-12-01T20:48:11Z"/>
        <d v="2025-12-02T09:13:52Z"/>
        <d v="2025-12-05T16:53:14Z"/>
        <d v="2025-12-07T17:44:27Z"/>
        <d v="2025-12-07T18:01:13Z"/>
        <d v="2025-12-07T19:26:26Z"/>
        <d v="2025-12-07T22:55:40Z"/>
        <d v="2025-12-07T23:23:11Z"/>
        <d v="2025-12-08T16:30:17Z"/>
        <d v="2026-01-23T11:08:20Z"/>
        <d v="2026-01-23T11:19:44Z"/>
        <m/>
      </sharedItems>
    </cacheField>
    <cacheField name="Endereço de e-mail" numFmtId="0">
      <sharedItems>
        <s v="tpellini@idr.pr.gov.br"/>
        <s v="graziela_barbosa@idr.pr.gov.br"/>
        <s v="santosjb@idr.pr.gov.br"/>
        <s v="ronaldo@iapar.br"/>
        <s v="joaoreis@idr.pr.gov.br"/>
        <s v="joiceassmann@idr.pr.gov.br"/>
        <s v="ivanbordin@idr.pr.gov.br"/>
        <s v="patriciasantoro@idr.pr.gov.br"/>
        <s v="sramos@idr.pr.gov.br"/>
        <s v="laisepontes@idr.pr.gov.br"/>
        <s v="kfgobbi@idr.pr.gov.br"/>
        <s v="josiane@idr.pr.gov.br"/>
        <s v="tomaz@idr.pr.gov.br"/>
        <s v="heverly@idr.pr.gov.br"/>
        <s v="maristelacarvalho@idr.pr.gov.br"/>
        <s v="aledetoni@idr.pr.gov.br"/>
        <s v="soler@idr.pr.gov.br"/>
        <s v="danielsoares@idr.pr.gov.br"/>
        <s v="rafaelpiovezan@idr.pr.gov.br"/>
        <s v="gustavosera@idr.pr.gov.br"/>
        <s v="ipbruno@idr.pr.gov.br"/>
        <s v="defantin@idr.pr.gov.br"/>
        <s v="romeugair@idr.pr.gov.br"/>
        <s v="ito@idr.pr.gov.br"/>
        <s v="eduardosantos@idr.pr.gov.br"/>
        <s v="pablo.nitsche@idr.pr.gov.br"/>
        <s v="anderson@idr.pr.gov.br"/>
        <s v="hevandro@idr.pr.gov.br"/>
        <s v="eloir@idr.pr.gov.br"/>
        <s v="sidneymonteiro@idr.pr.gov.br"/>
        <s v="jeustaquio@idr.pr.gov.br"/>
        <s v="herlon@idr.pr.gov.br"/>
        <s v="ccnandrade@idr.pr.gov.br"/>
        <s v="mauricioalves@idr.pr.gov.br"/>
        <s v="valdimir@idr.pr.gov.br"/>
        <s v="danielesandri@idr.pr.gov.br"/>
        <s v="jagranato@idr.pr.gov.br"/>
        <s v="karolline@idr.pr.gov.br"/>
        <s v="cjlemes@idr.pr.gov.br"/>
        <s v="joaohill@idr.pr.gov.br"/>
        <s v="germano@idr.pr.gov.br"/>
        <s v="marcoslmsouza@idr.pr.gov.br"/>
        <s v="elianimarson@idr.pr.gov.br"/>
        <s v="odenath@idr.pr.gov.br"/>
        <s v="celso@idr.pr.gov.br"/>
        <s v="orivalstolf@idr.pr.gov.br"/>
        <s v="nelma@idr.pr.gov.br"/>
        <s v="ctrentin@idr.pr.gov.br"/>
        <s v="krzapella@idr.pr.gov.br"/>
        <s v="josefrancisco@idr.pr.gov.br"/>
        <s v="apgomes@idr.pr.gov.br"/>
        <s v="carolina@idr.pr.gov.br"/>
        <s v="jsburatto@idr.pr.gov.br"/>
        <s v="crriede@idr.pr.gov.br"/>
        <s v="orlando.assis@idr.pr.gov.br"/>
        <s v="carolina.moreira@idr.pr.gov.br"/>
        <s v="edivanjp@idr.pr.gov.br"/>
        <s v="patriciasantoro@idr.pr.gov.br.gov.br"/>
        <s v="kooji@idr.pr.gov.br"/>
        <s v="ccandrade@idr.pr.gov.br"/>
        <s v="vetemau@gmail.com"/>
        <s v="klever@idr.pr.gov.br"/>
        <s v="clandio@idr.pr.gov.br"/>
        <s v="grparanagua@idr.pr.gov.br"/>
        <s v="miguelantonucci@idr.pr.gov.br"/>
        <s v="vamoci@idr.pr.gov.br"/>
      </sharedItems>
    </cacheField>
    <cacheField name="Status" numFmtId="0">
      <sharedItems>
        <s v="A aprovar"/>
        <s v="Aprovado"/>
        <s v="Não Aprovado"/>
      </sharedItems>
    </cacheField>
    <cacheField name="Diretoria" numFmtId="0">
      <sharedItems>
        <s v="Pesquisa e Inovação"/>
        <s v="Extensão Rural"/>
        <s v="Gestão Institucional"/>
      </sharedItems>
    </cacheField>
    <cacheField name="Departamento" numFmtId="0">
      <sharedItems>
        <s v="Pesquisa e Capacitação"/>
        <s v="Inovação e Comunicação Científica"/>
        <s v="Projetos e Cadeias Produtivas"/>
        <s v="Políticas Públicas"/>
        <s v="Sustentabilidade"/>
        <s v="Recursos Humanos"/>
        <s v="Administração"/>
        <s v="Finanças"/>
      </sharedItems>
    </cacheField>
    <cacheField name="Informe a Assessoria/Regional/Polo/Estação Responsável " numFmtId="0">
      <sharedItems>
        <s v="Socioeconomia e Métodos Quantitativos (Pesquisa)"/>
        <s v="Solos e Meio Ambiente (Pesquisa)"/>
        <s v="Fitotecnia e Fisiologia da Produção (Pesquisa)"/>
        <s v="Olericultura (Extensão Rural)"/>
        <s v="Polo de Pesquisa de Pato Branco"/>
        <s v="Polo de Pesquisa de Londrina"/>
        <s v="Turismo Rural (Extensão Rural)"/>
        <s v="Programa de Pecuária de Corte e ILPF (Pesquisa)"/>
        <s v="Melhoramento Genético Vegetal e Sementes (Pesquisa)"/>
        <s v="Agrometereologia (Pesquisa)"/>
        <s v="Pecuária de Leite (Extensão Rural)"/>
        <s v="Programa de Café e Cultivos Industriais (Pesquisa)"/>
        <s v="Café (Extensão Rural)"/>
        <s v="Proteção de Plantas (Pesquisa)"/>
        <s v="Fruticultura (Extensão Rural)"/>
        <s v="Engenharia Rural (Pesquisa)"/>
        <s v="Estação de Pesquisa de Guarapuava"/>
        <s v="Ciências Veterinárias e Zootecnia (Pesquisa)"/>
        <s v="Energias Renováveis (Extensão Rural)"/>
        <s v="Divisão de Carreira e Capacitação"/>
        <s v="Divisão de Administração, Patrimônio e Frotas"/>
        <s v="Promoção Social e Cidadania (Extensão Rural)"/>
        <s v="Agroindústria Familiar"/>
        <s v="Produção de Grãos (Extensão Rural)"/>
        <s v="Organização Rural e Mercado (Extensão Rural)"/>
        <s v="Agroecologia (Extensão Rural)"/>
        <s v="Sanidade Animal (Extensão Rural)"/>
        <s v="Divisão de Compras, Contratos e Almoxarifado"/>
        <s v="Estação de Pesquisa de Palotina"/>
        <s v="Sustentabilidade (Extensão Rural)"/>
        <s v="Sericultura (Extensão Rural)"/>
        <s v="Divisão Financeira"/>
        <s v="Divisão de Relações de Trabalho"/>
        <s v="Estação de Pesquisa de Londrina"/>
        <s v="Programa de Grãos Sustentáveis - Feijão e Cultivos de Inverno (Pesquisa)"/>
        <s v="Pecuária de Corte (Extensão Rural)"/>
        <s v="Estação de Pesquisa de Paranavaí"/>
        <s v="Programa de Fruticultura (Pesquisa)"/>
        <s v="Piscicultura (Extensão Rural)"/>
      </sharedItems>
    </cacheField>
    <cacheField name="N° SAF" numFmtId="0">
      <sharedItems containsString="0" containsBlank="1">
        <m/>
      </sharedItems>
    </cacheField>
    <cacheField name="Informar título da Capacitação " numFmtId="0">
      <sharedItems>
        <s v="XVI Encontro Nacional da Sociedade Brasileira de Economia Ecológica (ECOECO)"/>
        <s v="IV Simpósio Brasileiro de Solos Arenosos"/>
        <s v="20° Encontro Nacional do Sistema Plantio Direto e 3° Encontro Mundial do Sistema Plantio Direto"/>
        <s v="Capacitação em sistema Plantio Direto"/>
        <s v="58º Congresso Brasileiro de Olericultura"/>
        <s v="20º Encontro Nacional do Sistema Plantio Direto e o 3º Encontro Mundial"/>
        <s v="MISSÃO TÉCNICA COM O SEBRAE"/>
        <s v="EGF 2026"/>
        <s v="31st EGF (European Grassland Federation) General Meeting"/>
        <s v="ISF World Seed Congress 2026"/>
        <s v="ICAR2026 - International Conference on Arabidopsis Research"/>
        <s v="Congresso de Sistemas Agroflorestais"/>
        <s v="Soils for Europe: Healthy Soils for a Sustainable Future"/>
        <s v="Canvas (Crop, Agronomic, Environmental, &amp; Soil Sciences)"/>
        <s v="Visita técnica para Itália"/>
        <s v="Missão técnica aos Laboratórios Vivos projeto GRANULAR  do International Centre for Advanced Mediterranean Agronomic Studies (CIHEAM)."/>
        <s v="XI Congresso Latinoamericano de Agroecologia."/>
        <s v="The AI Developer Conference"/>
        <s v="76º Congresso Nacional de Botânica (CNBot)"/>
        <s v="INTERLEITE BRASIL 2026"/>
        <s v="Zootec 2026"/>
        <s v="Congresso Brasileiro de Zootecnia - ZOOTEC 2026"/>
        <s v="SBZ 2026"/>
        <s v="Congresso Brasileiro de Pesquisas Cafeeiras"/>
        <s v="Semana internacional do café"/>
        <s v="Expocafé 2026"/>
        <s v="Semana Internacional do Cafe"/>
        <s v="Fenicafé"/>
        <s v="Congresso Brasileiro de Café"/>
        <s v="50º Congresso Brasileiro de Pesquisas Cafeeiras"/>
        <s v="frutas vermelhas (amora preta, framboesa, morango e mirtilo))"/>
        <s v="II ENCONTRO NACIONAL DE TÉCNICOS EM TURISMO RURAL DA EXTENSÃO RURAL OFICIAL"/>
        <s v="Congresso Brasileiro de Engenharia Agrícola (CONBEA) 2026"/>
        <s v="Preparação Entrevistadores Diagnóstico Carecterização Leite 2026"/>
        <s v="Sistemas de Produção das Propriedade Leiteira"/>
        <s v="Nutrição Rebanhos Leiteiros"/>
        <s v="Sistemas Confinados e a Produção de Leite"/>
        <s v="Seminários Estaduais Leite IDR-Paraná"/>
        <s v="AGROLEITE 2026"/>
        <s v="Manejo e Nutrição de Vacas Leiteiras"/>
        <s v="Gestão na Pecuária Leiteira"/>
        <s v="LIV CONGRESSO BRASILEIRO DE ENGENHARIA AGRÍCOLA"/>
        <s v=" LIV CONGRESSO BRASILEIRO DE ENGENHARIA AGRÍCOLA"/>
        <s v="DIRECIONAMENTO AUTOMÁTICO DE MÁQUINAS"/>
        <s v="MECÂNICO DE VEICULOS ALTO MOTOR "/>
        <s v="OPERAÇÃO E MANUTENÇÃO DE COLHEITADEIRAS TANGENCIAS "/>
        <s v="ELETRECISTA DE VEICULOS ALTOMOTORES DE ELÉTRICA BÁSICA"/>
        <s v="GESTÃO DE PESSOAS MÉTODOS PRÁTICOS"/>
        <s v="INFORMÁTICA AVANÇADA"/>
        <s v="TRABALHADOR COM ROÇADEIRA COSTAL"/>
        <s v="1 ETAPA - Nutrição/Formulação de dieta Bovinos de leite"/>
        <s v="Sistema de Plantio Direto em Hortaliças e Frutas"/>
        <s v="2 Modulo - Nutrição / formulação de dietas bovinos de leite"/>
        <s v="3 Modulo Nutrição / Formulação dieta Bovinos de leite"/>
        <s v="5 Modulo Nutrição / formulação de dieta Bovino de leite"/>
        <s v="Capacitação da Comissão de avaliação - propriedade leiteira sustentável"/>
        <s v="Congresso Mundial Brangus 2026 "/>
        <s v="Sistemas agroflorestais cafeeiro-seringueira no contexto das mudanças climáticas"/>
        <s v="XXIII Congresso Brasileiro de Sementes "/>
        <s v="Show Rural Coopavel"/>
        <s v="8º Fórum Sul Brasileiro de Biogás e Biometano"/>
        <s v="Expoingá"/>
        <s v="Via Tecnológica do Leite"/>
        <s v="Agroleite"/>
        <s v="Metodologias em Extensão Rural - Módulo III: Caracterização do Espaço de Atuação do Extensionista"/>
        <s v="Curso de Produção de Microorganismos em meio sólido"/>
        <s v="Reciclagem do Portifólio de Espécies de Hortaliças da Empresa Sakata"/>
        <s v="Reunião Técnica sobre Controle Patrimonial x Contabilidade"/>
        <s v="Saneamento Básico Rural"/>
        <s v="Classificação e Degustação de Café - Metodologia COB - MODULO 1"/>
        <s v="Curso Solidworks"/>
        <s v="Qualificação em Agroindútria com abordagem em metodologia participativa na gestão"/>
        <s v="Qualificação em agroindútria com abordagem em metodologia participativa em gestão - 2ª etapa"/>
        <s v="Qualificação em agroindútria com abordagem em metodologia participativa em gestão - 3ª etapa"/>
        <s v="Qualificação em agroindústria com abordagem em metodologia participativa em gestão – 4ª etapa"/>
        <s v="Qualificação em agroindústria com abordagem em metodologia participativa em gestão – 5ª etapa"/>
        <s v="Qualificação em agroindústria com abordagem em metodologia participativa em gestão – 6ª etapa"/>
        <s v="Qualificação em agroindústria com abordagem em metodologia participativa em gestão – 7ª etapa"/>
        <s v="Queijos Nobres Paraná - Turma 01"/>
        <s v="Queijos Nobres Paraná - Turma 02"/>
        <s v="Queijos Nobres Paraná - Turma 03"/>
        <s v="Queijos Nobres Paraná - Turma 04"/>
        <s v="Cultivo do Maracujazeiro"/>
        <s v=" Solidworks"/>
        <s v="Programação Java"/>
        <s v="Programação Java Web"/>
        <s v="Programação JavaScript"/>
        <s v="Programação Python"/>
        <s v="Pos doutorado"/>
        <s v="Produção e comercialização do Mamão"/>
        <s v="Produção e comercialização de Citricultura Modulo I"/>
        <s v="Produção e comercialização de banana"/>
        <s v="Produção e comercialização de Pitaya"/>
        <s v="Produção e comercialização de abacate"/>
        <s v="Manejo Integrado de Pragas do Feijão - MIP-Feijão 3ª edição."/>
        <s v="Cultivo de cereais de inverno e manejo das principais cultivares do IDR-Paraná"/>
        <s v="Cultivo de feijão e manejo das principais cultivares do IDR-Paraná"/>
        <s v="Queijos Nobres Paraná - Turma 05"/>
        <s v="Queijos Nobres Paraná - Turma 06"/>
        <s v="Queijos Nobres Paraná - Turma 07"/>
        <s v="Queijos Nobres Paraná - Turma 08"/>
        <s v="Queijos Nobres Paraná - Turma 09"/>
        <s v="40 Reunião de Pesquisa de Soja"/>
        <s v="Treino Visita em Café - Março"/>
        <s v="Alta Performance no Ambiente de Trabalho"/>
        <s v="Implementação Guiada dos Programas de Autocontrole (PACs) - Módulo 1"/>
        <s v="Implementação Guiada dos Programas de Autocontrole (PACs) - Módulo 2"/>
        <s v="Implementação Guiada dos Programas de Autocontrole (PACs) - Módulo 3"/>
        <s v="Implementação Guiada dos Programas de Autocontrole (PACs) - Módulo 4"/>
        <s v="Implementação Guiada dos Programas de Autocontrole (PACs) - Módulo 5"/>
        <s v="Implementação Guiada dos Programas de Autocontrole (PACs) - Módulo 6"/>
        <s v="Implementação Guiada dos Programas de Autocontrole (PACs) - Módulo 7"/>
        <s v="Implementação Guiada dos Programas de Autocontrole (PACs) - Módulo 8"/>
        <s v="Curso de Gestão Tributária/Contábil/Financeira Cooperativista"/>
        <s v="Comunicação e Técnicas de Apresentação"/>
        <s v="Noções básicas em microbiologia de alimentos"/>
        <s v="Visita técnica a indústrias "/>
        <s v="Gestão de Pessoas - métodos operacionais - 80 h"/>
        <s v="Produção e Uso de Bioinsumos"/>
        <s v="Insumos liberados para Uso produção Orgânica"/>
        <s v="Congresso Brasileiro da Ciência das Plantas Daninhas 2026"/>
        <s v="40ª Reunião de Pesquisa de Soja "/>
        <s v="Treino Visita em Café - Junho"/>
        <s v="Treino Visita em Café - Setembro"/>
        <s v="Juri do Concurso de Café"/>
        <s v="Encontro técnico de Alho Livre de Vírus"/>
        <s v="Produção de Batata doce livre de vírus"/>
        <s v="Classificação e Degustação de Café - Metodologia COB - MODULO 2"/>
        <s v="fitossanidade e tecnologia de aplicação em fruticultura"/>
        <s v="Produção de Bioinsumos"/>
        <s v="Frutas Vermelhas (Amora Preta, Framboesa, Mirtilo)"/>
        <s v="Produção de mudas de hortaliças"/>
        <s v="Produção a comercialização Modulo II"/>
        <s v="Produção Programada de hortaliças"/>
        <s v="Cultivo de Mandioca de mesa"/>
        <s v="Produção e comercialização na Viticultura - REVITIS"/>
        <s v="Cultivo de morango seguindo a metodologia de treino e visita"/>
        <s v="Cultivo de Morangueiro"/>
        <s v="Pós-graduação Lato sensu FERTILEADER - FERTIRRIGAÇÃO DE ALTA PERFORMANCE (Reconhecida pelo MEC)"/>
        <s v="Treinamento dos servidores no uso correto do SisPont, e-protocolo e Central de ViagensONT"/>
        <s v="Curso de Instrumentalidade na Assessoria Gerencial para Cooperativas da Agricultura Familiar"/>
        <s v="Encerramento Concurso Café Qualidade Paraná - Etapa 2026"/>
        <s v="Capacitação em meliponicultura"/>
        <s v="Capacitação em apicultura módulo avançado"/>
        <s v="Capacitação básica em apicultura Módulo I"/>
        <s v="Pos colheita, embalagem e comercialização"/>
        <s v="Produção e comercialização Frutas de caroço (Pessego, Nectarina, Ameixa, Nespera)"/>
        <s v="Compras publicas na prática: GRMS, SRP, COMPRA DIRETA, LICITAÇÃO, CONTRATAÇÃO EVENTOS (CREDENCIAMENTO)"/>
        <s v="Capaitação Programa de Aquisição de Alimentos"/>
        <s v="Trabalhador em Altura - NR 35"/>
        <s v="Produção e comercialização de frutas de caroço Modulo II"/>
        <s v="Primeiro Socorros"/>
        <s v="Produção e comercialização de Maçã e Pera Modulo I"/>
        <s v="Curso de QGIS aplicado ao manejo de bacias hidrográficas"/>
        <s v="PLANO DE CAPACITAÇÃO PARA EXTENSIONISTAS DO PROJETO SERICICULTURA – IDR-PARANÁ"/>
        <s v="Oficina de elaboração e retificação de CAR"/>
        <s v="Produção e comercialização de Maçã e Pera Modulo II"/>
        <s v="Regularização ambiental da propriedade rural"/>
        <s v="Drones na Gestão Ambiental e Hidrológica de Microbacias"/>
        <s v="Gestão Hídrica e Conservação da Água no Meio Rural"/>
        <s v="Capacitação em Gestão de Almoxarifado: Controle de Entrada, Saída e Movimentação no GMS"/>
        <s v="Produção e comercialização de Goiaba"/>
        <s v="Aperfeiçoamento em Rotinas Financeiras e Uso dos Sistemas Corporativos"/>
        <s v="Produção e comercialização de abacaxi"/>
        <s v="Boas Práticas na Gestão da Frota: Manutenções, Multas, Acidentes e Procedimentos Administrativos"/>
        <s v="Capacitação em Patrimônio Público: Inventário, Movimentação Física, leilão e Uso do GPM"/>
        <s v="Capacitação em Gestão Patrimonial: Regularidade de Bens Imóveis, Procedimentos de Cessão e Doação e Operacionalização do GPMuso do GPM"/>
        <s v="Introdução a análise estatística e teste de médias com o programa R"/>
        <s v="Oficina de Protocolo para Organizações da Agricultura Familiar"/>
        <s v="Boas Práticas na Central de Viagens do Governo do Paraná: Planejamento, Orientações e Controle"/>
        <s v="Capacitação Integrada Políticas Públicas de Inclusão Social e Produtiva - CURITIBA "/>
        <s v="Boas Práticas em RH: Fluxos e Processos para Estatutários e Celetistas"/>
        <s v="Capacitação Integrada Políticas Públicas de Inclusão Social e Produtiva - NORTE "/>
        <s v="Oficina de Instrumentalidade na assessoria gerencial para organizações da agricultura familiar"/>
        <s v="Capacitação Integrada Políticas Públicas de Inclusão Social e Produtiva NOROESTE"/>
        <s v="Capacitação Integrada Políticas Públicas de Inclusão Social e Produtiva LARANJEIRAS DO SUL"/>
        <s v="XXIII Congresso Brasileiro de Sementes"/>
        <s v="Oficina integrada de Segurança alimentar e nutricional "/>
        <s v="Pós-Doutorado"/>
        <s v="Simpósio Nacional de Feijão"/>
        <s v="Viticultura REVITIS"/>
        <s v="Certificação Origem Fitossanitaria (CFO) da Banana"/>
        <s v="Curso Sonar - SEBRAE"/>
        <s v="Pós-Graduação em  Estatística com ênfase em Pesquisa Quantitativa"/>
        <s v="Curso de Microrganismos Aplicado a Agricultura da PECCA-UFPR"/>
        <s v="Reunião Brasileira Pesquisa Soja"/>
        <s v="5° Congresso Internacional de Engenharia Ambiental"/>
        <s v="Curso de tecnologia de aplicação"/>
        <s v="MOATRIGO 2026 "/>
        <s v="XXII Congresso Brasileiro de Sementes"/>
        <s v="MOATRIGO 2026"/>
        <s v="Formação e capacitação em conselhos"/>
        <s v="Módulo I do Curso em Agroecologia"/>
        <s v="Módulo II do Curso em Agroecologia"/>
        <s v="Módulo III do Curso em Agroecologia"/>
        <s v="Módulo IV do Curso em Agroecologia"/>
        <s v="Módulo V do Curso em Agroecologia"/>
        <s v="Módulo VI do Curso em Agroecologia"/>
        <s v="Módulo VII do Curso em Agroecologia"/>
        <s v="Módulo VIII do Curso em Agroecologia"/>
        <s v="Oficinas Prática de Bioinsumos"/>
        <s v="Oficina Prática de Elaboração de Bioinsumos"/>
        <s v="Reunião Estadual de Agroecologia"/>
        <s v="Certificação fitossanitaria de Origem - Banana"/>
        <s v="Fertirrigação na Fruticultura"/>
        <s v="Fruticultura Oeste Modulo I"/>
        <s v="Fruticultura Oeste Modulo II - Banana"/>
        <s v="Fruticultura Oeste Modulo III - Oeste"/>
        <s v="fruticultura Oeste Modulo IV - Morango"/>
        <s v="Fitossanidade e tecnologia de aplicação em fruticultura modulo II"/>
        <s v="Gestão Financeira e Zootécnica na Bovinocultura"/>
        <s v="Congresso Mundial Brangus"/>
        <s v="Atualização em boas práticas na produção da soja"/>
        <s v="Curso de Produção de Soja - Módulo Manejo Fitossanitário"/>
        <s v="Reunião de Pesquisa da Soja"/>
        <s v="Consórcio Milho com Braquiária"/>
        <s v="Manejo Integrado de Pragas do Milho"/>
        <s v="Manejo e conservação de Solos"/>
        <s v="Manejo de Plantas Daninhas e Herbicidas"/>
        <s v="Fertilidade do solo para cultivo de grãos"/>
        <s v="Plantas de Cobertura"/>
        <s v="Ecofisiologia de soja, milho, feijão e trigo"/>
        <s v="Bioinsumos"/>
        <s v="Uso de aminoácidos e estimulantes na soja"/>
        <s v="Curso de Calagem e Adubação de Frutíferas"/>
        <s v="40º Reunião de Pesquisa de Soja"/>
        <s v="Introdução aos fundamentos da Avaliação de Valor do Café (CVA)"/>
        <s v="Introdução aos fundamentos da torra do café"/>
        <s v="Certificate em Gestão Ágil e Enxuta"/>
        <s v="Capacitação básica em apicultura Módulo II"/>
        <s v="Treinamento Dale Carnegie"/>
        <s v="Coursera para Governos"/>
        <s v="Curso de MOPP"/>
        <s v="8º ENCONTRO ESTADUAL DE ORGANIZADORES DE CAMINHADA"/>
        <s v="ENCONTRO ESTADUAL DE ENOTURISMO"/>
        <s v="VERÃO GASTRONÔMICO"/>
        <s v="PRIMAVERA GASTRONOMICA"/>
        <s v="OUTONO GASTRONÔMICO"/>
        <s v="INVERNO GASTRONÔMICO"/>
        <s v="Capacitação de Egressos do PSS"/>
        <s v="Seminário RESTEC"/>
        <s v="Seminário de Pós-Graduação"/>
        <s v="Metodologia Paranavaí Módulo III - Caracterização do espaço de atuação do extensionista"/>
        <s v="Saúde mental no e pelo trabalho"/>
        <s v="40º Congresso Brasileiro de Nematologia"/>
        <s v="XX Congresso Brasileiro de Fisiologia Vegetal"/>
        <s v="Fruticultura irrigada Petrolina"/>
        <s v="22o. Simpósio de Estatística Aplicada à Experimentação Agronômica (SEAGRO)"/>
        <s v="XLV Reunião Brasileira de Pesquisa em Aveia"/>
        <s v="64º Congresso da Sociedade Brasileira de Economia, Administração e Sociologia Rural e XVI Congresso Mundial de Sociologia Rural "/>
        <s v="XVL Reunião da Comissão Brasileira de Pesquisa de Aveia"/>
        <s v="Viticultura (Orgânica) e Fruticultura Serra Gaucha"/>
        <s v="64o. Congresso da Sociedade Brasileira de Economia, Administração e Sociologia Rural - SOBER"/>
        <s v="XIX ENFRUTE"/>
        <s v="XXXV Congresso Brasileiro de Milho e Sorgo"/>
        <s v="XXVIII Simpósio de Plantas Medicinais do Brasil (SPMB)"/>
        <s v="Prêmio Queijo Brasil"/>
        <s v="5 FRUSUL - Simposio Fruticultura da Região Sul"/>
        <s v="Produção e comercialização de Pitaya na Epagri"/>
        <s v="Produção e comercialização de banana EPAGRI"/>
        <s v="35º Congresso Nacional de Milho e Sorgo  1ª Conferência Latino Americana sobre milhos tradicionais,"/>
        <s v="XIX Enfrute e III SEMCO"/>
        <s v="SUL LEITE"/>
        <s v="35º Congresso Nacional de Milho e Sorgo"/>
        <s v="Curso de Processamento de Uva "/>
        <s v="Congresso Técnico-Científico de Agricultura Orgânica 2026"/>
        <s v="RH Summit"/>
        <s v="Congresso Brasileiro de Agroecologia"/>
        <s v="Feira de Pecuária de Corte (FEICORTE)"/>
        <s v="Qualificação no Sistema de Manejo da Pecuária de Corte 7-7-7 - BEEFDAY"/>
        <s v="Congr Téc Científico de Agricultura Orgânica"/>
        <s v="Produção de Bioinsumos em meio Sólido "/>
        <s v="HORTITEC 2026"/>
        <s v="Primeiro Congresso Técnico-Científico de Agricultura Orgânica,"/>
        <s v="The 10th International Symposium on Soil Organic Matter (SOM2026)"/>
        <s v="Capacitação em charcutaria de pescados"/>
        <s v="São Paulo Coffee Festival"/>
        <s v="Simposio Brasileiro de Pitaya"/>
        <s v="FERTBRASIL"/>
        <s v=" International Congress on Advances in Sensory Science and Consumer Research"/>
        <s v="51ª Expocitros e 47ª Semana da Citricultura."/>
        <s v="Hortitec 2026 - Holambra"/>
        <s v="Frutas Potenciais (Lichia, Caqui, Atemoia)"/>
        <s v="Feicorte - Feira Internacional da Cadeia Produtiva da Carne"/>
        <s v="Nutrição de Bovinos de Corte"/>
        <s v="Milk Pro Summit 2026"/>
        <s v="Produção de Lambari em estufas no sistema RAS"/>
        <s v="PRODUÇÃO DE PEIXES SISTEMA RAS"/>
        <s v="IX Congresso Brasileiro de Recursos Genéticos"/>
      </sharedItems>
    </cacheField>
    <cacheField name="Metodologia da Capacitação" numFmtId="0">
      <sharedItems>
        <s v="Encontro"/>
        <s v="Simpósio"/>
        <s v="Congresso"/>
        <s v="Excursão"/>
        <s v="Conferência"/>
        <s v="Visita Técnica"/>
        <s v="Feira"/>
        <s v="Exposição"/>
        <s v="Oficina"/>
        <s v="Curso"/>
        <s v="Seminário"/>
        <s v="Palestra"/>
        <s v="Fórum"/>
        <s v="Reunião Técnica"/>
        <s v="Concurso"/>
        <s v="Dia de Campo"/>
      </sharedItems>
    </cacheField>
    <cacheField name="N° de participantes do IDR-Paraná">
      <sharedItems containsMixedTypes="1" containsNumber="1" containsInteger="1">
        <n v="1.0"/>
        <n v="3.0"/>
        <n v="2.0"/>
        <n v="10.0"/>
        <n v="5.0"/>
        <n v="8.0"/>
        <s v="01"/>
        <n v="4.0"/>
        <s v="09"/>
        <n v="100.0"/>
        <n v="80.0"/>
        <n v="30.0"/>
        <n v="50.0"/>
        <n v="25.0"/>
        <s v="02"/>
        <s v="06"/>
        <n v="20.0"/>
        <n v="60.0"/>
        <n v="35.0"/>
        <n v="17.0"/>
        <n v="11.0"/>
        <n v="15.0"/>
        <n v="18.0"/>
        <n v="40.0"/>
        <n v="14.0"/>
        <n v="75.0"/>
        <n v="7.0"/>
        <n v="52.0"/>
        <n v="43.0"/>
        <n v="63.0"/>
        <s v="05"/>
        <n v="44.0"/>
        <n v="16.0"/>
        <n v="42.0"/>
        <n v="90.0"/>
        <n v="23.0"/>
        <n v="168.0"/>
        <n v="133.0"/>
        <n v="29.0"/>
        <n v="38.0"/>
        <s v="03"/>
        <s v="08"/>
        <n v="13.0"/>
      </sharedItems>
    </cacheField>
    <cacheField name="Informar nome dos participantes (se houver) ">
      <sharedItems containsBlank="1" containsMixedTypes="1" containsNumber="1" containsInteger="1">
        <s v="Tiago Santos Telles"/>
        <s v="Jonez Fidalski"/>
        <s v="Josiane Burkner dos Santos"/>
        <s v="Ronaldo Hissayuki Hojo&#10;Luiz Antonio Odenath Penha&#10;Ivan Bordin"/>
        <s v="Graziela Moraes de Cesare Barbosa e Josiane Burkner dos Santos"/>
        <m/>
        <s v="Joice Mari Assmann"/>
        <s v="Ivan Bordin"/>
        <n v="1.0"/>
        <s v="Sidney Aurelio Valeriano Ramos, Ailton Rojas Poppi, Delma Fabiola Ferreira da Silva, Rogerio da Silva Almeida e Varlei Toller"/>
        <s v="Laíse da Silveira Pontes"/>
        <s v="Josiane Cristina de Assis Aliança"/>
        <s v="Juarez Pires Tomaz"/>
        <s v="Maristela Pereira Carvalho Zanão"/>
        <s v="Luiz Antônio Zanão Júnior"/>
        <s v="Luciano Grillo Gil"/>
        <s v="Simone Grisa, Norma Kiyota e Moacir Roberto Darolt."/>
        <s v="Moacir Roberto Darolt"/>
        <s v="Luciano Soler"/>
        <s v="Daniel Soares Alves"/>
        <s v="Gustavo Hiroshi Sera"/>
        <s v="Isabeli Pereira Bruno (pesquisadora); Ana Cláudia de Souza dos Santos (bolsista); Mariany Muzza da Silva (bolsista)."/>
        <s v="Dhalton Shiguer Ito"/>
        <s v="Patricia Helena Santoro"/>
        <s v="NÃO DEFINIDO"/>
        <s v="PABLO RICARDO NITSCHE"/>
        <s v="Anderson de Toledo"/>
        <s v="Hevandro Colonhese Delalibera"/>
        <s v="José Rosaldo Lima e Elieder "/>
        <s v="JOSÉ BORGES E JOCELINO"/>
        <s v="ELIEDER E JOCELINO"/>
        <s v="JOCELINO E JOSÉ BORGES"/>
        <s v="JOSÉ ROSALDO E JOSÉ BORGES"/>
        <s v="VERIDIANE "/>
        <s v="IDR - Paraná, Epagri, IFPR , Casas Familiares Rurais e Prefeituras"/>
        <s v="Roberto Oliveira dos Santos, Antonio Ricardo Milgioransa, Geraldo Pereira Lacerda, Herlon Goelzer de Almeida"/>
        <s v="Herlon Goelzer de Almeida, Antonio Ricardo Milgioransa, Roberto Oliveira dos Santos, Ivan Raupp, Leodacir Zuffo, Adauto de Jesus Medina, Cezar Paz, Ronaldo Fochesatto"/>
        <s v="Herlon Goelzer de Almeida, Antonio Ricardo Milgioransa, Roberto Oliveira dos Santos, Geraldo Lacerda"/>
        <s v="Herlon Goelzer de Almeida, Antonio Ricardo Milgioransa, Roberto Oliveira dos Santos, Cezar Paz"/>
        <s v="LEANDRO APARECIDO DE ARAUJO&#10;Mais 1 extensionista a definir"/>
        <n v="0.0"/>
        <s v="Claudemir Jorge Lemes"/>
        <s v="João Ari Gualberto Hill"/>
        <s v="Toda equipe da Estação de Pesquisa de Guarapuava"/>
        <s v="Técnicos e bolsista que estão na Estação de Pesquisa"/>
        <s v="Luiz Antonio Odenath Penha"/>
        <s v="CELSO HELBEL JUNIOR"/>
        <s v="Carolina Maria Gaspar de Oliveira"/>
        <s v="André Luiz Oliveira de Francisco"/>
        <s v="Graziela Moraes de Cesare Barbosa e José Francirlei de Oliveira"/>
        <s v="Luiz Gustavo dos Santos e Roberto Ribeiro dos Santos"/>
        <s v="Juliana Sawada Buratto e Carlos Roberto Riede"/>
        <n v="2.0"/>
        <s v="Carlos Roberto Riede e Juliana Sawada Buratto"/>
        <s v="Janaina Dartora"/>
        <s v="Marcelo Vieira da Rocha"/>
        <s v="Dhalton Shiguer Ito&#10;Orazilia França Dorigo"/>
        <s v="Inês Fumiko Ubukata Yada"/>
        <s v="Josiane Cristina de Assis Aliança "/>
        <s v="Klever Márcio Antunes Arruda, Carlos Roberto Riede"/>
        <s v="Carlos Roberto Riede e Klever Márcio Antunes Arruda"/>
        <s v="Tiago Pellini, Norma Kiyota e Tiago Santos Telles"/>
        <s v="Clandio Medeiros da Silva, Evandro Garlet, Clóvis Roberto Hoffmann"/>
        <s v="Camila Cristina Negrão de Andrade, Jairo da Silva Rocha, Sandra Mara Guedes"/>
        <s v="Paulo Sérgio Beraldo, Valdinei Garcia Fernandes, Luiza Rocha Ribeiro Calixtro, Maurício Castro Alves"/>
        <s v="Adriano Machado da Silva e Mariana Elisa Muller"/>
        <s v="Tiago Pellini"/>
      </sharedItems>
    </cacheField>
    <cacheField name="Instituição parceira">
      <sharedItems containsMixedTypes="1" containsNumber="1" containsInteger="1">
        <s v="Sociedade Brasileira de Economia Ecológica – ECOECO."/>
        <s v="Não se aplica"/>
        <s v="FEBRAPDP"/>
        <s v="ABH"/>
        <s v="FEBRAPDP e ENSPD"/>
        <s v="Federação Brasileira de Plantio Direto na Palha"/>
        <s v="não há"/>
        <s v="SEBRAE"/>
        <s v="European Grassland Federation"/>
        <s v="Universidade de Évora, Portugal"/>
        <s v="Federação Internacional de Sementes (ISF)"/>
        <s v="Fundação Araucária"/>
        <s v="International Centre for Advanced Mediterranean Agronomic Studies (CIHEAM)."/>
        <s v="Sociedad Científica Latinoamericana de Agroecologia (SOCLA)"/>
        <s v="Sociedade Botânica do Brasil"/>
        <s v="Milk Point"/>
        <s v="Universidade Federal de Viçosa"/>
        <s v="UFV"/>
        <s v="Universidade Federal de Lavras"/>
        <s v="Consórcio Brasileiro de Pesquisa e Desenvolvimento do Café - Consórcio Pesquisa Café"/>
        <s v="Não há."/>
        <s v="sca "/>
        <s v="epamig"/>
        <s v="procafé"/>
        <s v="Nãos e aplica"/>
        <s v="A negociar"/>
        <s v="Governo de Minas Gerais"/>
        <s v="Emater MG"/>
        <s v="EMATER-MG"/>
        <s v="SENAR"/>
        <s v="APCBRH / SENAR"/>
        <s v="Cooperativa Castrolanda / APCBRH"/>
        <s v="UDESC e APCBRH"/>
        <s v="APCBRH e SENAR"/>
        <s v="Cooperativa Castrolanda"/>
        <s v="Educa Point"/>
        <s v="SBEA"/>
        <s v="não"/>
        <s v="SENAR - PR"/>
        <s v="SENAR -PR"/>
        <s v="CLICK CURSOS"/>
        <s v="IDR-Paraná"/>
        <s v="Epagri, IFPR , Casas Familiares Rurais e Prefeituras"/>
        <s v="IDR - Paraná"/>
        <s v="FETAEP / Sindicato dos Trabalhadores Rurais"/>
        <s v="Associação Brasileira de Brangus"/>
        <s v="Escola de Gestão do Paraná"/>
        <s v="Associação Brasileira de Tecnologia de Sementes (Abrates)"/>
        <s v="FAEP/SENAR e CIBIOGAS"/>
        <s v="Faep/SEANAR e Cibiogas"/>
        <s v="Faep/Senar"/>
        <s v="IFSP - Avaré-SP"/>
        <s v="Sakata"/>
        <s v="IDR- Paraná"/>
        <s v="IAT"/>
        <s v="Fapeagro"/>
        <s v="ON BYTE LONDRINA"/>
        <s v="UEM"/>
        <s v="Biopark, SEIC"/>
        <s v="Biopark/SEIC"/>
        <s v="UFPR"/>
        <s v="Fundação Meridional e Embrapa Soja"/>
        <s v="Embrapa Arroz e Feijão"/>
        <s v="Embrapa Soja"/>
        <s v="CEBRAC"/>
        <s v="Conselho Regional de Contabilidade"/>
        <s v="UEPG"/>
        <s v="IFSP - Instituto Federal de Educação, Ciência e Tecnologia de São Paulo, Campus Avaré"/>
        <s v="MAPA e certificadoras"/>
        <s v="Sociedade Brasileira da Ciência das Plantas Daninhas"/>
        <s v="EMBRAPA"/>
        <s v="Nenhuma"/>
        <s v="Embrapa, Senar"/>
        <s v="Não tem"/>
        <s v="Fetaep"/>
        <s v="FAEP/SENAR; SEAGRI"/>
        <n v="0.0"/>
        <s v="FAEP - PR"/>
        <s v="CEASA/UEL"/>
        <s v="EMBRAPA/UTFPR/UEPG"/>
        <s v="IDR-Parana, Escola de Gestão."/>
        <s v="DESAN/SEAB/SEFA"/>
        <s v="UEPG/UTFPR/UFPR/EMBRAPA"/>
        <s v="UTFPR/EPAGRI/IFPR"/>
        <s v="SANEPAR, IAT, IDR-Paraná e UEM"/>
        <s v="SEAB/DERAL, ADAPAR, UEM, UNIOESTE e UFPR"/>
        <s v="IFPR; UTFPR, EPAGRI"/>
        <s v="IDR-Paraná, IAT"/>
        <s v="IDR-Paraná, SENAR"/>
        <s v="IDR-Paraná, Sanepar, IAT"/>
        <s v="Escola de Gestão"/>
        <s v="Empresas, Cooperativas"/>
        <s v="Escola de Gestão "/>
        <s v="SEAB e SEDEF"/>
        <s v="SEAB e  SEDEF"/>
        <s v="Abrates"/>
        <s v="Programa de Agroecologia "/>
        <s v="UNIOESTE"/>
        <s v="IBRAFE"/>
        <s v="SEAB/FAEP/SENAR"/>
        <s v="ADAPAR/MAPA"/>
        <s v="UEL"/>
        <s v="UTFPR"/>
        <s v="Sinditrigo"/>
        <s v="SINDITRIGO - Sindicato das Indústrias de Trigo"/>
        <s v="IDR-PR"/>
        <s v="Adapar"/>
        <s v="Empresas"/>
        <s v="FAEP/SENAR VINOPAR SEAB"/>
        <s v="MagnoJet/FAEP?SENAR"/>
        <s v="Esteio Gestão Agropecuária"/>
        <s v="Embrapa Soja e Senar-PR"/>
        <s v="Rede Agropesquisa"/>
        <s v="Embrapa Soja e outras"/>
        <s v="Faculdade de Belas Artes"/>
        <s v="Treinamento de Relações Humanas e Comunicação Eficaz"/>
        <s v="Coursera"/>
        <s v="PREFEITURAS MUNICIPAIS"/>
        <s v="UNICENTRO Campus Irati"/>
        <s v="Sociedade Brasileira de Nematologia"/>
        <s v="Regional Brasileira da Sociedade Internacional de Biometria (RBras)"/>
        <s v="UNIPAMPA; SETREM: UFRGS: EPAGRI"/>
        <s v="Unipampa"/>
        <s v="Unipampa - Campus de Itaqui - RS"/>
        <s v="Emater Tche/Embrapa"/>
        <s v="Sociedade Brasileira de Economia, Administração e Sociologia Rural - SOBER"/>
        <s v="EPAGRI"/>
        <s v="ABMS - Associação Brasileira de Milho e Sorgo"/>
        <s v="Sociedade Brasileira de Plantas Medicinais"/>
        <s v="UNICAMP"/>
        <s v="APTA - São Paulo"/>
        <s v="UNICAMP-SP, Instituto Brasil Orgânico (IBO)"/>
        <s v="Empresas do setor horticultura"/>
        <s v="Instituto Brasil Orgânico"/>
        <s v="ESALQ"/>
        <s v="Projeto A.Mar"/>
        <s v="sca"/>
        <s v="APPIBRAS"/>
        <s v="IAC/FUNDECITRUS"/>
        <s v="CATI"/>
        <s v="Faep"/>
        <s v="Apta"/>
        <s v="Milkpoint"/>
        <s v="Não há "/>
        <s v="SOciedade Brasileira de Recursos Genéticos"/>
      </sharedItems>
    </cacheField>
    <cacheField name="N° participantes externos">
      <sharedItems containsMixedTypes="1" containsNumber="1" containsInteger="1">
        <n v="150.0"/>
        <n v="1.0"/>
        <n v="0.0"/>
        <n v="300.0"/>
        <n v="500.0"/>
        <n v="1000.0"/>
        <n v="30.0"/>
        <n v="350.0"/>
        <n v="4000.0"/>
        <n v="5.0"/>
        <n v="400.0"/>
        <n v="2000.0"/>
        <n v="27000.0"/>
        <n v="30000.0"/>
        <n v="10.0"/>
        <s v="03"/>
        <s v="?"/>
        <s v="00"/>
        <n v="4.0"/>
        <n v="15.0"/>
        <n v="600.0"/>
        <n v="11.0"/>
        <n v="20.0"/>
        <n v="25.0"/>
        <n v="35.0"/>
        <n v="2.0"/>
        <s v="01"/>
        <s v="08"/>
        <n v="6.0"/>
        <n v="1200.0"/>
        <n v="200.0"/>
        <n v="16.0"/>
        <n v="17.0"/>
        <n v="127.0"/>
        <n v="60.0"/>
        <n v="100.0"/>
        <n v="80.0"/>
        <n v="50.0"/>
        <n v="800.0"/>
        <n v="700.0"/>
        <n v="5000.0"/>
      </sharedItems>
    </cacheField>
    <cacheField name="Informe o Estado onde ocorrerá a capacitação" numFmtId="0">
      <sharedItems>
        <s v="Alagoas"/>
        <s v="Bahia"/>
        <s v="Distrito Federal"/>
        <s v="Espírito Santo"/>
        <s v="Exterior"/>
        <s v="Mato Grosso do Sul"/>
        <s v="Minas Gerais"/>
        <s v="Paraná"/>
        <s v="Pernambuco"/>
        <s v="Rio de Janeiro"/>
        <s v="Rio Grande do Sul"/>
        <s v="Santa Catarina"/>
        <s v="São Paulo"/>
      </sharedItems>
    </cacheField>
    <cacheField name="Informar município onde ocorrerá a capacitação" numFmtId="0">
      <sharedItems>
        <s v="Maceió"/>
        <s v="Luís Eduardo Magalhães"/>
        <s v="Brasília"/>
        <s v="Venda Nova do Imigrante"/>
        <s v="Portugal"/>
        <s v="Singapura"/>
        <s v="Costa Rica"/>
        <s v="Estados Unidos"/>
        <s v="Itália"/>
        <s v="França"/>
        <s v="Chile"/>
        <s v="Campo Grande"/>
        <s v="Uberlândia"/>
        <s v="Viçosa"/>
        <s v="Lavras"/>
        <s v="Belo Horizonte"/>
        <s v="Poços de Caldas"/>
        <s v="três pontas"/>
        <s v="Araguari"/>
        <s v="Varginha"/>
        <s v="Senador Amaral"/>
        <s v="FOZ DO IGUAÇU"/>
        <s v="Londrina"/>
        <s v="Curitiba"/>
        <s v="Castro"/>
        <s v="Ibiporã"/>
        <s v="GUARAPUAVA"/>
        <s v="Santo Antônio da Platina"/>
        <s v="União da Vitória"/>
        <s v="Wenceslau Braz"/>
        <s v="Cascavel"/>
        <s v="Maringá"/>
        <s v="Francisco Beltrão"/>
        <s v="Paranavaí"/>
        <s v="Carlópolis"/>
        <s v="Tomazina"/>
        <s v="Toledo"/>
        <s v="Pinhalão"/>
        <s v="Araucária"/>
        <s v="Piraquara"/>
        <s v="São José dos Pinhais"/>
        <s v="Piên"/>
        <s v="Lapa"/>
        <s v="Cerro Azul"/>
        <s v="Campo Largo"/>
        <s v="Palmeira"/>
        <s v="Ponta Grossa"/>
        <s v="Uraí"/>
        <s v="Irati"/>
        <s v="ASSIS CHATEAUBRIAND"/>
        <s v="Campo Mourão"/>
        <s v="Umuarama"/>
        <s v="Apucarana"/>
        <s v="Cornélio Procópio"/>
        <s v="Prudentópolis"/>
        <s v="Palotina"/>
        <s v="Palmas"/>
        <s v="Morretes"/>
        <s v="Paranaguá"/>
        <s v="Pinhais"/>
        <s v="Cianorte"/>
        <s v="Laranjeiras do Sul"/>
        <s v="Guaratuba"/>
        <s v="Pato Branco"/>
        <s v="Dois Vizinhos"/>
        <s v="Ivaiporã"/>
        <s v="Santa Tereza do Oeste"/>
        <s v="Ibaiti"/>
        <s v="NOVA LONDRINA"/>
        <s v="Rondon"/>
        <s v="JAPURÁ"/>
        <s v="Recife"/>
        <s v="Petrolina"/>
        <s v="Campos dos Goytacazes"/>
        <s v="Itaqui"/>
        <s v="Porto Alegre"/>
        <s v="Bento Gonçalves"/>
        <s v="Fraiburgo"/>
        <s v="Chapecó"/>
        <s v="Itajaí"/>
        <s v="Blumenau"/>
        <s v="Videira"/>
        <s v="CAMPINAS"/>
        <s v="São Paulo"/>
        <s v="Presidente Prudente"/>
        <s v="Colina"/>
        <s v="Avaré"/>
        <s v="holambra"/>
        <s v="Cordeirópolis"/>
        <s v="Mogi das Cruzes"/>
        <s v="Atibaia"/>
        <s v="Florianópolis"/>
      </sharedItems>
    </cacheField>
    <cacheField name="Data de Início" numFmtId="164">
      <sharedItems containsSemiMixedTypes="0" containsDate="1" containsString="0">
        <d v="2025-12-07T08:00:00Z"/>
        <d v="2025-09-01T08:00:00Z"/>
        <d v="2025-07-07T08:00:00Z"/>
        <d v="2025-07-21T08:00:00Z"/>
        <d v="2025-06-07T08:00:00Z"/>
        <d v="2025-03-03T08:00:00Z"/>
        <d v="2025-04-12T08:00:00Z"/>
        <d v="2025-05-18T08:00:00Z"/>
        <d v="2025-06-22T08:00:00Z"/>
        <d v="2025-07-06T08:00:00Z"/>
        <d v="2025-09-07T08:00:00Z"/>
        <d v="2025-10-31T08:00:00Z"/>
        <d v="2025-05-16T08:00:00Z"/>
        <d v="2025-11-25T08:00:00Z"/>
        <d v="2025-04-28T08:00:00Z"/>
        <d v="2025-10-11T08:00:00Z"/>
        <d v="2025-08-18T08:00:00Z"/>
        <d v="2025-05-20T08:00:00Z"/>
        <d v="2025-07-27T08:00:00Z"/>
        <d v="2025-10-27T08:00:00Z"/>
        <d v="2025-10-28T08:00:00Z"/>
        <d v="2025-11-11T10:00:00Z"/>
        <d v="2025-05-25T08:00:00Z"/>
        <d v="2025-10-24T08:00:00Z"/>
        <d v="2025-05-26T08:00:00Z"/>
        <d v="2025-11-11T08:00:00Z"/>
        <d v="2025-04-13T17:00:00Z"/>
        <d v="2025-10-01T08:00:00Z"/>
        <d v="2025-10-05T08:00:00Z"/>
        <d v="2025-09-15T08:30:00Z"/>
        <d v="2025-03-17T08:00:00Z"/>
        <d v="2025-08-04T08:00:00Z"/>
        <d v="2025-03-05T08:00:00Z"/>
        <d v="2025-06-10T08:00:00Z"/>
        <d v="2025-05-27T08:00:00Z"/>
        <d v="2025-04-29T08:00:00Z"/>
        <d v="2025-09-30T08:00:00Z"/>
        <d v="2025-07-24T08:00:00Z"/>
        <d v="2025-03-25T08:00:00Z"/>
        <d v="2025-06-01T08:00:00Z"/>
        <d v="2025-03-02T08:00:00Z"/>
        <d v="2025-05-04T08:00:00Z"/>
        <d v="2025-08-17T08:00:00Z"/>
        <d v="2025-04-06T08:00:00Z"/>
        <d v="2025-01-05T14:00:00Z"/>
        <d v="2025-03-20T08:00:00Z"/>
        <d v="2025-03-11T08:00:00Z"/>
        <d v="2025-04-23T08:00:00Z"/>
        <d v="2025-05-28T08:00:00Z"/>
        <d v="2025-11-26T08:00:00Z"/>
        <d v="2025-02-26T08:00:00Z"/>
        <d v="2025-03-12T08:00:00Z"/>
        <d v="2025-05-19T08:00:00Z"/>
        <d v="2025-08-25T08:00:00Z"/>
        <d v="2025-02-09T08:00:00Z"/>
        <d v="2025-04-14T09:00:00Z"/>
        <d v="2025-05-07T08:00:00Z"/>
        <d v="2025-08-24T08:00:00Z"/>
        <d v="2025-08-01T08:00:00Z"/>
        <d v="2025-04-07T08:00:00Z"/>
        <d v="2025-05-05T08:00:00Z"/>
        <d v="2025-04-10T13:00:00Z"/>
        <d v="2025-03-24T08:00:00Z"/>
        <d v="2025-02-02T08:00:00Z"/>
        <d v="2025-03-01T18:00:00Z"/>
        <d v="2025-02-25T08:00:00Z"/>
        <d v="2025-03-26T08:00:00Z"/>
        <d v="2025-04-15T08:00:00Z"/>
        <d v="2025-07-16T08:00:00Z"/>
        <d v="2025-09-17T08:00:00Z"/>
        <d v="2025-10-21T08:00:00Z"/>
        <d v="2025-04-08T08:00:00Z"/>
        <d v="2025-05-06T08:00:00Z"/>
        <d v="2025-02-10T08:00:00Z"/>
        <d v="2025-04-13T08:00:00Z"/>
        <d v="2025-04-20T08:00:00Z"/>
        <d v="2025-04-27T08:00:00Z"/>
        <d v="2025-05-01T08:00:00Z"/>
        <d v="2025-06-02T08:00:00Z"/>
        <d v="2025-10-06T08:00:00Z"/>
        <d v="2025-08-04T13:00:00Z"/>
        <d v="2025-11-10T13:00:00Z"/>
        <d v="2025-07-08T08:00:00Z"/>
        <d v="2025-08-05T08:00:00Z"/>
        <d v="2025-09-16T08:00:00Z"/>
        <d v="2025-10-07T08:00:00Z"/>
        <d v="2025-03-24T13:00:00Z"/>
        <d v="2025-03-09T08:00:00Z"/>
        <d v="2025-03-17T09:00:00Z"/>
        <d v="2025-04-15T09:00:00Z"/>
        <d v="2025-05-13T09:00:00Z"/>
        <d v="2025-06-15T09:00:00Z"/>
        <d v="2025-07-13T09:00:00Z"/>
        <d v="2025-08-17T09:00:00Z"/>
        <d v="2025-09-14T09:00:00Z"/>
        <d v="2025-10-19T09:00:00Z"/>
        <d v="2025-02-03T08:00:00Z"/>
        <d v="2025-03-16T08:00:00Z"/>
        <d v="2025-06-05T08:30:00Z"/>
        <d v="2025-06-11T09:00:00Z"/>
        <d v="2025-02-17T08:00:00Z"/>
        <d v="2025-04-16T08:00:00Z"/>
        <d v="2025-08-03T08:00:00Z"/>
        <d v="2025-06-16T13:00:00Z"/>
        <d v="2025-09-15T13:00:00Z"/>
        <d v="2025-10-26T12:00:00Z"/>
        <d v="2025-03-31T08:00:00Z"/>
        <d v="2025-04-14T08:00:00Z"/>
        <d v="2025-02-23T08:00:00Z"/>
        <d v="2025-08-04T08:30:00Z"/>
        <d v="2025-04-21T08:30:00Z"/>
        <d v="2025-03-23T08:00:00Z"/>
        <d v="2025-09-01T08:30:00Z"/>
        <d v="2025-05-19T08:30:00Z"/>
        <d v="2025-02-01T08:00:00Z"/>
        <d v="2025-04-30T08:00:00Z"/>
        <d v="2025-05-14T08:00:00Z"/>
        <d v="2025-02-24T08:00:00Z"/>
        <d v="2025-05-04T13:30:00Z"/>
        <d v="2025-06-01T13:30:00Z"/>
        <d v="2025-07-06T13:30:00Z"/>
        <d v="2025-05-04T14:00:00Z"/>
        <d v="2025-05-26T08:30:00Z"/>
        <d v="2025-02-19T08:00:00Z"/>
        <d v="2025-03-30T08:00:00Z"/>
        <d v="2025-11-03T08:30:00Z"/>
        <d v="2025-06-02T08:30:00Z"/>
        <d v="2025-05-12T08:00:00Z"/>
        <d v="2025-06-08T08:00:00Z"/>
        <d v="2025-03-10T09:00:00Z"/>
        <d v="2025-08-18T08:30:00Z"/>
        <d v="2025-06-09T08:30:00Z"/>
        <d v="2025-09-15T08:00:00Z"/>
        <d v="2025-10-20T08:00:00Z"/>
        <d v="2025-08-25T08:30:00Z"/>
        <d v="2025-05-13T08:00:00Z"/>
        <d v="2025-05-29T08:00:00Z"/>
        <d v="2025-06-09T08:00:00Z"/>
        <d v="2025-03-10T08:00:00Z"/>
        <d v="2025-06-17T08:00:00Z"/>
        <d v="2025-06-16T08:00:00Z"/>
        <d v="2025-03-01T08:00:00Z"/>
        <d v="2025-05-06T08:30:00Z"/>
        <d v="2025-05-05T08:30:00Z"/>
        <d v="2025-10-02T08:00:00Z"/>
        <d v="2025-06-23T08:00:00Z"/>
        <d v="2025-06-30T08:00:00Z"/>
        <d v="2025-07-14T08:00:00Z"/>
        <d v="2025-07-20T08:00:00Z"/>
        <d v="2025-04-01T08:00:00Z"/>
        <d v="2025-04-22T08:00:00Z"/>
        <d v="2025-06-24T08:00:00Z"/>
        <d v="2025-08-26T08:00:00Z"/>
        <d v="2025-09-23T08:00:00Z"/>
        <d v="2025-08-11T08:00:00Z"/>
        <d v="2025-10-08T08:00:00Z"/>
        <d v="2025-11-03T08:00:00Z"/>
        <d v="2025-03-18T08:00:00Z"/>
        <d v="2025-07-06T14:00:00Z"/>
        <d v="2025-05-28T08:30:00Z"/>
        <d v="2025-06-23T08:30:00Z"/>
        <d v="2025-07-28T08:30:00Z"/>
        <d v="2025-09-16T08:30:00Z"/>
        <d v="2025-07-21T08:30:00Z"/>
        <d v="2025-11-09T08:00:00Z"/>
        <d v="2025-09-10T08:00:00Z"/>
        <d v="2025-04-09T08:00:00Z"/>
        <d v="2025-07-10T08:00:00Z"/>
        <d v="2025-08-03T13:30:00Z"/>
        <d v="2025-02-20T08:00:00Z"/>
        <d v="2025-06-16T09:00:00Z"/>
        <d v="2025-02-27T12:00:00Z"/>
        <d v="2025-09-25T12:00:00Z"/>
        <d v="2025-04-24T12:00:00Z"/>
        <d v="2025-07-17T12:00:00Z"/>
        <d v="2025-01-23T08:00:00Z"/>
        <d v="2025-03-01T13:00:00Z"/>
        <d v="2025-03-24T09:00:00Z"/>
        <d v="2025-08-31T08:00:00Z"/>
        <d v="2025-08-31T08:30:00Z"/>
        <d v="2025-07-19T14:00:00Z"/>
        <d v="2025-11-23T08:30:00Z"/>
        <d v="2025-07-19T19:00:00Z"/>
        <d v="2025-07-28T08:00:00Z"/>
        <d v="2026-09-15T08:00:00Z"/>
        <d v="2025-06-23T09:00:00Z"/>
        <d v="2025-05-04T08:30:00Z"/>
        <d v="2025-10-19T08:15:00Z"/>
        <d v="2025-07-23T08:30:00Z"/>
        <d v="2025-08-12T08:00:00Z"/>
        <d v="2025-03-17T08:30:00Z"/>
        <d v="2025-03-19T08:00:00Z"/>
        <d v="2025-08-01T09:00:00Z"/>
        <d v="2025-06-26T08:00:00Z"/>
        <d v="2025-04-05T08:30:00Z"/>
        <d v="2025-06-20T08:00:00Z"/>
        <d v="2025-06-17T09:00:00Z"/>
        <d v="2026-04-28T08:00:00Z"/>
        <d v="2026-08-11T08:00:00Z"/>
        <d v="2026-11-10T00:00:00Z"/>
      </sharedItems>
    </cacheField>
    <cacheField name="Data de Término " numFmtId="164">
      <sharedItems containsSemiMixedTypes="0" containsDate="1" containsString="0">
        <d v="2025-12-12T18:00:00Z"/>
        <d v="2025-09-03T17:00:00Z"/>
        <d v="2025-07-09T17:00:00Z"/>
        <d v="2025-07-24T17:00:00Z"/>
        <d v="2025-06-09T17:00:00Z"/>
        <d v="2025-03-05T17:00:00Z"/>
        <d v="2025-04-16T18:00:00Z"/>
        <d v="2025-04-16T17:00:00Z"/>
        <d v="2025-05-20T18:00:00Z"/>
        <d v="2025-06-26T20:00:00Z"/>
        <d v="2025-07-10T18:00:00Z"/>
        <d v="2025-09-11T17:00:00Z"/>
        <d v="2025-11-05T17:00:00Z"/>
        <d v="2025-05-30T18:00:00Z"/>
        <d v="2025-05-25T17:00:00Z"/>
        <d v="2025-11-27T18:00:00Z"/>
        <d v="2025-04-29T20:00:00Z"/>
        <d v="2025-09-16T17:00:00Z"/>
        <d v="2025-08-20T18:00:00Z"/>
        <d v="2025-05-23T18:00:00Z"/>
        <d v="2025-07-31T18:00:00Z"/>
        <d v="2025-10-31T17:00:00Z"/>
        <d v="2025-10-31T08:00:00Z"/>
        <d v="2025-11-13T19:00:00Z"/>
        <d v="2025-05-29T17:00:00Z"/>
        <d v="2025-10-29T17:00:00Z"/>
        <d v="2025-05-28T17:00:00Z"/>
        <d v="2025-11-13T18:00:00Z"/>
        <d v="2025-10-03T17:00:00Z"/>
        <d v="2025-10-08T17:00:00Z"/>
        <d v="2025-11-13T17:00:00Z"/>
        <d v="2025-09-17T17:00:00Z"/>
        <d v="2025-03-19T17:00:00Z"/>
        <d v="2025-08-06T18:00:00Z"/>
        <d v="2025-03-05T18:00:00Z"/>
        <d v="2025-06-11T18:00:00Z"/>
        <d v="2025-05-28T18:00:00Z"/>
        <d v="2025-04-30T18:00:00Z"/>
        <d v="2025-10-01T18:00:00Z"/>
        <d v="2025-08-25T18:00:00Z"/>
        <d v="2025-03-26T18:00:00Z"/>
        <d v="2025-06-05T17:00:00Z"/>
        <d v="2025-03-06T08:00:00Z"/>
        <d v="2025-05-15T08:00:00Z"/>
        <d v="2025-08-21T17:00:00Z"/>
        <d v="2025-11-17T17:00:00Z"/>
        <d v="2025-12-07T17:00:00Z"/>
        <d v="2025-07-09T08:00:00Z"/>
        <d v="2025-03-20T17:00:00Z"/>
        <d v="2025-03-12T17:00:00Z"/>
        <d v="2025-04-23T17:00:00Z"/>
        <d v="2025-11-26T17:00:00Z"/>
        <d v="2025-02-27T17:00:00Z"/>
        <d v="2025-03-24T17:00:00Z"/>
        <d v="2025-05-20T17:00:00Z"/>
        <d v="2025-08-28T17:00:00Z"/>
        <d v="2025-02-13T17:00:00Z"/>
        <d v="2025-05-17T18:00:00Z"/>
        <d v="2025-08-26T17:00:00Z"/>
        <d v="2025-08-04T17:00:00Z"/>
        <d v="2025-03-04T17:00:00Z"/>
        <d v="2025-04-08T15:00:00Z"/>
        <d v="2025-05-06T15:00:00Z"/>
        <d v="2025-04-10T17:00:00Z"/>
        <d v="2025-03-26T17:00:00Z"/>
        <d v="2025-02-13T18:00:00Z"/>
        <d v="2025-04-01T18:00:00Z"/>
        <d v="2025-02-25T16:00:00Z"/>
        <d v="2025-03-26T16:00:00Z"/>
        <d v="2025-04-15T16:00:00Z"/>
        <d v="2025-05-28T16:00:00Z"/>
        <d v="2025-07-16T16:00:00Z"/>
        <d v="2025-09-17T16:00:00Z"/>
        <d v="2025-10-21T16:00:00Z"/>
        <d v="2025-03-13T17:00:00Z"/>
        <d v="2025-05-08T17:00:00Z"/>
        <d v="2025-06-12T17:00:00Z"/>
        <d v="2025-04-09T12:00:00Z"/>
        <d v="2025-04-17T08:00:00Z"/>
        <d v="2025-04-24T12:00:00Z"/>
        <d v="2025-05-01T12:00:00Z"/>
        <d v="2025-05-08T12:00:00Z"/>
        <d v="2025-12-18T17:00:00Z"/>
        <d v="2025-06-04T17:00:00Z"/>
        <d v="2025-06-04T12:00:00Z"/>
        <d v="2025-08-07T12:00:00Z"/>
        <d v="2025-11-13T12:00:00Z"/>
        <d v="2025-07-10T17:00:00Z"/>
        <d v="2025-08-07T17:00:00Z"/>
        <d v="2025-09-18T17:00:00Z"/>
        <d v="2025-10-10T17:00:00Z"/>
        <d v="2025-11-27T17:00:00Z"/>
        <d v="2025-06-11T17:00:00Z"/>
        <d v="2025-03-26T12:00:00Z"/>
        <d v="2025-03-10T12:00:00Z"/>
        <d v="2025-03-17T18:00:00Z"/>
        <d v="2025-04-15T18:00:00Z"/>
        <d v="2025-05-13T18:00:00Z"/>
        <d v="2025-06-15T18:00:00Z"/>
        <d v="2025-07-13T18:00:00Z"/>
        <d v="2025-08-17T18:00:00Z"/>
        <d v="2025-09-14T18:00:00Z"/>
        <d v="2025-10-19T18:00:00Z"/>
        <d v="2025-02-05T17:00:00Z"/>
        <d v="2025-03-18T17:00:00Z"/>
        <d v="2025-06-06T16:00:00Z"/>
        <d v="2025-06-12T16:00:00Z"/>
        <d v="2025-03-25T17:00:00Z"/>
        <d v="2025-06-18T12:00:00Z"/>
        <d v="2025-09-17T12:00:00Z"/>
        <d v="2025-10-30T17:00:00Z"/>
        <d v="2025-04-01T17:00:00Z"/>
        <d v="2025-04-14T17:00:00Z"/>
        <d v="2025-03-06T18:00:00Z"/>
        <d v="2025-08-06T17:00:00Z"/>
        <d v="2025-06-02T17:00:00Z"/>
        <d v="2025-03-23T17:00:00Z"/>
        <d v="2025-07-29T17:00:00Z"/>
        <d v="2025-05-21T17:00:00Z"/>
        <d v="2025-05-06T17:00:00Z"/>
        <d v="2025-08-20T17:00:00Z"/>
        <d v="2025-04-20T17:00:00Z"/>
        <d v="2025-01-31T08:00:00Z"/>
        <d v="2025-04-30T17:00:00Z"/>
        <d v="2025-05-07T17:00:00Z"/>
        <d v="2025-05-14T17:00:00Z"/>
        <d v="2025-02-25T17:00:00Z"/>
        <d v="2025-11-25T12:00:00Z"/>
        <d v="2025-06-05T12:00:00Z"/>
        <d v="2025-07-10T12:00:00Z"/>
        <d v="2025-02-19T17:00:00Z"/>
        <d v="2025-03-30T17:00:00Z"/>
        <d v="2025-04-07T17:00:00Z"/>
        <d v="2025-03-19T12:00:00Z"/>
        <d v="2025-06-26T12:00:00Z"/>
        <d v="2025-10-22T17:00:00Z"/>
        <d v="2025-04-08T17:00:00Z"/>
        <d v="2025-08-27T17:00:00Z"/>
        <d v="2025-05-13T17:00:00Z"/>
        <d v="2025-03-03T17:00:00Z"/>
        <d v="2025-02-11T17:00:00Z"/>
        <d v="2025-06-17T17:00:00Z"/>
        <d v="2025-05-07T08:00:00Z"/>
        <d v="2025-08-28T19:00:00Z"/>
        <d v="2025-06-18T17:00:00Z"/>
        <d v="2025-11-25T17:00:00Z"/>
        <d v="2025-12-01T17:00:00Z"/>
        <d v="2025-10-04T17:00:00Z"/>
        <d v="2025-06-16T17:00:00Z"/>
        <d v="2025-06-23T17:00:00Z"/>
        <d v="2025-06-30T17:00:00Z"/>
        <d v="2025-07-07T17:00:00Z"/>
        <d v="2025-07-14T17:00:00Z"/>
        <d v="2025-07-21T17:00:00Z"/>
        <d v="2025-08-05T17:00:00Z"/>
        <d v="2025-08-12T17:00:00Z"/>
        <d v="2025-08-19T17:00:00Z"/>
        <d v="2025-09-02T17:00:00Z"/>
        <d v="2025-09-09T17:00:00Z"/>
        <d v="2025-09-23T17:00:00Z"/>
        <d v="2025-09-30T17:00:00Z"/>
        <d v="2025-04-13T17:00:00Z"/>
        <d v="2025-04-15T17:00:00Z"/>
        <d v="2025-04-22T17:00:00Z"/>
        <d v="2025-04-12T17:00:00Z"/>
        <d v="2025-06-25T17:00:00Z"/>
        <d v="2025-09-24T17:00:00Z"/>
        <d v="2025-03-10T17:00:00Z"/>
        <d v="2025-08-11T17:00:00Z"/>
        <d v="2025-09-01T17:00:00Z"/>
        <d v="2025-10-06T17:00:00Z"/>
        <d v="2025-11-03T17:00:00Z"/>
        <d v="2025-05-30T17:00:00Z"/>
        <d v="2025-07-30T17:00:00Z"/>
        <d v="2025-07-23T17:00:00Z"/>
        <d v="2025-02-26T17:00:00Z"/>
        <d v="2025-03-21T17:00:00Z"/>
        <d v="2025-07-02T17:00:00Z"/>
        <d v="2025-05-01T17:00:00Z"/>
        <d v="2025-04-02T17:00:00Z"/>
        <d v="2025-03-01T17:00:00Z"/>
        <d v="2025-08-01T17:00:00Z"/>
        <d v="2025-09-10T17:00:00Z"/>
        <d v="2025-04-10T12:00:00Z"/>
        <d v="2025-07-11T17:17:00Z"/>
        <d v="2025-06-01T17:00:00Z"/>
        <d v="2025-09-10T12:00:00Z"/>
        <d v="2025-02-24T17:00:00Z"/>
        <d v="2025-03-01T15:00:00Z"/>
        <d v="2025-09-27T15:00:00Z"/>
        <d v="2025-04-26T15:00:00Z"/>
        <d v="2025-07-19T15:00:00Z"/>
        <d v="2025-01-28T17:00:00Z"/>
        <d v="2025-03-02T17:00:00Z"/>
        <d v="2025-03-24T12:00:00Z"/>
        <d v="2025-09-03T20:00:00Z"/>
        <d v="2025-08-22T20:00:00Z"/>
        <d v="2025-09-04T17:00:00Z"/>
        <d v="2025-07-23T20:00:00Z"/>
        <d v="2025-03-26T13:00:00Z"/>
        <d v="2025-10-23T17:00:00Z"/>
        <d v="2025-07-25T17:00:00Z"/>
        <d v="2025-08-03T17:00:00Z"/>
        <d v="2025-02-12T17:00:00Z"/>
        <d v="2025-06-23T16:00:00Z"/>
        <d v="2025-08-12T16:00:00Z"/>
        <d v="2025-06-19T17:00:00Z"/>
        <d v="2025-03-19T18:00:00Z"/>
        <d v="2025-05-29T18:00:00Z"/>
        <d v="2025-08-02T19:00:00Z"/>
        <d v="2025-06-28T18:00:00Z"/>
        <d v="2025-06-28T17:00:00Z"/>
        <d v="2025-06-26T17:00:00Z"/>
        <d v="2026-04-29T17:00:00Z"/>
        <d v="2026-08-12T17:00:00Z"/>
        <d v="2026-11-13T00:00:00Z"/>
      </sharedItems>
    </cacheField>
    <cacheField name=" A data informada é definitiva?" numFmtId="0">
      <sharedItems>
        <s v="Não"/>
        <s v="Sim"/>
      </sharedItems>
    </cacheField>
    <cacheField name="Modalidade" numFmtId="0">
      <sharedItems>
        <s v="Presencial"/>
        <s v="Online"/>
        <s v="Híbrido"/>
      </sharedItems>
    </cacheField>
    <cacheField name="Temática Básica" numFmtId="0">
      <sharedItems>
        <s v="Economia ecológica."/>
        <s v="Sistemas de produção resilientes em solos leves "/>
        <s v="Sistema Plantio Direto"/>
        <s v="Produção Sustentavel "/>
        <s v="Discussões sobre plantio direto na palha"/>
        <s v=" Desafios da Agricultura Familiar frente às Mudanças Climáticas"/>
        <s v="&quot;Sistema Plantio Direto: base para a Agricultura Regenerativa&quot;"/>
        <s v="O encontro reunirá produtores, pesquisadores e lideranças do setor e simboliza um dos principais fóruns do agronegócio para discussão de técnicas de agricultura sustentável."/>
        <s v="TURISMO RURAL"/>
        <s v="Desafios e inovações para a resiliência das pastagens."/>
        <s v="Forragicultura e pastagens; Sistema silvopastoril (manejo tradicional); Sistema silvopastoril multifuncional - Biodiversidade e sistemas de pastoreio complementares (Bovinos, Ovinos, Caprinos, Suínos); "/>
        <s v="Produção mundial de sementes, desafios e formação de parcerias no setor"/>
        <s v="Desenvolvimento da ciência básica pelo uso de Arabidopsis como modelo vegetal"/>
        <s v="Produção Regenerativa e Adaptação às Mudanças Climáticas"/>
        <s v="Sustentabilidade, Fitotecnia "/>
        <s v="Saúde do Solo"/>
        <s v="Congresso que aborda ciência do solo com culturas"/>
        <s v="Interconexão em CT&amp;I entre o NAPI Inova Vitis e a Università degli Studi di Milano, Itália"/>
        <s v="Laboratórios vivos (Living Labs) aplicados ao meio rural."/>
        <s v="Agroecologia."/>
        <s v="Conferência para desenvolvedores de sistemas de Inteligência Artificial"/>
        <s v="Conservação e aplicações de plantas medicinais"/>
        <s v="Troca de experiências entre produtores, indústrias, técnicos e empresas de várias partes do Brasil"/>
        <s v="A zootecnia dos Próximos 100 Anos"/>
        <s v="Criação, manejo, produção e bem-estar de animais de interesse econômico, com o objetivo de otimizar a produtividade de forma sustentável e ética."/>
        <s v="Ciência e Prática Gerando Valor na Produção Animal"/>
        <s v="Cultura do café"/>
        <s v="Cafeicultura."/>
        <s v="atualização completa no tema café"/>
        <s v="a maior exposição de mecanização da cafeicultura brasileira"/>
        <s v="Ferrugem do Cafeeiro 55 anos: antes doença temida, hoje vencida pela tecnologia&quot;. O evento foca nos avanços tecnológicos que permitiram o controle dessa doença e também em outras inovações para o setor"/>
        <s v="Mecanização da cafeicultura"/>
        <s v="Café em transformação, inovação e sustentabilidade "/>
        <s v="Feira de cafés especiais - Stand Paraná"/>
        <s v="Cafeicultura Irrigada"/>
        <s v="Apresentação de pesquisas cafeeiras"/>
        <s v="Pesquisa em Cafeicultura"/>
        <s v="Na feira são apresentadas inovações tecnológicas sobre qualidade do café."/>
        <s v="Cafeicultura"/>
        <s v="Produção a comercialização de frutas vermelhas (Mirtilo, morango, amora preta e framboesa)"/>
        <s v="A Engenharia Agrícola no Contexto das Mudanças Climáticas"/>
        <s v="Orientação e treinamento voltado ao teste e aplicação do questionário, foco no suporte da coordenação do projeto durante a realização do trabalho de campo."/>
        <s v="Capacitação, Discussão e Realinhamento dos Trabalhos de Campo Programa Leite IDR-Paraná"/>
        <s v="Curso Complementar e Avançado Nutrição Animai"/>
        <s v="Capacitação Avançada Produção Leite em Sistemas Confinados"/>
        <s v="Apresentação de Resultado Regionais e Tecnologias Nutrição, ESG, Qualidade Leite e Gestão de Indicadores"/>
        <s v="Excursão e Visitação a maior feira de tecnologia e inovação voltada para o Leite no Brasil "/>
        <s v="Curso On Line Nutrição"/>
        <s v="Complementação Capacitação Time de Gestão Pecuária Leite"/>
        <s v="Engenharia Agrícola - Pesquisa"/>
        <s v="Pesquisa em Engenharia Agrícola "/>
        <s v="USO DO SINAL DE GPS PARA DIRECIONAMENTO DE MÁQUINAS E IMPLEMENTOS"/>
        <s v="MANUTENÇÃO DE TRATORES AGRÍCOLAS VISANDO LONGEVIDADE DO MOTOR&#10;PEQUENOS REPAROS QUE PODEM SER FEITOS NO CAMPO"/>
        <s v="MANUTENÇÃO DE COLHEITADEIRAS TANGENCIAS&#10;REGULAGENS DE COLHEITADEIRAS &#10;OPERAÇÃO DE COLHEITA"/>
        <s v="ELÉTRICA BASICA DE VEICULOS ALTOMOTORES"/>
        <s v="GESTÃO DE PESSOAS, ORGANIZAÇÃO DE AMBIENTES, COMPORTAMENTOS NA EMPRESA E MEDIAÇÃO DE CONFLITOS."/>
        <s v="WINDONS, PONER POINT, WORD E EXEL AVANÇADO."/>
        <s v="MANUTENÇAO E OPERAÇÃO DE ROÇADEIRAS COSTAIS &#10;SEGURANÇA NO TRABALHO"/>
        <s v="Nutrição / formulação dieta Bovinos de Leite"/>
        <s v="Sistemas de Plantio Direto em Olericultura e Frutas Vermelhas"/>
        <s v="Nutrição / formulação de dietas Bovinos de leite"/>
        <s v="Nutrição de Bovinos"/>
        <s v="Nutrição / formulação de dieta bovinos de leite"/>
        <s v="Projeto LEITE SUSTENTÁVEL"/>
        <s v="Produção sustentável de carne, a partir da adoção de novas abordagens e tecnologias, o Congresso Mundial terá na programação palestras, exposições, julgamentos de gado"/>
        <s v="Mudanças climáticas, microclima, e cultivo de cafeeiro e seringueira em sistemas agroflorestais. "/>
        <s v="“Sementes: alicerces para ciência, tecnologia e produção”, refletindo o papel das sementes como base para a inovação, o avanço tecnológico e a produção sustentável no agronegócio brasileiro."/>
        <s v="Energias Renováveis"/>
        <s v="Biogás e Biometano"/>
        <s v="Energia Solar e Biogás e Biometano"/>
        <s v="Biogas e Biometano"/>
        <s v="O espaço geográfico de atuação do extensionista no que tange os aspectos físicos, econômicos, ambientais e sociais."/>
        <s v="Aprendizado prático para produção de micro-organismos em meio sólido possíveis de aplicação ON FARM."/>
        <s v="Reciclagem sobre as variedades de hortaliças (folhosas, tomate, pepino e pimentão) da empresa Sakata."/>
        <s v="Controle de Movimentações e inventários Patrimoniais"/>
        <s v="Saneamento Rural"/>
        <s v="Treinamento para classificar e degustar café na metodologia Classificação Oficial Brasileira - COB."/>
        <s v="Aprendizagem programa de desenho mecânico"/>
        <s v="Gestão de Agroindústria Familiar"/>
        <s v="Agroindústria Familiar"/>
        <s v="Boas práticas de produção e maturação de queijos artesanais e autorais, com foco no controle da qualidade do leite, nos parâmetros físico-químicos e microbiológicos do produto, e nas tecnologias de processamento adotadas pelas agroindústrias familiares. A"/>
        <s v="Boas práticas de produção e maturação de queijos artesanais e de especialidade, com foco no controle da qualidade do leite, nos parâmetros físico-químicos e microbiológicos do produto, e nas tecnologias de processamento adotadas pelas agroindústrias famil"/>
        <s v="Mercado, produção de mudas altas, Implantação, tratos culturais, Tratamento fitossanitario"/>
        <s v="Desenvolvimento e criação de projeto de peças e equipamentos em formato Cad 3D."/>
        <s v="Programação Java"/>
        <s v="Programação criação de sistemas Web "/>
        <s v="Programação em JavaScript para ambiente Web"/>
        <s v="Programação Pytohon "/>
        <s v="Ainda será definida, mas entre os temas parasitologia, buiatria e agroecologia"/>
        <s v="Produção de mudas, implantação, tratos culturais, tratamento fitossanitario, colheita e comercialização"/>
        <s v="Atualização na citricultura principal fruta produzida no Estado. Ambrange Cultivos de Lima acida Tahiti, Tangerinas e Laranja tanto para mercado de Mesa como para Industria"/>
        <s v="Produção de mudas,variedades, tratos culturais, tratamento fitossanitario, Colheita e comercialização"/>
        <s v="Produção de mudas, implantação, tratos culturais, variedades, Indução por Iluminação artificial, Tratamento fitossanitario, colheita e comercialização."/>
        <s v="Produção de mudas, variedades, tratos culturais, tratamento fitossanitario, colheira e comercialização"/>
        <s v="Identificação de pragas, Protocolo de monitoramento e manejo, Pratica de campo."/>
        <s v="O treinamento aborda o cultivo de cereais de inverno e o manejo das principais cultivares do IDR-Paraná, capacitando extensionistas para recomendações técnicas atualizadas, manejo eficiente, compreensão das características das cultivares e adequada transf"/>
        <s v="O treinamento trata do cultivo de feijão nas diferentes regiões do Paraná, abordando manejo das principais cultivares do IDR-Paraná — suas características, exigências, desempenho regional e recomendações específicas de manejo — capacitando extensionistas "/>
        <s v="Cultura da soja"/>
        <s v="Planejamento do quadrimestre e preparo técnico em mercado, colheita e pós colheita."/>
        <s v="Integração e alinhamento&#10;Trabalho em equipe e colaboração&#10;Regras internas e postura profissional&#10;Pontualidade, disciplina e organização&#10;Proatividade e tomada de iniciativa&#10;Plano de ação e encerramento"/>
        <s v="A capacitação tem como temática central o domínio dos Elementos de Controle (ECs) e a estruturação de Programas de Autocontrole (PACs), visando à conformidade e à adesão de agroindústrias ao SUSAF – Sistema Unificado Estadual de Sanidade Agroindustrial Fa"/>
        <s v="Noções de gestão tributária, contábil e financeira para assessores gerenciais de cooperativismo"/>
        <s v="Técnicas de apresentação de trabalhos e comunicação eficiente."/>
        <s v="A capacitação aborda os princípios fundamentais da microbiologia de alimentos, contemplando a identificação dos micro-organismos de interesse sanitário, os mecanismos de contaminação e deterioração, e os fatores que influenciam o crescimento e controle mi"/>
        <s v="A visita técnica tem como foco a observação in loco de indústrias de alimentos plenamente regularizadas, permitindo que o time conheça fluxos produtivos, padrões estruturais, práticas de higiene e processos de gestão da qualidade alinhados às exigências l"/>
        <s v="COMUNICAÇÃO EFICIENTE&#10;MEDIAÇÃO DE CONFRITOS &#10;ORGANIZAÇÃO DO AMBIENTE DE TRABALHO"/>
        <s v="Métodos de produção de bionsumos em material sólido e uso nas lavouras"/>
        <s v="Alinhamento com certificadoras e ministério com relação aos insumos autorizado para produção orgânica"/>
        <s v="Pesquisa e manejo de plantas daninhas, herbicidas, controle integrado"/>
        <s v="Discussão da cultura da soja, principais problemas e inovações ligados a cultura"/>
        <s v="Tratos Culturais na cultura do Café"/>
        <s v="Manejo Fitossanitário em Café"/>
        <s v="Aprimoramento na prova e degustação de cafés."/>
        <s v="Cultivo do Alho livre de vírus"/>
        <s v="Cultivo da batata doce livre de vírus"/>
        <s v="Equipamentos para aplicação, regulagem, &quot;alvos biológicos&quot; para controle fitossanitário, insumos utilizados para melhoria da aplicação e anti deriva"/>
        <s v="Produção de bioinsumos liquido e seco, além da sua utilização."/>
        <s v="Produção a comercialização de frutas vermelhas (Amora Preta, Framboesa, Mirtilo)"/>
        <s v="Como produzir mudas de hortaliças e quais insumos a serem utilizados"/>
        <s v="Produção, manejo integrado de pragas e doenças, tratos culturais"/>
        <s v="Estimular técnicos, agricultores e suas organizações a trabalharem a Produção programada, visando abastecimento do mercado."/>
        <s v="Cultivo de mandioca de mesa"/>
        <s v="implantação, tratos culturais, variedades, fitossanidade, comercialização"/>
        <s v="Manejo da cultura do morango em sistema semi-hidropônico"/>
        <s v="Manejo da cultura do morango, cultivares"/>
        <s v="Fertirrigação para as maiores classes de culturas: Café, Cana-de-açúcar, Fruticultura, Grãos e Fibras, Hortaliças e Pastagens."/>
        <s v="Atualizar os servidores no uso correto dos sistemas "/>
        <s v="Desenvolvimento das competências, ferramentas e metodologias necessárias para qualificar a atuação dos assessores gerenciais junto às cooperativas da agricultura familiar"/>
        <s v="Evento de divulgação dos melhores Cafés para com os produtores assistidos pelos extensionistas - Qualidade Café"/>
        <s v="Capacitação básica em meliponicultura"/>
        <s v="Curso de apicultura Módulo III avançado para os extensionistas treinados nos módulos i e II"/>
        <s v="Capacitação básica em apicultura módulo I"/>
        <s v="frutos não climatérios e climatérios, métodos de conservação, embalagem, fisiologia dos frutos pós colheita.Comercialização de frutas"/>
        <s v="Produção e comercialização de Frutas de Caroço (Ameixa, Pêssego, Nectarina e Nespera) Modulo I"/>
        <s v="Uso do GRMS, GMS, PROTOCOLO, FLUXOS, PROCEDIMENTOS DE PROCESSOS DE COMPRAS"/>
        <s v="Mercados Institucionais - nota eletrônica"/>
        <s v="Será abordado normas e regulamentos no trabalho em altura, análise de riscos, potenciais riscos com prevenção e controle, equipamentos e procedimentos de proteção coletiva, equipamentos de proteção individual, acidentes típicos em trabalho em altura, além"/>
        <s v="tratamentos fitossanitario, tratos culturais, colheita, pos colheita e comercialização"/>
        <s v="Conceitos e informações essenciais sobre primeiros socorros, abordagem primários, desobstrução das vias aéreas, paradas cardiorrespiratórias, bandagem, hemorragias ferimentos, queimaduras, choque térmico, intoxicação e acidentes com animais peçonhentos, t"/>
        <s v="Planejamento, Implantação, Variedades, sistemas de condução, tratos culturais, fitossanidade"/>
        <s v="O curso tem como temática central o uso do QGIS como ferramenta de apoio ao planejamento, diagnóstico e gestão da água em bacias de mananciais, com foco na atuação prática dos extensionistas do IDR-Paraná. A capacitação abordará os fundamentos do geoproce"/>
        <s v="Introdução geral à sericicultura&#10;Bases para implantação da amoreira&#10;Técnicas de manejo da lavoura de amoreira&#10;Sanidade da planta hospedeira&#10;Manejo zootécnico das lagartas&#10;Tecnologias aplicadas à sericicultura&#10;Maximização da qualidade do casulo no campo&#10;Qu"/>
        <s v="O curso de Elaboração e Retificação do CAR tem como foco capacitar extensionistas para compreender o marco legal do Cadastro Ambiental Rural, coletar e organizar as informações necessárias do imóvel, utilizar corretamente as ferramentas do SICAR, delimita"/>
        <s v="fitossanidadade, sistemas de condução, poda, tratos culturais, colheita e pos colheita, armazenagem"/>
        <s v="O curso Regularização Ambiental da Propriedade Rural aborda de forma prática e objetiva todas as etapas e instrumentos necessários para a conformidade legal das propriedades rurais, desde o diagnóstico de APP, Reserva Legal e áreas de uso restrito até o u"/>
        <s v="O curso aborda o uso de drones como ferramenta estratégica para o diagnóstico, monitoramento e planejamento de microbacias, incluindo fundamentos de hidrologia, planejamento de missões, coleta de imagens, processamento fotogramétrico e geração de produtos"/>
        <s v="O curso aborda os princípios essenciais do manejo da água na propriedade rural, incluindo diagnóstico das fontes hídricas, práticas de conservação do solo e da água, técnicas de captação e armazenamento, uso eficiente da irrigação, qualidade da água e exi"/>
        <s v="A temática básica da capacitação abrange as rotinas essenciais de almoxarifado no Sistema GMS, com foco no controle de entrada, saída e movimentação de materiais. Serão abordados os procedimentos operacionais necessários para registrar, acompanhar e valid"/>
        <s v="Implantação, porta enxertos, variedades, tratos culturais, fitossanidade, colheita e pos colheita e comercialização"/>
        <s v="A capacitação abordará os principais fluxos e procedimentos financeiros utilizados no IDR-Paraná, com foco na correta utilização dos sistemas SIAFIC, SAFE e dos processos de protocolo administrativo. Serão trabalhadas as etapas de execução orçamentária e "/>
        <s v="Preparo de solo, implantação, planejamento, variedades, sistemas de condução convencional, mulching, fitossanidade, indução florescimento, colheita e pos colheita e comercialização "/>
        <s v="A capacitação abordará os procedimentos essenciais para a gestão da frota oficial, incluindo orientações sobre manutenção preventiva e corretiva, controle e organização da documentação dos veículos, tratamento de multas, procedimentos para acidentes envol"/>
        <s v="Capacitação voltada à compreensão e aplicação das boas práticas de gestão do patrimônio público, abordando os conceitos de coisa pública, procedimentos da comissão de inventário, rotinas de controle de bens móveis , utilização do sistema GPM, movimentação"/>
        <s v="Capacitação voltada ao aprimoramento da gestão do patrimônio público, com foco na administração de bens imóveis, regularidade e atualização documental, procedimentos de cessão e doação, e na correta utilização do sistema GPM. Serão abordadas as normas, ro"/>
        <s v="Introdução ao uso do programa R Studio para analise estatística (ANOVA) e teste de média. uso de dados de planilha de Excel."/>
        <s v="Sistematização da ATER para organizações da agricultura familiar"/>
        <s v="A capacitação abordará os procedimentos, orientações e boas práticas relacionados à utilização da Central de Viagens do Governo do Paraná, incluindo etapas de solicitação, planejamento, acompanhamento e controle das viagens oficiais. Serão apresentadas as"/>
        <s v="Políticas Públicas "/>
        <s v="A capacitação abordará as boas práticas em relações de trabalho e gestão de recursos humanos, incluindo orientações sobre o uso do SISPONT, organização e atualização do quadro de funções, procedimentos de avaliação de desempenho, gestão de atestados e par"/>
        <s v="Competências, ferramentas e metodologias para a atuação dos assessores gerenciais junto às organizações da agricultura familiar"/>
        <s v="Políticas Públicas"/>
        <s v="Tecnologia de Sementes"/>
        <s v="Segurança Alimentar e Nutricional e Inclusão Produtiva"/>
        <s v="Ainda não definido, podendo ser Pós-colheita, Sementes, Fitotecnia."/>
        <s v="Feijão"/>
        <s v="Sistemas condução, variedades, tratos culturais, Fitossanidade"/>
        <s v="Pragas,  Doenças, quarentenárias, biologia, epidemia, identificação e monitoramento. Processo de certificação fitossanitário de Origem, para poder comercialização fora do Estado do Paraná e nas CEASAs."/>
        <s v="Gestão de projetos e de equipe"/>
        <s v="Pós-Graduação em&#10;&#10;Estatística Quantitativa"/>
        <s v="Eficiência da utilização de microrganismos na agricultura. Apresentar tecnologias de aplicação de inoculantes comerciais com vistas ao aumento de produtividade. "/>
        <s v="Soja"/>
        <s v="Discussões sobre os imcatos dos processos erosivos."/>
        <s v="Tecnologia de aplicação"/>
        <s v="Cultivo de mandioca de mesa."/>
        <s v="Workshop das industrias que beneficiam trigo"/>
        <s v="A tematica central do Congresso Brasileiro de sementes abrange capacitação e discussão de inovações tecnológicas e científicas do setor. As atividades incluem palestras, painéis e workshops sobre temas como políticas públicas, biotecnologia, edição gênica"/>
        <s v="Atualização da Cadeia Produtiva do Trigo"/>
        <s v="Formação de CONSELHOS"/>
        <s v="Introdução à Agroecologia: Princípios"/>
        <s v="Manejo de solos e águas na Agroecologia"/>
        <s v="Bioinsumos técnicas de ativação de cepas concentradas em 3 metodologias"/>
        <s v="Elaboração de Caldas, compostos, inoculantes para Agroecologia"/>
        <s v="O uso da Homeopatia vegetal e animal na Agroecologia"/>
        <s v="Pecuária - Pequenas Criações na Agroecologia"/>
        <s v="Olericultura"/>
        <s v="Fruticultura e Grandes culturas na Agroecologia"/>
        <s v="Elaboração de Caldas e Preparados Agroecologicos"/>
        <s v="Elaboração de Caldas e Preparados Agroecológicos"/>
        <s v="Reestruturação do Time Estadual da Agroecologia"/>
        <s v="Avaliação do trabalho do I Semestre a definição de ações"/>
        <s v="conhecimento de doenças e pragas no cultivo de banana, para certificação fitossanitária, para apoiar processo de comercialização junto aos polos de produção da fruta."/>
        <s v="dosagem, fertirrigação, nutrição de plantas, curvas de absorção de nutrientes, equipamentos, monitoramento nutricional e de água."/>
        <s v="curso basico de Produção de Frutas Modulo I - Maracujá"/>
        <s v="Produção a comercialização de banana, para regiões oeste, Umuarama, Laranjeiras do Sul e Sudoeste. Com elaboração de protocolo para cultura."/>
        <s v="curso de viticultura para Oeste do Estado, com elaboração de protocolo. Da produção, variedades, fitossanidade, tratos culturais, sistemas de produção, colheita e comercialização."/>
        <s v="Produção, sistemas de condução, fitossanidade, nutrição e adubação, fertirrigação, tratos culturais, colheita e pós colheita."/>
        <s v="tecnologia de aplicação, escolha de bicos, ensaios, insumos usados na tecnologia de aplicação. Demonstração pratica, e regulagem de equipamentos, simuladores no CTA da empresa."/>
        <s v="Treinamento para utilização de plataforma completa para gestão zootécnica e financeira de propriedades rurais que atuam nas atividades de bovinocultura de corte e leite."/>
        <s v="Evento com participação de pesquisadores, especialistas e pecuaristas de diferentes países para discutir temáticas relevantes à pecuária de corte. "/>
        <s v="MIP, MID, MIPD, manejo de Solos, Fisiologia Vegetal e Outros"/>
        <s v="Manejo Fitossanitário da Soja"/>
        <s v="a definir"/>
        <s v="Consórcio Milho com Braquiária"/>
        <s v="Manejo Integrado de Pragas do Milho"/>
        <s v="Manejo e conservação do solo e água"/>
        <s v="Manejo de Plantas Daninhas em Sistemas de Produção de  Grãos e uso de herbicidas"/>
        <s v="Fertilidade do solo"/>
        <s v="Plantas de coberturas do solo para uso em sistemas de produção de grãos"/>
        <s v="Ecofisiologia de plantas cultivadas"/>
        <s v="Uso de bioinsumos na produção de grãos"/>
        <s v="Aminoácidos e estimulantes para a cultura da soja"/>
        <s v="Reciclagem Técnica em Adubação de Frutíferas do plantio a colheita"/>
        <s v="A Reunião de Pesquisa de Soja é o principal fórum de pesquisa do complexo agropecuário da soja e tem caráter estritamente técnico. O evento tem por objetivo avaliar os avanços de pesquisas com os sistemas de produção de soja para a sustentabilidade da cad"/>
        <s v="Introdução aos fundamentos da Avaliação de Valor do Café (CVA), abordando os princípios teóricos e práticos da análise sensorial de cafés. O conteúdo contempla a compreensão dos atributos sensoriais, padronização de métodos de preparo, aplicação de protoc"/>
        <s v="Introdução aos princípios teóricos e práticos da torra do café, abordando as transformações físicas e químicas dos grãos durante o processo, os estágios da torra, controle de tempo e temperatura, desenvolvimento de perfis de torra, influência da torra na "/>
        <s v="Modernização da gestão pública e fortalecimento da governança organizacional"/>
        <s v="Capacitação básica em apicultura módulo II"/>
        <s v="Desenvolvimento de Gerentes voltado à eficiência na entrega de projetos e gestão de pessoas."/>
        <s v="Catálogo de cursos para diversas áreas, como gestão, tecnologia, inovação, liderança, dados, estratégia, sustentabilidade e políticas públicas"/>
        <s v="Curso para Condutores de Veículos de Transportes de Produtos Perigosos."/>
        <s v="Introdução ao Serviço Público"/>
        <s v="Apresentação dos trabalhos desenvolvidos pelos residentes."/>
        <s v="Apresentação de estudos de pós-graduação sendo realizados por servidores do IDR-Paraná."/>
        <s v="Capacitação em Metodologias para a Extensão Rural"/>
        <s v="Saúde mental , bem estar no trabalho, integração da equipe"/>
        <s v="Nematologia Agrícola "/>
        <s v="Fisiologia Vegetal, defesa vegetal"/>
        <s v="Pesquisa em nematologia"/>
        <s v="Fruticultura irrigada (Viticultura, frutas tropicais); estrutura para exportação (colheita, pos colheita e logística). Produtores referenciais, Embrapa Semi-Arido, visita a empresas e unidade de produção de frutas."/>
        <s v="Estatística e Ciência de Dados a serviço do Desenvolvimento Sustentável."/>
        <s v="Apresentações de resultados dos ensaios de rede da Comissão Brasileira de Pesquisa em Aveia"/>
        <s v="Políticas para a Natureza, Alimentação e Nutrição em tempos de incerteza e mudanças climáticas"/>
        <s v="A Reunião da Comissão Brasileira de Pesquisa de Aveia (RCBPA) é o principal evento da cultura da aveia do país e reúne representantes das áreas de pesquisa, ensino, extensão, empresas processadoras e produtores rurais. Nessa reunião serão discutidos assun"/>
        <s v="Atualização dos Dados de Pesquisa com Aveia no Brasil."/>
        <s v="produção orgânica de viticultura, tratos culturais, sistemas de condução, fitossanidade, tecnologia de aplicação, colheita mecânica, mecanização, sistema de comercialização, estrutura cooperativista. Pesquisa e extensão e atuação das entidades parceiras e"/>
        <s v="Economia, Sociologia e Administração Rural."/>
        <s v="Fruticultura temperada"/>
        <s v="Tecnologias para manejo da cultura do milho em relação ao melhoramento genético, fitossanidade e mercado."/>
        <s v="Plantas medicinais, aromáticas e condimentares"/>
        <s v="&#10;A temática da participação no Prêmio Queijo Brasil 2025 centra-se na imersão técnico-profissional na cadeia produtiva de queijos artesanais, contemplando desde os processos de fabricação e maturação, boas práticas sanitárias, técnicas de harmonização e n"/>
        <s v="trabalhos de pesquisa, palestras, desenvolvido por universidades e instituições de pesquisa da região Sul. Atualização e conhecer os resultados de pesquisas das entidades dentro da região Sul, permitindo que o conhecimento gerado, possa ser apropriado ou "/>
        <s v="fisiologia, fitotecnia, melhoramento genético, fitossanidade, sistemas de condução, manejo de solo e agua, colheita e pos colheita."/>
        <s v="Variedades, Fisiologia, Nutrição e adubação, fitossanidade, tratos culturais, colheita, pos colheita"/>
        <s v="Informações com foco na importância genética, técnica, científica, cultural e social da espécie milho, notadamente os milhos Crioulos, importantes na segurança alimentar e na sustentabilidade agrícola”"/>
        <s v="fruticultura temperada (Maçã, Pêssego, Nectarina, Ameixa) atualizações de tratos culturais, fitossanitários, poda, insumos."/>
        <s v="Neste evento serão abordados os temas relacionados a cadeia leiteira bem como novidades e perspectivas para a cadeia."/>
        <s v="O evento tem como propósito fomentar o intercâmbio de conhecimento, fortalecer parcerias e apontar caminhos concretos para o futuro da cadeia produtiva do milho e do sorgo no Brasil. O evento é reconhecido como o principal espaço de encontro entre ciência"/>
        <s v="A capacitação aborda os fundamentos do processamento de uvas e derivados, contemplando os requisitos legais aplicáveis, a seleção e manejo da matéria-prima, as práticas de higiene e sanitização e as bases tecnológicas para a elaboração de vinhos branco, t"/>
        <s v="Agricultura Orgânica"/>
        <s v="Evento que irá reunir influenciadores e líderes de diversas empresas no setor de RH para troca de experiências e palestras."/>
        <s v="Trabalhos técnicos científicos do sistema de produção agro ecológico nacional e intercâmbio de casos de sucesso."/>
        <s v="Tecnologias de produção voltadas a pecuária de corte (manejo da criação, pastagens, genética)."/>
        <s v="Manejo sustentável da pecuária de corte"/>
        <s v="Agricultura e pecuária orgânica"/>
        <s v="Sistema de produção de material para produção de bioinsumos em meio sólido"/>
        <s v="Inovações e novas tecnologias "/>
        <s v="Discussão técnica e apresentação de resultados de pesquisa em agricultura orgânica, incluindo as palestras no tema. Como "/>
        <s v="Discussão da matéria orgânica no solo, como acumular matéria orgânica. Pensando nos efeitos de plantas de cobertura e seu consórcio, se torna altamente relevante pela temática"/>
        <s v="Técnicas apuradas e refinadas sobre os processos e detalhes da produção de charcutaria (embutidos frescos e curados, defumação, emulsões, salumeria, fermentação, inoculações, equipamentos, controles e set up de câmaras) com alimentos do mar."/>
        <s v="Realizado pela Espresso&amp;CO em parceria com a Allegra Events, o festival nasceu em Londres há mais de uma década e já passou por cidades como Milão, Paris, Nova York e Los Angeles. Em São Paulo, volta com recorde de expositores, ativações culturais e uma i"/>
        <s v="Qualidade do café, análises sensoriais, torra."/>
        <s v="fitotecnia, melhoramento, tratos culturais, polinização, colheita, pos colheita, comercialização"/>
        <s v="Nutrição de Plantas"/>
        <s v="O congresso tem foco em ciências de análises sensoriais, ferramenta necessária para as pesquisas em qualidade do café."/>
        <s v="HLB/Greening, Variedades, porta enxertos, insumos, maquinas, fitossanidade"/>
        <s v="Insumos, equipamentos e maquinas, irrigação, Plasticultura, cultivo protegido, variedades, embalagens"/>
        <s v="Sistemas de produção de frutas de alta qualidade para Lichia, Atemoia e Caqui. Da produção a comercialização."/>
        <s v="A Feicorte é a maior feira de indoor de gado de corte da América Latina, reunindo especialistas para discussão de temas relevantes para a cadeia produtiva."/>
        <s v="Formulação de dietas de precisão para bovinos de corte"/>
        <s v="O Futuro do Leite (Bovinocultura de leite e mercado)."/>
        <s v="Produção de Lambaris"/>
        <s v="PRODUÇÃO DE PEIXES TANQUES ELEVADOS ALTA DENSIDADE"/>
        <s v="Recursos Genéticos - Conservação e Uso"/>
      </sharedItems>
    </cacheField>
    <cacheField name="Justificativa" numFmtId="0">
      <sharedItems>
        <s v="A participação é essencial para aprofundar conhecimentos e fortalecer pesquisas voltadas à integração entre economia e ecologia, áreas estratégicas para o desenvolvimento sustentável da agropecuária. O evento possibilita atualização científica sobre abord"/>
        <s v="01) Atualizações de manejo do solos e da água em solos arenosos no Brasil, participar da Comissão Organizadora; 2) submeter um resumo."/>
        <s v="Manter a visibilidade do IDR-Paraná como instituição que conduziu e conduz o Paraná como    o estado com maior produtividade e sustentabilidade exatamente por essa instituição ter escolhido desde os anos 80 o fomento da prática do SPD, é muito importante "/>
        <s v="Particpipação em evento com afinidade aos projetos de pesquisa em execução."/>
        <s v="Manter a visibilidade do IDR-Paraná como instituição que conduziu e conduz o Paraná como o estado com maior produtividade e sustentabilidade exatamente por essa instituição ter escolhido desde os anos 80 o fomento da prática do SPD, é muito importante par"/>
        <s v="As mudanças climáticas tem provocado grande impacto na produção de hortaliças no Brasil e principalmente no Paraná, dessa forma, participar desse debate permitirá aos nossos profissionais definir estratégia para conviver com essas mudanças permitindo mant"/>
        <s v="O Paraná consolidou-se como o berço do Plantio Direto, sendo referência mundial nesse sistema de cultivo. O IDR-Paraná, pioneiro e protagonista nos estudos e avanços relacionados aos seus pilares, rotação de culturas, uso de plantas de cobertura e manejo "/>
        <s v="Sou Assessor do programa grãos: soja e milho. Sou gerente do projeto de produção sustentável de grãos em rotação de culturas, em parceria com a ITAIPÚ (AISA). Pretendo levar resumos científicos para o evento."/>
        <s v="Considerando que o Paraná foi o &quot;berço&quot; do Plantio Direto e que o IDR-Paraná foi pioneiro e extremamente relevante nos estudos e avanços relacionados aos pilares deste sistema de cultivo (rotação de culturas, plantas de cobertura e manejo do solo) é de su"/>
        <s v="A realização da missão técnica entre o Instituto de Desenvolvimento Rural do Paraná (IDR-Paraná) e o Serviço Brasileiro de Apoio às Micro e Pequenas Empresas (SEBRAE) justifica-se como ação estratégica decorrente do acordo de cooperação vigente entre os d"/>
        <s v="O congresso internacional do EGF “Desafios e inovações para a resiliência das pastagens” reunirá pesquisadores de diversos países que atuam na temática da sustentabilidade e resiliência dos sistemas de pastagens, constituindo-se em um espaço privilegiado "/>
        <s v="O Encontro Geral da Federação Europeia de Pastagens é um dos principais eventos mundiais sobre o tema pastagens e forragicultura. Em 2026 terá como foco os desafios e inovações para a resiliência das pastagens, mudanças climáticas e pastagens, manejo do s"/>
        <s v="O evento tem como objetivo fomentar parcerias estratégicas e discutir os principais temas do setor. Com expositores, mesas de negociação e amplas oportunidades de networking, o IDR-Paraná terá a oportunidade de expor as novas cultivares de aveia forrageir"/>
        <s v="A Conferência Internacional sobre Pesquisa em Arabidopsis (ICAR) é o principal encontro anual da comunidade global de cientistas que utilizam Arabidopsis thaliana como sistema modelo. Por quase quatro décadas, a ICAR tem destacado as notáveis ​​contribuiç"/>
        <s v="A pesquisadora Dra. Heverly Morais desenvolve suas atividades com Mudanças Climáticas e Sistemas Agroflorestais (SAFs), tendo participado de inúmeros projetos. Coordena atualmente projetos de pesquisa, experimentos de campo e atividades nesses temas. A me"/>
        <s v="Evento científico  ligado á sustentabilidade, a participação será importante para conhecimento e atualização. Será apresentado em pôster resultados de pesquisa do IDR-Paraná, bem como, participação em palestras, conferências e dialogar com cientistas da á"/>
        <s v="Evento científico  ligado à ciência do solo, a participação será importante para conhecimento e atualização das novas linhas de pesquisas em solos, será apresentado em pôster resultados de pesquisa do IDR-Paraná, bem como, participação em palestras, confe"/>
        <s v="Evento científico internacional ligado á ciência do solo, a participação será importante para conhecimento e atualização das novas linhas de pesquisas em solos, será apresentado em pôster resultados de pesquisa do IDR-Paraná, bem como, participação em pal"/>
        <s v="A visita técnica está alinhada com as diretrizes do Programa Interconexões Paraná – Chamada Pública 03/2025, promovendo a integração entre ciência, tecnologia, inovação e o setor produtivo, uma vez que a Itália é um dos principais e mais tradicionais país"/>
        <s v="O objetivo da missão ao CIHEAM é conhecer concepção, operação e experiência de 'Living Labs&quot; consolidados para contribuir no desenvolvimento das atividades realizadas nas diferentes vitrines tecnológicas de agroecologia do IDR-Paraná para que estas possam"/>
        <s v="Apresentar trabalhos realizados na temática da Agroecologia no IDR-Paraná, obter  atualização sobre o tema e estabelecer rede de intercâmbio técnico."/>
        <s v="Essa conferência reúne os maiores nomes do desenvolvimento em Inteligência Artificial do mundo, participar desta capacitação é uma ação estratégica para garantir que o IDR-Paraná permaneça protagonista na inovação agrícola. O conhecimento em IA Generativa"/>
        <s v="O Congresso Nacional de Botânica (CNBot), constitui o mais tradicional encontro da comunidade botânica brasileira, congregando especialistas em taxonomia, ecofisiologia, fisiologia vegetal, sistemática e conservação da flora. A participação possibilitará:"/>
        <s v="Evento nacional, com papel importante na integração e no desenvolvimento das diversas bacias leiteiras do país"/>
        <s v="O Congresso da Zootec constitui-se em um dos mais relevantes eventos científicos e técnicos da área de produção animal no Brasil, reunindo pesquisadores, profissionais, estudantes e representantes do setor produtivo. Trata-se de um espaço estratégico para"/>
        <s v="O Congresso Brasileiro de Zootecnia (ZOOTEC) é um dos eventos de maior expressão da Zootecnia brasileira como ciência e profissão, organizado a 34 anos em parceria com instituições de alta referência acadêmica e de pesquisa, com vertentes nos debates das "/>
        <s v="A 59ª Reunião da Sociedade Brasileira de Zootecnia constitui-se em um dos mais relevantes eventos científicos e técnicos da área de produção animal no Brasil, reunindo pesquisadores, profissionais, estudantes e representantes do setor produtivo. Trata-se "/>
        <s v="O Congresso Brasileiro de Pesquisas Cafeeiras é o principal evento técnico-científico do café no Brasil. É uma oportunidade de atualizar os conhecimentos na cultura do café e manter contato e trocar experiências com profissionais da cadeia produtiva do ca"/>
        <s v="Atualização dos conhecimentos sobre cafeicultura e apresentação dos resultados de trabalhos desenvolvidos no IDR-Paraná."/>
        <s v="profissionais renomados do setor cafeeiro estarão na SIC para moldar os próximos passos da cafeicultura e temos que aproveitar a oportunidade para nos atualizar e também provavelmente o governo do estado terá um estande onde atenderemos os visitantes "/>
        <s v=" nesta visita poderemos conhecer as mais recentes tecnologias e equipamentos voltados para a cafeicultura, além de participar de palestras e workshops com especialistas do setor, ampliando o networking e explorando novas oportunidades para cafeicultura do"/>
        <s v="A participação no Congresso Brasileiro de Pesquisas Cafeeiras é fundamental para o aprimoramento técnico e científico relacionado à cafeicultura, área diretamente ligada às atividades que desenvolvo. O evento reúne especialistas, pesquisadores, produtores"/>
        <s v="A mecanização da lavoura cafeeira é fundamental na sua sustentabilidade, pois a falta de mão de obra se agrava a cada ano, o trabalho sem mecanização é penoso e de alto custo. Neste evento os técnicos e cafeicultores conhecem as últimas pesquisas da área "/>
        <s v="A pesquisadora Dra. Heverly Morais desenvolve suas atividades com a cultura cafeeira desde 1997, tendo participado de inúmeros projetos. Coordena atualmente projetos de pesquisa, experimentos de campo e atividades na cafeicultura. A mesma possui inúmeras "/>
        <s v="Neste evento se reúne as principais empresas nacionais e algumas mundiais que comercializam cafés especiais e máquinas para preparo de cafés especiais e afins. Também estão presentes com oferta de cafés para degustação todas as regiões cafeeiras do Brasil"/>
        <s v="A Fenicafé é uma feira de implementos, máquinas, serviços e tecnologia, aliados a muita informação. XXVI Encontro Nacional de Irrigação da Cafeicultura do Cerrado e a XXV Feira de Irrigação em Café do Brasil. A importância dos extensionistas em buscar qua"/>
        <s v="No Congresso Brasileiro de Pesquisas Cafeeiras são divulgados todos os resultados das pesquisas em café realizada no Brasil. Precisamos sempre ter alguns técnicos da equipe participando para se inteirar dos resultados das pesquisas recentes, assim melhora"/>
        <s v="Este é principal evento relacionado à pesquisa em cafeicultura. Reúne os maiores especialistas da área para discutir atualidades e apresentar resultados de pesquisa. Serão apresentados resultados de pesquisas com nematoides no cafeeiro, provenientes de pr"/>
        <s v="A participação na Semana Internacional do Café 2026 é fundamental para o fortalecimento das ações de pesquisa e articulação institucional relacionadas à cafeicultura paranaense. O evento reúne os principais pesquisadores, instituições e lideranças do seto"/>
        <s v="É o maior evento direcionado à informação sobre toda a cadeia do café, com diversos conteúdos em nível internacional. É uma grande oportunidade na atualização do conhecimento, principalmente em temas relacionados à cafeicultura sustentável. A presença de "/>
        <s v="Estas frutas vermelhas estão em expansão, porem com problemas de organização da cadeia produtiva. Há fomentos de forma integrada com agroindústria e de forma independente. Porem faltando estrutura de armazenagem e recebimento. Como ainda desconhecimento d"/>
        <s v="O turismo rural tem se consolidado como uma importante estratégia de desenvolvimento territorial, fortalecimento da agricultura familiar e diversificação das fontes de renda no meio rural. Nesse cenário, a atuação qualificada dos técnicos da extensão rura"/>
        <s v="A participação no Congresso Brasileiro de Engenharia Agrícola (CONBEA) 2026 é de grande relevância para minha atuação como pesquisador em Agrometeorologia, pois o evento abordará o tema central “A Engenharia Agrícola no Contexto das Mudanças Climáticas”, "/>
        <s v="Necessário para realizar levantamento de campo e visitas dos extensionistas aos estabelecimentos leiteiros selecionados para realização de entrevista voluntária, utilizando um questionário estruturado"/>
        <s v="Necessário para a gestão do Programa e Redirecionamento das Diretrizes Institucionais"/>
        <s v="Necessidade de avaliar os resultados e verificação das alternativas oferecidas pela ferramenta RLM Leite"/>
        <s v="Construção de Proposta e Projeto Técnico e Modelo Econômico Produção Confinado Paranaense"/>
        <s v="Ajustar o curso ou a estratégia de um programa para garantir que ele permaneça alinhado aos seus objetivos organizacionais, metas e contexto atual"/>
        <s v="Maior feira de tecnologia e inovação voltada para o Leite no Brasil "/>
        <s v="Complementação Capacitação Time da Nutrição Animal"/>
        <s v="Complementação Capacitação Time de Gestão Pecuária Leite"/>
        <s v="O CONBEA é o principal Congresso da área de Engenharia Agrícola no Brasil, sendo um evento importante para interação e troca de informações com pesquisadores, professores, técnicos e estudantes da área. Também apresenta programação com palestrantes e pain"/>
        <s v="OS COLABORADORES SÃO OPERADORES DE TRATORES E COLHEITADEIRAS E RECENTEMENTE RECEBEMOS IMPLEMENTOS MONITORADOS POR GPS E ELES PRECISAM DO TREINAMNETO PARA USAR AS MÁQUINAS CORRETAMENTE."/>
        <s v="PRECISAMOS CAPACITAR NOSSOS COLABORADORES PARA FAZEREM PEQUENOS REPAROS NAS NOSSAS MÁQUINAS E ASSIM TERMOS UMA VIDA MAIS LONGA DELAS E ECONOMIZAR EM MANUTENÇÕES TERCEIRIZADAS."/>
        <s v="NOSSOS OPERADORES PRECISAM DESTA ATUALIZAÇÃO PARA UM MELHOR DESEMPENHO NA SUAS FUNÇÕES COM ESTE TIPO DE MÁQUINA."/>
        <s v="NOSSOS COLABORADORES PRECISAM PELO MENOS IDENTIFICAR O PROBLEMA PARA UMA SOLICITAÇÃO DE SERVIÇO TERCEIRIZADO."/>
        <s v="NOSSOS SERVIDORES MAIS ANTIGOS SÃO LIDERES DE CAMPO E PRECISAM DESTA ATUALIZAÇÃO PARA MELHORAR AINDA MAIS O AMBIENTE DE TRABALHO."/>
        <s v="CAPACITAÇÃO PARA NOSSA COLABORADORA DO ADMINISTRATIVO. "/>
        <s v="CAPATITAR NOSSOS COLABORADORES QUE TRABALHAM ESPORADICAMENTE COM ESSE TIPO DE EQUIPAMENTO."/>
        <s v="A bovinocultura de leite é uma atividade prioritária na região,  que através do projeto leite sustentável  os técnicos envolvidos nesta atividade vem desenvolvendo os trabalhos nos eixos: social, ambiental e econômico, sendo uma demanda dos técnicos este "/>
        <s v="Segue uma justificativa objetiva, clara e dentro do limite solicitado:&#10;&#10;**Justificativa (até 200 palavras)**&#10;A implantação do Sistema de Plantio Direto de Hortaliças (SPDH) e de frutas vermelhas representa uma estratégia fundamental para o fortalecimento "/>
        <s v="A Bovinocultura de leite é atividade prioritária na região.  Através do Projeto Leite sustentável, trabalhamos os 3 eixos: social,ambiental e economico, sendo este ultimo eficiência na utilização de insumos e gestão financeira (custo de produção), sendo o"/>
        <s v="A Bovinocultura de leite é atividade prioritária na região.  Através do Projeto Leite sustentável, trabalhamos os 3 eixos: social, ambiental e econômico, sendo este último eficiência na utilização de insumos e gestão financeira (custo de produção), sendo "/>
        <s v="A região idealizou o projeto Leite Sustentável, com metodologia de trabalho a avaliação das propriedades leiteiras sustentáveis familiares, onde é necessário capacitar os integrantes das comissões de avaliação, para a premiação &quot; Concurso Propriedade Leit"/>
        <s v="Como gerente de projetos do Programa Pecuária de Corte e SIPA/Pesquisa considero importante a participação de pesquisadores e técnicos agrícolas do IDR-Paraná, vinculados ao Programa, no Congresso Mundial de Brangus. O evento terá como foco a sustentabili"/>
        <s v="Em virtude das mudanças climáticas que afetam a agricultura, os cafeicultores necessitam de alternativas que possibilitem a continuidade do cultivo do cafeeiro no Paraná. Neste contexto, os sistemas agroflorestais com seringueiras se mostram como uma alte"/>
        <s v="Reconhecido como um dos mais relevantes fóruns de atualização científica e debate técnico do setor, o Congresso Brasileiro de Sementes reunirá especialistas, pesquisadores, profissionais, estudantes de graduação e pós-graduação e empresas que integram tod"/>
        <s v="Difusão de conceitos e resultados de energias renováveis."/>
        <s v="Atualização tecnológica e de modelos de negócios em Biogás e Biometano."/>
        <s v="Atualização sobre as políticas públicas e RenovaPR"/>
        <s v="Atualização de Energias Renováveis e RenovaPR"/>
        <s v="Atualização Tecnológica Biogás e Biometano e RenovaPR"/>
        <s v="A compreensão destes aspectos que integram um recorte geográfico permite ao extensionista a adoção de estratégias adequadas para sua atuação, priorizando as necessidades dos agricultores familiares e suas organizações."/>
        <s v="A região tem um foco na produção orgânica e esta tecnologia é essencial para aprimoramento dos nossos técnicos e posterior repasse aos agricultores, proporcionando assim o equilíbrio do sistema de produção orgânica.&#10;Aprendizado prático para produção de mi"/>
        <s v="A empresa Sakata é uma das principais fornecedoras da região e se faz necessário uma reciclagem da equipe sobre cada uma delas em manejo da produção, pragas, doenças."/>
        <s v="Diante das exigências legais, e das mudanças ocorridas no IDR- Paraná, nos últimos tempos, principalmente nos aspectos referente a novos colaboradores, apoiando o Processo  na maioria das 05 regiões de extensão da Meso Norte, o que, tem demandado uma maio"/>
        <s v="A temática do Saneamento Rural é um dos eixos do Programa Estadual de Promoção Social e Cidadania e afeta diretamente as demais atividades da Unidade de Produção Familiar, tanto ambiental, social como economicamente. Esta temática, há tempos vem sendo pla"/>
        <s v="O café paranaense vive um momento de transformação: a produção de grãos de alta qualidade cresce a cada safra e núcleos de padronização já estão instalados em diversas cidades. Para acompanhar esse avanço, é fundamental contar com técnicos do IDR, parceir"/>
        <s v="Curso de uso de programa de desenho mecânico, utilizado na área de engenharia rural, para projetos de equipamentos agrícola, pesquisado na área que estou lotado."/>
        <s v="Consolidação do projeto regional de  Agroindústria com foco na gestão, ponto frágil do projeto."/>
        <s v="A capacitação tem como foco principal o aprimoramento técnico dos produtores de queijos artesanais, regularizados ou em processo de regularização, ampliando a qualificação das agroindústrias familiares e fortalecendo sua competitividade. Cada turma conta "/>
        <s v="Transferência de tecnologia na produção de maracujá, para servidores do IDR PARANA, e para publico externo (cooperativas, Secretarias Municipais de Agricultura)"/>
        <s v="A capacitação na plataforma Solidworks, se faz necessário tendo em vista as atividades   de prototipagem em projetos de pesquisa devolvidos na Área de Engenharia Rural, saliento que o Laboratório detém de licença do software destinado a este fim.  "/>
        <s v="Curso voltado a atender a demanda de projetos de pesquisa desenvolvidos no laboratório de Engenharia Rural"/>
        <s v="Curso voltado a atender demanda de projeto de pesquisa desenvolvidos no Laboratório de Engenharia Rural."/>
        <s v="Curso voltado a atender a demanda em projeto de pesquisa desenvolvidos no Laboratório de Engenharia Rural."/>
        <s v="Programação Pytohon destinada a criação de soluções em automação para projeto de pesquisa ligados a Engenharia Rural"/>
        <s v="A realização do pós doutorado é fundamental para aprimorar a formação de pesquisador, aprofundando a experiência científica e a participação em grupos de pesquisa através da cooperação acadêmica."/>
        <s v="ampliação da área de cultivo de mamão com alternativa de renda,"/>
        <s v="Ampliação da Citricultura para regiões não tradicionais, juntamente com avanço do HLB/Greening. Havendo ha necessidade de atualização dos profissionais que atuam na cadeia e nas regiões de avanço da cultura."/>
        <s v="ampliação do cultivo de banana, com potencial para diversificação para diferentes regiões do Estado. A capacitação será próximo ao polo de produção. Permitindo acessar todas as etapas de produção e comercialização da fruta. "/>
        <s v="cultivo em expansão, opção para pequenas propriedades, ainda com desconhecimento de muitos profissionais quanto a Produção sustentavel desta fruta. Produtores espalhadados nas diferentes regioões do estado"/>
        <s v="Cultura de grande potencial para Estado, com avanço para exportação e mercado internos. Melhoria nos tratos culturais com potencial de ampliar as produtividades e renda para os produtores. Oportunidade para regiões Norte, Noroeste, Oeste do Estado, além d"/>
        <s v="A realização da terceira edição do Treinamento em Manejo Integrado de Pragas (MIP) na Cultura do Feijão) em 2026 é fundamental para consolidar o avanço técnico alcançado nas edições anteriores e fortalecer a capacidade institucional do IDR-Paraná na trans"/>
        <s v="A realização do treinamento Cultivo de Cereais de Inverno e Manejo das Principais Cultivares do IDR-Paraná é fundamental para fortalecer a atuação técnica dos profissionais da instituição, especialmente dos extensionistas que atendem as principais regiões"/>
        <s v="A realização do treinamento Cultivo de Feijão e Manejo das Principais Cultivares do IDR-Paraná é estratégica para qualificar a atuação técnica dos extensionistas que atendem as principais regiões produtoras do estado. O feijão é uma cultura de grande impo"/>
        <s v="Sou Assessor do programa grãos: soja e milho. Vou levar um resumo científico para o evento. Tenho várias pesquisas relacionadas ao tema."/>
        <s v="Capacitação dos extensionistas e técnicos da iniciativa privada na cultura do café especificamente em mercado, qualidade e pós colheita."/>
        <s v="Fortalecer o trabalho em equipe e a comunicação entre os colaboradores"/>
        <s v="A capacitação em Elementos de Controle e Programas de Autocontrole para Adesão ao SUSAF é uma ação estruturante do Programa Agroindústria e integra o planejamento anual voltado ao cumprimento da meta institucional relacionada ao eixo Segurança Sanitária d"/>
        <s v="Os assessores gerenciais de cooperativismo atuam na interface entre a realidade produtiva das cooperativas da agricultura familiar e a gestão técnico-administrativa dessas organizações. Entretanto, a maioria desses profissionais não possui formação especí"/>
        <s v="&#10;Melhorar a comunicação de nossos colaboradores em eventos promovidos pelo IDR."/>
        <s v="A capacitação em Noções Básicas de Microbiologia de Alimentos é uma ação essencial diante das demandas crescentes relacionadas à segurança sanitária, conformidade legal e qualificação dos processos produtivos. O domínio dos fundamentos microbiológicos é d"/>
        <s v="A realização da visita técnica é estratégica para o fortalecimento das competências do time no acompanhamento das agroindústrias familiares, pois proporciona a imersão em ambientes industriais que operam em plena conformidade sanitária e com processos rob"/>
        <s v="Precisamos treinar nossos colaboradores para uma liderança mais eficiente no campo."/>
        <s v="A capacitação é importante para a qualificação dos nossos técnicos que atuam na produção orgânica. A região já fez um curso sobre o tema esse ano, mas ainda há necessidade de maior aperfeiçoamento no assunto. Esta é uma demanda dos próprios técnicos do gr"/>
        <s v="Este treinamento é uma demanda dos técnicos que atuam na produção orgânica, pois existem diferenças entre as certificadoras com relação a quais produtos podem ser usados. "/>
        <s v="Principal congresso da área de Plantas Daninhas no Brasil, realizado a cada dois anos. Onde são apresentados as inovações no setor, discutidos os principais problemas e evento onde são apresentados os resultados mais importantes na ciência de plantas dani"/>
        <s v="Avaliar e discutir resultados de pesquisas, planejar trabalhos e promover a integração entre instituições de pesquisa, assistência técnica e extensão rural. É a cultura principal nos meus projetos de pesquisa, indispensável estar atualizado e acompanhando"/>
        <s v="Capacitação dos extensionistas e técnicos da iniciativa privada em Cafeicultura Regenerativa."/>
        <s v="Capacitação dos extensionistas e técnicos da iniciativa privada em Manejo da Cultura do Café."/>
        <s v="Os extensionistas Q-Graders se reúnem para provar e avaliar os cafés dos cafeicultores que se inscreveram no concurso Estadual de Café Qualidade Paraná."/>
        <s v="Necessidade de qualificação técnica dos extensionistas para atuação no projeto junto aos agricultores, visando a produção de sementes livres de vírus e com alto poder genético."/>
        <s v="Capacitar os extensionista no cultivo de batata doce"/>
        <s v="A tecnologia de aplicação na fruticultura com diferentes fruteiras importante para redução de desperdício, para melhorar a qualidade do produto obtido com maior segurança alimentar. Como há aplicação de produtos fitossanitários desde os agroquimicos até p"/>
        <s v="Qualificação técnica dos extensionistas para uso de boas práticas de produção"/>
        <s v="A demanda de mercado e das agroindustria no Parana, por estas fruteiras. Esta demanda vem ocorrendo em todo o Estado. A pesquisa do IDR PARANA, tem estudos na Lapa e Santa Tereza do Oeste, além de pesquisa nessa area. O Senar PR tem no catologo estas frut"/>
        <s v="Capacitar extensionistas e viveiristas na produção de mudas"/>
        <s v="formação de grupo de referencia em citricultura para atender a demanda do setor, em função da expansão em areas não tradicionais do Estado, mesmo para enfretamento do HLB/Greening. Atender os polos de produção existentes no Estado. Esta previsto no conven"/>
        <s v="Curso dividido em 4 módulos  que visa mostrar aos participantes a importância de fazer o planejamento de plantio e organizar a produção para o fornecimento de produtos o ano todo."/>
        <s v="Qualificar extensionista para a produção de mandioca de mesa"/>
        <s v="O programa REVITIS aplicou 9 milhões de reais, beneficiando 400 produtores, porem há compromisso de assistência técnica por 4 anos, para os beneficiários. A atualização da tecnologia de produção é fundamental para formação dos profissionais que atuam nest"/>
        <s v="Qualificação dos extensionistas com atuação no cultivo de morango"/>
        <s v="Qualificar corpo técnico para atuar na cultura do morango"/>
        <s v="Considerando que o servidor Celso Helbel Junior atua como gerente do projeto em andamento no Polo de Pesquisa e Inovação de Paranavaí – “Centro de Inteligência em Pesquisa na Agricultura Irrigada Caiuá (CIAIC) – SETI/Irrigação 2023 – Fonte 132”, cujo esco"/>
        <s v="Capacitar os extensionista no cultivo de batata doce."/>
        <s v="Devido a dúvidas frequentes dos servidores, na utilização correta dos sistemas do SisPont, e-protocolo, central de viagens, há essa necessidade, a equipe regional que tem familiaridades com os sistema devido ao uso contínuo irá fazer uma oficina para os e"/>
        <s v="É importante reconhecer que grande parte dos assessores gerenciais de cooperativismo não possui formação na área de administração, gestão empresarial ou governança cooperativa. Esses profissionais, em sua maioria oriundos das ciências agrárias ou de áreas"/>
        <s v="A presença dos extensionistas na divulgação e premiação junto aos agricultores assistidos levados em excursão valoriza o trabalho executado durante toda a safra."/>
        <s v="Há um grupo de 23 extensionistas que foram capacitados em apicultura (abelhas com ferrão) que precisam do conteúdo de meliponicultura para atender os criadores de abelhas sem ferrão."/>
        <s v="Este curso é continuidade da capacitação realizada em 2025 com os módulo I e II."/>
        <s v="Esta capacitação destina-se para capacitar em apicultura os extensionistas que fizeram o curso de meliponicultura em 2024"/>
        <s v="A área de pós colheita, há necessidade de melhorar os aspectos de qualidade na conservação e melhoria da apresentação das frutas paranaense para atender mercados mais exigentes seja nacional ou destinado a exportação.  Permite reduzir perdas num setor que"/>
        <s v="Potencial para frutas de caroço na região Centro-Sul e Metropolitana, e alguns microclima no Estado. A profissionalização do setor abre novas oportunidades desde comercialização para mercados mais exigentes, como avanço em tecnologia. Mesmo novas preocupa"/>
        <s v="A capacitação é essencial para aprimorar o trabalho da equipe administrativa do IDR-Paraná, especialmente no uso do GRMS, GMS, Protocolo, SRP, compra direta, licitações e credenciamentos, que fazem parte das rotinas diárias do setor.&#10;&#10;Diante das constante"/>
        <s v="O Programa de Aquisição de Alimentos é uma política estratégica de segurança alimentar e nutricional e de geração de renda para as famílias agricultoras. Possibilita que haja beneficiários recebedores e fornecedores. Para que a implementação do programa s"/>
        <s v="A NR 35 é uma norma regulamentadora para trabalho em altura, ela define trabalho em altura, toda a atividade executada acima de 2 m do nível do solo, onde há risco de queda, sendo necessária para atividades de limpeza dos elevadores das máquinas de benefi"/>
        <s v="As frutas de caroço, apresenta potencial e melhoria na qualidade para atender mercados mais exigentes, além de opção de renda para os agricultores familiares, a região proposta tem grande potencial de expansão e condições edafoclimaticas muito favoravel p"/>
        <s v="A importância está em salvar vidas e evitar graves lesões até a chegada da ajuda médica especializada. Conhecimento e ação rápida pode reduzir danos, minimizar o sofrimento, fazendo a diferença entre a vida e morte. Como vamos passar a trabalhar durante a"/>
        <s v="A área de fruticultura temperada, nas principais regiões produtoras do Estado vem reduzindo as horas de frio. Isso faz buscar novas estratégias e formação de novos pomares, com variedades com menores exigência em frio, sistemas de condução, melhoria nas b"/>
        <s v="A capacitação se justifica pela necessidade de fortalecer a atuação dos extensionistas do IDR Paraná na gestão da água em bacias de mananciais, diante dos crescentes desafios climáticos e da pressão sobre os recursos hídricos. O uso do QGIS é essencial pa"/>
        <s v="A capacitação proposta possui relevância estratégica para o fortalecimento da sericicultura no Paraná e representa um investimento direto na qualificação da equipe técnica que atua em uma das cadeias produtivas mais tradicionais e, ao mesmo tempo, mais de"/>
        <s v="A realização do curso de Elaboração e Retificação do CAR é fundamental para aprimorar a atuação técnica dos extensionistas diante das constantes demandas de regularização ambiental no meio rural. O CAR é um instrumento obrigatório e decisivo para o acesso"/>
        <s v="A produção de maçã e pera no Estado tem potencial produtivo, permite uma alternativa de renda para agricultura familiar, além das condições edafoclimaticas permitirem cultivo da fruta em diversas regiões do Estado, além do IDR PARANA, ter várias variedade"/>
        <s v="A realização do curso Regularização Ambiental da Propriedade Rural é essencial para qualificar extensionistas frente às crescentes exigências legais e à complexidade dos processos de regularização no meio rural. A correta elaboração do CAR e adesão ao PRA"/>
        <s v="A adoção de drones na gestão de microbacias representa um avanço significativo na precisão, agilidade e qualidade das informações utilizadas no planejamento ambiental e hidrológico. A geração de ortofotos, modelos digitais e mapas detalhados permite ident"/>
        <s v="A oferta do curso de Gestão Hídrica e Conservação da Água no Meio Rural é essencial diante dos desafios crescentes de escassez, variabilidade climática e aumento da demanda por eficiência hídrica no meio rural. A qualificação dos extensionistas permite me"/>
        <s v="A capacitação é essencial para aprimorar as rotinas de almoxarifado no Sistema GMS, garantindo maior precisão nos registros de entrada, saída e movimentação de materiais. O correto uso do sistema reduz erros, agiliza processos, melhora a confiabilidade do"/>
        <s v="Principais polos de produção de Goiaba (Carlopolis, Lidianopolis, Cianorte), esta cultura se apresenta em outras regiões como alternativa. Há necessidade de forma extensionistas e profissionais da ATER para atuarem nesta cadeia produção. Buscando maior co"/>
        <s v="A capacitação é essencial para aprimorar os fluxos e procedimentos financeiros do IDR-Paraná, garantindo o uso correto dos sistemas SIAFIC, SAFE e protocolo. O treinamento fortalecerá a padronização das rotinas, reduzirá erros operacionais e assegurará a "/>
        <s v="cultivo convencional sem irrigação, apesar de termos boa produtividade, vem reduzindo a área de cultivo. Contudo o abacaxi com mulching, com cultivo familiar vem ampliando suas áreas e vem sendo alternativas de negócios. Precisa preparar melhor os profiss"/>
        <s v="A capacitação é essencial para aprimorar a gestão da frota oficial do IDR-Paraná, garantindo maior eficiência nos processos de manutenção preventiva e corretiva, controle de documentação, multas, acidentes e procedimentos de leilão. O conhecimento atualiz"/>
        <s v="Essencial para aprimorar o controle e a gestão do patrimônio público do IDR-Paraná, garantindo registros corretos, transparência e conformidade com as exigências da Diretoria Administrativa e dos órgãos de controle. O treinamento fortalecerá as competênci"/>
        <s v="O aprimoramento das competências na gestão de bens imóveis é fundamental para garantir a regularidade documental, a correta aplicação dos procedimentos de cessão e doação e o uso adequado do sistema GPM. Essa formação contribui para evitar inconsistências"/>
        <s v="A análise estatística é atividade comum na pesquisa, e os bolsistas de iniciação científica frequentemente necessitam realizar análises nos ensaios em que participam. O programa R é amplamente usado por pesquisadores em todo o mundo, mas por ser um sistem"/>
        <s v="Para atingir os objetivos da área de Organizações Sociais e Mercados, o IDR-Paraná desenvolveu um protocolo de ATER para Cooperativas da Agricultura Familiar, com metodologia e ferramentas específicas. Com o protocolo pretende-se padronizar a ATER para Or"/>
        <s v="A participação na capacitação é fundamental para aprimorar o conhecimento sobre os procedimentos da Central de Viagens do Governo do Paraná, garantindo solicitações corretas, organização adequada e conformidade com as normas vigentes. Esse aprendizado con"/>
        <s v="As políticas públicas voltadas ao meio rural têm repercussões diretas na dinâmica econômica e social do Estado, refletindo a diversidade e a complexidade das realidades regionais. Assim, se faz necessário capacitar os extensionistas enquanto agentes de de"/>
        <s v="A capacitação é importante para fortalecer a atuação da área de Recursos Humanos, garantindo a correta aplicação das normas e boas práticas nas relações de trabalho no IDR-Paraná. O aprimoramento sobre SISPONT, quadro de funções, avaliação de desempenho, "/>
        <s v="A heterogeneidade de formações profissionais entre os assessores gerenciais de organizações da agricultura familiar faz com seja necessário calibrar conhecimentos para a realização do trabalho de assessoria. A oficina vai discutir as ferramentas e metodol"/>
        <s v="O XXIII Congresso Brasileiro de Sementes é realizado desde 1979, e é o maior evento da área, reconhecido dentro e fora do País. O congresso abrangerá palestras, painéis, sessões pôster com trabalhos científicos, além do showroom tecnológico com exposição "/>
        <s v="A temática da segurança alimentar e nutricional é um dos eixos do Programa de PSC e transpassa todos os demais programas que envolvem a produção de alimentos, além de estar vinculada às políticas de inclusão produtiva no meio rural. Este tema é estratégic"/>
        <s v="Um estágio de pós-doutorado tem o objetivo de aperfeiçoar as atividades de pesquisa de um profissional com doutorado, proporcionando o aprofundamento em um tema específico e a expansão de sua experiência acadêmica e profissional."/>
        <s v="Atualização. "/>
        <s v="O programa REVITIS, vem avançando no Estado, o Seminário é fundamental para definir próximos etapas do Programa frente aos novos cenários de mercado, da sucessão familiar, e atualização de praticas sustentáveis e da competitividade da viticultura paranaen"/>
        <s v="Na cadeira produtiva dentro dos polos de produção há necessidade de cooperativas e associação de produtores e mesmo produtores para acessarem mercados fora do Estado e as CEASAS, a emissão por profissionais que atuam na cadeia produtiva do CFO. Além de pe"/>
        <s v="Necessidade de otimizar as ações de pesquisa, no tocante ao planejamento e execução de atividades. Organização de tempo, metodologia de otimização de resultados. Desenvolver habilidades para estimular a equipe a desenvolver seu melhor potencial, mantendo "/>
        <s v="Aprofundar os conhecimentos em estatística, com foco em pesquisa experimental. A formatação do curso com uso do programa R permite conhecer o  programa também, de forma a conseguir aplicar facilmente os conhecimentos, uma vez que o programa é gratuito. O "/>
        <s v="Atualização de conhecimentos nas analises de laboratório realizadas hoje nas atividades de pesquisa/demandas de analise."/>
        <s v="Evento científico  ligado à cultura da soja, a participação será importante para conhecimento e atualização das novas linhas de pesquisas em solos, será apresentado em pôster resultados de pesquisa do IDR-Paraná, bem como, participação em palestras, confe"/>
        <s v="Apresentar resultados de pesquisa e integração com outros pesquisadores."/>
        <s v="Evento científico  ligado à cultura do feijão, a participação será importante para conhecimento e atualização das novas linhas de pesquisas em solos, será apresentado em pôster resultados de pesquisa do IDR-Paraná, bem como, participação em palestras, con"/>
        <s v="Qualificação técnica dos extensionistas para uso de boas práticas de produção."/>
        <s v="Os dois servidores operam pulverizadores"/>
        <s v="Qualificar extensionista para a produção de mandioca de mesa."/>
        <s v="O MOATRIGO é realizado pelo Sinditrigo -PR e promovido por suas Associadas e Colaboradoras, o Moatrigo é um evento cuidadosamente elaborado a partir da opinião da Indústria para ampliar o desenvolvimento profissional na cadeia produtiva do Trigo. "/>
        <s v="O congresso abordará o papel das sementes como a matéria-prima fundamental da sustentabilidade agrícola. Discutir a interface entre inovação, qualidade e rentabilidade do setor, mantendo o foco na preservação de recursos naturais e biodiversidade, está di"/>
        <s v="O MOATRIGO é realizado anualmente pelo Sindicato da Indústria do Trigo do Paraná (Sinditrigo-PR) com o objetivo de promover o desenvolvimento profissional e discutir tendências e inovações na indústria moageira."/>
        <s v="Temática necessária permanentemente tanto para técnicos como para os beneficiários da ATER, pois diz respeito à participação social nas políticas públicas, monitoramento, execução e avaliação.  "/>
        <s v="O curso básico em Agroecologia é de extrema importância para a formação técnica dos extensionistas. Serão abordadas tecnologias que possibilitam o técnico a iniciar sua atividade na agroecologia em qualquer sistema de produção. "/>
        <s v="A oficina prática em Bioinsumos proporciona a oportunidade dos técnicos praticarem as receitas e assim dominar a tecnologia de preparo e uso dos Bioinsumos"/>
        <s v="Faz-se necessária a reunião dos técnicos remanescentes do Time Estadual da Agroeocologia, bem como incluir novos colegas no time, estabelecer diretrizes e metodologias de trabalho; Ações técnicas a serem desenvolvidas nas regiões, definição de estratégias"/>
        <s v="A reunião se justifica pela necessidade da uniformização das ações e estratégias de trabalho no alcance dos objetivos, bem como na troca de experiências entre os técnicos das diferentes regiões em busca do alcance dos objetivos propostos."/>
        <s v="Extensionistas para suporte da cadeia produtiva nos polos de produção, possibilitando a comercialização da fruta nas CEASAs e para outros Estados. Além da atualização em pragas e doenças para trabalho educativo de prevenção de entradas de novas pragas e d"/>
        <s v="Os extensionistas atuam  na fruticultura precisam de conhecimento básico sobre fertirrigação para suporte aos agricultores familiares, nos trabalhos de extensão rural e assistência técnica. Há uma deficiência nesta área do conhecimento nos polos de produç"/>
        <s v="Capacitação das região oeste, Umuarama e laranjeira do Sul, Francisco Beltrão na produção de Maracujá, da produção de mudas, sistemas de produção a comercialização. "/>
        <s v="As regiões oeste, sudoeste, laranjeira do Sul vem aproveitando microclimas para desenvolvimento da bananicultura, sendo que região de Umuarama há necessidade obrigatória da irrigação. Fomento da cultura potencial com proximidade de mercados consumidores e"/>
        <s v="Fomento da fruticultura na região e capacitação de parceiros e elaboração de protocolos. A fruticultura opção de renda para produtores da região oeste, além de aproveitar microclimas para produção de uvas para mesa e para processamento. Há presença de vin"/>
        <s v="fomento do cultivo, elaboração de protocolo técnico para região.Oportunidade regional para agricultores familiares atender mercados e agroindustria e principalmente diversificação das propriedades."/>
        <s v="Para avanço em termos de qualidade e segurança alimentar, a área fitossanitária é chave, principalmente na tecnologia de aplicação para termos maior eficiência de controle e redução de custos e novos métodos de aplicação. Avaliação e monitoramento quanto "/>
        <s v="O treinamento para a correta utilização da ferramenta de gestão é fundamental para seu melhor aproveitamento. Com o uso adequado do sistema é possível mensurar de forma padronizada e profissionalizada os resultados financeiros e zootécnicos de propriedade"/>
        <s v="O Congresso Mundial de Brangus ocorre a cada dois anos e, em 2026, será em Londrina. É conhecido por sua relevância no cenário internacional da pecuária de corte, destacando a raça Brangus. O evento reúne pesquisadores, técnicos e criadores da raça que te"/>
        <s v="Trata-se de evento anual que visa atualizar os extensionistas do Programa Grãos sobre boas práticas de manejo integrado na cultura da soja, de forma correlacionada com os protocolos técnicos do Programa Grãos"/>
        <s v="Curso que visa aperfeiçoar os conhecimentos da equipe de grãos em MIP, MID, MIPD e afins.&#10;Sugestão de enviar 01 extensionista de referencia por unidade regional."/>
        <s v="Evento organizado pela Embrapa Soja, sendo oportunidade de capacitação de extensionistas referencias do Programa Grãos e prospecção de novas ações dentro do programa.&#10;Sugestão de enviar 01 extensionista por unidade regional"/>
        <s v="Refere-se a tema relacionado a protocolo técnico em fase inicial de implantação"/>
        <s v="Trata-se de tema correlato com  protocolo técnico em fase inicial de implantação no programa"/>
        <s v="Demanda dos extensionistas de campo.&#10;Proposta de aproveitar ações da rede de agropesquisa desenvolvidos no PR."/>
        <s v="Grande demanda dos extensionistas de campo, e relação com protocolo técnico em fase inicial de implantação"/>
        <s v="Demanda enviada pela equipe de campo, com relação com protocolo técnico do Programa Grãos"/>
        <s v="Demanda enviada pela equipe de campo, com relação com protocolo técnico de rotação de culturas"/>
        <s v="Demanda enviada pela equipe de campo, visando aprimorar as práticas de manejo das principais culturas de grãos do PR"/>
        <s v="Demanda enviada pela equipe de campo e tema atual, demandando atualização dos extensionistas"/>
        <s v="Demanda enviada pela equipe de campo"/>
        <s v="Projeto de Fruticultura é prioridade regional e o tema é pertinente as ações de campo."/>
        <s v="Devido a presença da cultura nas principais pesquisas conduzidas por mim neste Polo de pesquisa é de extrema importância participar do principal evento técnico da cultura da soja realizado em nosso Estado. Pretendo apresentar um resumo científico no event"/>
        <s v="A realização da capacitação em Introdução à Avaliação de Valor do Café (CVA) é fundamental para qualificar estudantes de graduação e pós-graduação, colaboradores, técnicos e cafeicultores, promovendo a disseminação de conhecimentos técnicos que possam ser"/>
        <s v="A capacitação em Introdução aos fundamentos da torra do café é estratégica para o fortalecimento da cadeia produtiva do café no Paraná, pois a etapa de torra exerce influência direta na formação dos atributos sensoriais, na padronização da qualidade e na "/>
        <s v="O programa apresenta alinhamento direto com os fundamentos contemporâneos da administração pública moderna, especialmente no que se refere à:&#10;gestão por resultados; eficiência administrativa; racionalização de processos; transparência e responsabilização;"/>
        <s v="Esta capacitação destina-se para capacitar em apicultura os extensionistas que fizeram o curso de meliponicultura em 2024 e o módulo I de apicultura de 2026"/>
        <s v="Este treinamento fornece as habilidades de relações humanas para poder prosperar em qualquer cenário, descobrir como formar relacionamentos mais próximos e recompensadores construídos através da confiança e respeito. Com uma maior confiança e competência "/>
        <s v="Possibilidade de capacitação em gestão, tecnologia, inovação, liderança, dados, estratégia, sustentabilidade e políticas públicas."/>
        <s v="O IDR de Paranavaí utiliza inseticidas, herbicidas e outros insumos que exigem transporte adequado por profissionais qualificados, conforme a legislação, para evitar riscos no manuseio. Devido à crescente demanda e à aposentadoria de servidores, é necessá"/>
        <s v="A realização do Encontro de Organizadores de Caminhada na Natureza justifica-se pela necessidade de fortalecer, qualificar e integrar as iniciativas de turismo rural e de turismo de natureza em nosso Estado. Nos últimos anos, as Caminhadas na Natureza têm"/>
        <s v="A realização do Encontro Estadual de Enoturismo justifica-se pela crescente relevância econômica, cultural e ambiental do setor vitivinícola no desenvolvimento regional. O enoturismo consolidou-se nas últimas décadas como uma atividade estratégica para di"/>
        <s v="O projeto Estação Gastronômica, proposto pelo IDR-Paraná, justifica-se pela necessidade de fortalecer a cadeia produtiva da agricultura familiar, valorizar a identidade territorial dos alimentos paranaenses e promover o desenvolvimento socioeconômico loca"/>
        <s v="No dia 05 de janeiro, o IDR-Paraná receberá mais de 160 egressos convocados do Processos Seletivo Simplificado. A capacitação de novos egressos no serviço público é fundamental para assegurar a continuidade e a qualidade das políticas públicas. Ao ingress"/>
        <s v="A realização do Seminário de Residentes Técnicos do IDR-Paraná justifica-se pela necessidade de consolidar a formação prática dos participantes e de promover a integração institucional entre os residentes, chefes regionais e assessores das áreas de pesqui"/>
        <s v="A realização do Seminário de Servidores Pós-Graduandos do IDR-Paraná fundamenta-se na necessidade de valorizar, socializar e integrar os conhecimentos produzidos pelos profissionais da instituição em seus cursos de especialização, mestrado ou doutorado. A"/>
        <s v="Dar seguimento ao curso que fora adiado em 2025. Este segmento apresenta a pesquisa de dados sobre o espaço geográfico de atuação do extensionista no que tange os aspectos físicos, econômicos, ambientais e sociais, permitindo ao extensionista a compreensã"/>
        <s v="Na região há muitos servidores sofrendo por problemas de depressão , ansiedade com uso de medicamentos"/>
        <s v="No IDR-Paraná, a pesquisa com defesa hormonal, de genes de resistência/suscetibilidade e da percepção das defesas vegetais contra o ataque de nematoides tem sido realizada no Laboratório de Biotecnologia. Investir na capacitação nesta temática é garantir "/>
        <s v="Será a primeira oportunidade de capacitação do servidor neste evento. Nos últimos anos o IDR-Paraná tem desenvolvido trabalhos com fisiopatologia da interação planta - nematoides, já gerando publicação de caráter inédito da participação de fitormônio (ABA"/>
        <s v="Este é principal evento relacionado à especialidade de trabalho dos participantes. Reúne a cada dois anos os maiores especialistas da área para discutir atualidades e apresentar resultados de pesquisa. É uma grande oportunidade para atualização de conheci"/>
        <s v="A realidade paranaense de produção de frutas permite em função da diversidade climatica e de solos, produzir frutas temperadas e tropicais. A proximidade de mercados e a estrutura de aeroportos e de portos, permite buscar estruturar fomento as fruticultur"/>
        <s v="A participação no  simpósio organizado pelo Regional Brasileira da Sociedade Internacional de Biometria (RBras) é  importante para o desenvolvimento das minhas atividades na instituição."/>
        <s v="Apresentação de trabalhos relativos aos ensaios cooperativos da Comissão Brasileira de Pesquisa de Aveia. Os trabalhos foram conduzidos no IDR - Paraná, em Ponta Grossa e Santa Tereza do Oeste;"/>
        <s v="A temática central do evento, “Políticas para a Natureza, Alimentação e Nutrição em tempos de incerteza e mudanças climáticas”, dialoga diretamente com os desafios enfrentados pelo cooperativismo da agricultura familiar no Paraná. A participação dos técni"/>
        <s v="Além de palestras técnicas, na RCBPA são apresentados resultados de ensaios de competição de cultivares e ensaios de Valor de Cultivo e Uso (VCU) conduzidos, na safra anterior, pelas instituições credenciadas junto à Comissão Brasileira de Pesquisa de Ave"/>
        <s v="Comissão Brasileira de Pesquisa de Aveia (CBPA) tem por finalidade coordenar, planejar e analisar os trabalhos de pesquisa de aveia realizados no país. Para isso, reúne-se anualmente com a missão de divulgar os resultados alcançados nas pesquisas recentes"/>
        <s v="Produção Orgânica Viticultura (REVITIS) e outras frutas. Região concentrada produção de frutas de caroço, caqui, Kiwi com alta nível tecnológico, e intensa participação de agricultura familiar. Alto grau de participação de cooperativas e empresas que  atu"/>
        <s v="A participação é fundamental para a equipe da ASE para fortalecer as pesquisas desenvolvidas no IDR-Paraná nas áreas de economia e sociologia rural. O evento representa uma oportunidade para atualização científica sobre metodologias, integração com redes "/>
        <s v="Sou pesquisador em fruticultura e assessor estadual de fruticultura"/>
        <s v="Sou Assessor do programa grãos: soja e milho e sócio da ABMS - Associação brasileira de Milho e Sorgo. Pretendo levar dois resumos científicos para apresentar no evento, além de atualizar meus conhecimentos sobre a cultura do milho."/>
        <s v="Trata-se do principal evento nacional dedicado exclusivamente às plantas medicinais, envolvendo pesquisa fitoquímica, etnobotânica, biotecnologia vegetal e desenvolvimento de aplicações farmacêuticas e agrícolas. A capacitação permitirá:&#10;Atualização técni"/>
        <s v="A participação dos técnicos do IDR-Paraná nos eventos técnicos correlatos ao Prêmio Queijo Brasil, além de permitir acesso a conteúdos técnicos de excelência, viabiliza a logística e o suporte necessário à participação dos queijos produzidos por nossos as"/>
        <s v="Construir uma rede de pesquisadores e extensionistas para suporte aos trabalhos em andamentos no Estado. Apropriando se de resultados para possíveis adaptações ou validação em território paranaense. O conhecimento gerado no simpósio possa inserir nas capa"/>
        <s v="Na cadeia produtiva da pitaya, a Epagri vem se destacando com equipe de pesquisadores e extensionistas que vem dando suporte aos polos de produção. Já estivemos no Simpósio Brasileiro de Pitaya em Santa Catarina, estão com muita pesquisa sendo feita na cu"/>
        <s v="Extensionistas que estão presentes nos polos de produção, já fizeram a capacitação dentro do IDR Paraná, e vem atuando na cultura. O objetivo conhecer polo de produção, e transferência de tecnologia feita pela Epagri, referencia na área do conhecimento. C"/>
        <s v="A cultura do milho é estratégica para a agricultura paranaense e brasileira, sendo foco constante em nossos projetos de pesquisa, cujos resultados devem ser compartilhados no meio científico. O evento, localizado a apenas 135 km de Pato Branco, ocorrerá e"/>
        <s v="Atualização em fruticultura temperadas num dos principais polos de produção do país, além das acesso resultados de pesquisas mais recentes, para extensionistas e pesquisadores atuarem nos polos de produção paranaenses. A fruticultura temperada tem potenci"/>
        <s v="O sudoeste do Paraná é a principal região produtora de leite do estado do Paraná e a participação nas palestras deste evento nacional proporcionarão uma visão atualizada da cadeia produtiva do leite. Será também um momento de realizar networking e iniciar"/>
        <s v="A cultura do milho é de extrema relevância para a agricultura paranaense/brasileira e as inovações para o fortalecimento da cadeia produtiva precisam ser conhecidas e aplicadas em nossas pesquisas. Em todos os projetos que atuo avaliamos a cultura do milh"/>
        <s v="A capacitação em processamento de uva e elaboração de vinhos e derivados é uma ação estratégica para a qualificação atuação do IDR-Paraná junto às agroindústrias familiares que produzem ou pretendem produzir vinhos, sucos e outros derivados. A agricultura"/>
        <s v="É de grande importância que o IDR-Paraná se mantenha a par das inovações dentro da esfera da Agricultura Orgânica, principalmente para o comprimento das metas governamentais assumidas para 2030 do Paraná mais orgânico. É portanto necessário acompanhar o q"/>
        <s v="O evento, por reunir influenciadores e líderes da área de RH, será uma oportunidade única para os cargos administrativos do RH do IDR atualizarem seus conhecimentos sobre as principais tendências do setor no em assuntos como liderança, recrutamento e gest"/>
        <s v="A região tem como prioridade a produção orgânica certificada e a participação e atualização da ciência e caminhos dos sistemas agro ecológico é necessário para ajustes estratégicos regionais."/>
        <s v="O IDR-Paraná participa no processo de desenvolvimento da pecuária de corte regional via Conselho de Sanidade Agropecuária e do projeto Pecuária Moderna por isso a necessidade de qualificação e atualização técnica permanente."/>
        <s v="O IDR-Paraná participa do Conselho de Sanidade Agro Pecuária e do Projeto de Pecuária Moderna e é importante à qualificação de nossa equipe nas novidades do setor."/>
        <s v="Como pesquisador que atua na produção de leite orgânico aqui na Estação de Pesquisa em Agroecologia é fundamental estar atualizado sobre o tema da produção orgânica, e este congresso, tem esta finalidade"/>
        <s v="A visita ao IFSP é importante para os técnicos conhecerem como é o sistema de produção dos materiais que são utilizados para a produção dos bioinsumos em meio sólido. "/>
        <s v="A Hortitec é a maior feira  da horticultura da América Latina, onde são apresentadas as novidades e inovações tecnológicas para o setor. Nossos técnicos participaram em 2025 e trouxeram muitas informações importantes e também muitos contatos com empresas "/>
        <s v="Como o nome diz, é evento técnico-científico, preenchendo uma lacuna que existia pela falta de um evento atual com esse foco na produção orgânica. É o principal evento nacional para discussão de pesquisas, resultados, técnicas, troca de experiências e int"/>
        <s v="Dado os trabalhos com acúmulo de matéria orgânica pelo mix de plantas de cobertura que estou conduzindo, o evento se torna relevante para a discussão desses resultados e observar trabalhos em áreas correlatas e complementares, buscando entender melhor a d"/>
        <s v="O litoral do Paraná conta com cerca de 6.000 pescadores artesanais, cuja atividade é essencialmente extrativista e com baixa agregação de valor. A participação na capacitação em Charcutaria do Mar é importante para ampliar seu domínio sobre técnicas de pr"/>
        <s v="A participação no São Paulo Coffee Festival é fundamental para ampliar conhecimentos, fortalecer conexões profissionais e acompanhar as principais tendências do mercado de cafés especiais. O evento reúne produtores, torrefadores, baristas, fornecedores, m"/>
        <s v="A participação no São Paulo Coffee Festival é essencial para o fortalecimento das atividades de pesquisa, capacitação e articulação institucional relacionadas à cafeicultura. O evento reúne especialistas, pesquisadores e produtores, constituindo um ambien"/>
        <s v="O cultivo em expansão, com grande avanço na área tecnológica. Alto valor agregado que a cultura permite, além de domínio tecnológico, há possibilidade de avanço para exportação dessa fruta. O Idr-Parana vem trabalhando no desenvolvimento de cultivares. Al"/>
        <s v="Evento científico  ligado à Nutrição de Plantas, a participação será importante para conhecimento e atualização das novas linhas de pesquisas em solos, será apresentado em pôster resultados de pesquisa do IDR-Paraná, bem como, participação em palestras, c"/>
        <s v="A participação no International Congress on Advances in Sensory Science and Consumer Research é importante minha atuação como pesquisadora em qualidade do café no IDR-Paraná, pois o evento reúne os maiores especialistas nacionais e internacionais em ciênc"/>
        <s v="A citricultura esta entre principais frutas produzidas no Estado. Há necessidade de conhecimento e atualização quanto a fitossanidade e Greening. No Centro de Citricultura é referencial em tecnologia e produção de citros. Principal evento da cadeia produt"/>
        <s v="Atualização em insumos, equipamentos, maquinas, irrigação, plasticultura para fruticultura."/>
        <s v="Regiões tradicionais de fruticultura, contribuir com desenvolvimento da fruticultura paranaense, com extensionistas instrutores para capacitação da Assistência técnica e agricultores familiares, cooperativas, além de fomentar as atividades potenciais  no "/>
        <s v="A participação de técnicos do IDR-Paraná no evento internacional é de extrema importância para atualização em temas pertinentes à bovinocultura de corte, troca de experiências com pesquisadores, produtores e outros técnicos envolvidos na atividade, para p"/>
        <s v="A capacitação tem como objetivo profissionalizar e fornecer ferramentas para avaliação e formulação de dietas de forma prática e estratégica para diferentes sistemas de produção, oportunizando melhoria na produtividade das propriedades assistidas pelo IDR"/>
        <s v="Conteúdo de alto nível, com palestrantes nacionais e internacionais, que vão tratar de temas que já estão impactando a produção leiteira hoje e as tendências do futuro do setor, para apoia a 2a. fase do projeto de caracterização do leite no Paraná (2026) "/>
        <s v="Capacitar e orientar técnicos envolvidos no programa de Piscicultura do IDR-Paraná para oportunidade de negócio existente, para que possam ter condições de apresentar e repassar conteúdo adquirido. E desta forma incentivar uma nova alternativa para cadeia"/>
        <s v="Modalidade de Sistema de produção altamente demandado por produtores, com pouco conhecimento dos técnicos. Necessidade de ampliar conhecimento do grupo de técnicos ativos no programa de piscicultura para atender esta demanda existente."/>
        <s v="Atualizações para conservação, caractertização e documentação de recursos genéticos"/>
      </sharedItems>
    </cacheField>
    <cacheField name="Informar quantidade de refeição (n°)" numFmtId="4">
      <sharedItems containsSemiMixedTypes="0" containsString="0" containsNumber="1" containsInteger="1">
        <n v="12.0"/>
        <n v="10.0"/>
        <n v="5.0"/>
        <n v="18.0"/>
        <n v="110.0"/>
        <n v="8.0"/>
        <n v="45.0"/>
        <n v="0.0"/>
        <n v="7.0"/>
        <n v="26.0"/>
        <n v="16.0"/>
        <n v="21.0"/>
        <n v="80.0"/>
        <n v="36.0"/>
        <n v="40.0"/>
        <n v="86.0"/>
        <n v="20.0"/>
        <n v="30.0"/>
        <n v="90.0"/>
        <n v="400.0"/>
        <n v="560.0"/>
        <n v="210.0"/>
        <n v="240.0"/>
        <n v="700.0"/>
        <n v="150.0"/>
        <n v="6.0"/>
        <n v="60.0"/>
        <n v="50.0"/>
        <n v="70.0"/>
        <n v="48.0"/>
        <n v="142.0"/>
        <n v="34.0"/>
        <n v="224.0"/>
        <n v="44.0"/>
        <n v="11.0"/>
        <n v="120.0"/>
        <n v="245.0"/>
        <n v="490.0"/>
        <n v="140.0"/>
        <n v="108.0"/>
        <n v="276.0"/>
        <n v="2.0"/>
        <n v="102.0"/>
        <n v="280.0"/>
        <n v="180.0"/>
        <n v="100.0"/>
        <n v="168.0"/>
        <n v="300.0"/>
        <n v="170.0"/>
        <n v="320.0"/>
        <n v="360.0"/>
        <n v="42.0"/>
        <n v="225.0"/>
        <n v="250.0"/>
        <n v="230.0"/>
        <n v="160.0"/>
        <n v="75.0"/>
        <n v="125.0"/>
        <n v="9.0"/>
        <n v="72.0"/>
        <n v="342.0"/>
        <n v="624.0"/>
        <n v="350.0"/>
        <n v="500.0"/>
        <n v="14.0"/>
        <n v="24.0"/>
        <n v="270.0"/>
        <n v="352.0"/>
        <n v="440.0"/>
        <n v="19.0"/>
        <n v="336.0"/>
        <n v="600.0"/>
        <n v="1215.0"/>
        <n v="207.0"/>
        <n v="27.0"/>
        <n v="3040.0"/>
        <n v="633.0"/>
        <n v="116.0"/>
        <n v="154.0"/>
        <n v="84.0"/>
        <n v="77.0"/>
      </sharedItems>
    </cacheField>
    <cacheField name="Informar quantidade de pernoite (n°)" numFmtId="4">
      <sharedItems containsSemiMixedTypes="0" containsString="0" containsNumber="1" containsInteger="1">
        <n v="6.0"/>
        <n v="5.0"/>
        <n v="4.0"/>
        <n v="8.0"/>
        <n v="50.0"/>
        <n v="15.0"/>
        <n v="0.0"/>
        <n v="14.0"/>
        <n v="7.0"/>
        <n v="40.0"/>
        <n v="12.0"/>
        <n v="16.0"/>
        <n v="38.0"/>
        <n v="45.0"/>
        <n v="200.0"/>
        <n v="240.0"/>
        <n v="90.0"/>
        <n v="300.0"/>
        <n v="100.0"/>
        <n v="20.0"/>
        <n v="24.0"/>
        <n v="68.0"/>
        <n v="81.0"/>
        <n v="18.0"/>
        <n v="105.0"/>
        <n v="70.0"/>
        <n v="36.0"/>
        <n v="132.0"/>
        <n v="60.0"/>
        <n v="30.0"/>
        <n v="42.0"/>
        <n v="10.0"/>
        <n v="25.0"/>
        <n v="125.0"/>
        <n v="150.0"/>
        <n v="115.0"/>
        <n v="80.0"/>
        <n v="2.0"/>
        <n v="3.0"/>
        <n v="171.0"/>
        <n v="312.0"/>
        <n v="170.0"/>
        <n v="245.0"/>
        <n v="120.0"/>
        <n v="88.0"/>
        <n v="176.0"/>
        <n v="126.0"/>
        <n v="250.0"/>
        <n v="21.0"/>
        <n v="567.0"/>
        <n v="69.0"/>
        <n v="9.0"/>
        <n v="1488.0"/>
        <n v="280.0"/>
        <n v="17.0"/>
      </sharedItems>
    </cacheField>
    <cacheField name="Taxa de Inscrição (R$)" numFmtId="0">
      <sharedItems containsSemiMixedTypes="0" containsString="0" containsNumber="1" containsInteger="1">
        <n v="350.0"/>
        <n v="1000.0"/>
        <n v="800.0"/>
        <n v="500.0"/>
        <n v="1600.0"/>
        <n v="15000.0"/>
        <n v="1200.0"/>
        <n v="1500.0"/>
        <n v="4000.0"/>
        <n v="4500.0"/>
        <n v="6170.0"/>
        <n v="7500.0"/>
        <n v="700.0"/>
        <n v="0.0"/>
        <n v="600.0"/>
        <n v="5000.0"/>
        <n v="200.0"/>
        <n v="250.0"/>
        <n v="50000.0"/>
        <n v="2700.0"/>
        <n v="2000.0"/>
        <n v="8000.0"/>
        <n v="950.0"/>
        <n v="750.0"/>
        <n v="400.0"/>
        <n v="30000.0"/>
        <n v="1100.0"/>
        <n v="3000.0"/>
        <n v="4200.0"/>
        <n v="900.0"/>
        <n v="2790.0"/>
        <n v="18000.0"/>
        <n v="300.0"/>
        <n v="23450.0"/>
        <n v="658800.0"/>
        <n v="120000.0"/>
        <n v="2520.0"/>
        <n v="380.0"/>
        <n v="2500.0"/>
        <n v="3199.0"/>
      </sharedItems>
    </cacheField>
    <cacheField name="Material Gráfico (R$) " numFmtId="0">
      <sharedItems containsSemiMixedTypes="0" containsString="0" containsNumber="1" containsInteger="1">
        <n v="0.0"/>
        <n v="250.0"/>
        <n v="350.0"/>
        <n v="1100.0"/>
        <n v="500.0"/>
        <n v="150.0"/>
        <n v="100.0"/>
        <n v="200.0"/>
        <n v="180.0"/>
        <n v="300.0"/>
        <n v="1000.0"/>
        <n v="2000.0"/>
        <n v="1200.0"/>
        <n v="2720.0"/>
        <n v="800.0"/>
        <n v="5000.0"/>
        <n v="160.0"/>
        <n v="75.0"/>
      </sharedItems>
    </cacheField>
    <cacheField name="Passagem aérea (R$)" numFmtId="166">
      <sharedItems containsSemiMixedTypes="0" containsString="0" containsNumber="1" containsInteger="1">
        <n v="1650.0"/>
        <n v="4500.0"/>
        <n v="4000.0"/>
        <n v="7500.0"/>
        <n v="30000.0"/>
        <n v="3000.0"/>
        <n v="2500.0"/>
        <n v="7000.0"/>
        <n v="0.0"/>
        <n v="5772.0"/>
        <n v="10638.0"/>
        <n v="5200.0"/>
        <n v="10000.0"/>
        <n v="27000.0"/>
        <n v="2000.0"/>
        <n v="35000.0"/>
        <n v="1700.0"/>
        <n v="1500.0"/>
        <n v="15000.0"/>
        <n v="2400.0"/>
        <n v="12000.0"/>
        <n v="5000.0"/>
        <n v="868.0"/>
        <n v="6000.0"/>
        <n v="1316.0"/>
        <n v="1545.0"/>
        <n v="3900.0"/>
        <n v="3380.0"/>
        <n v="20826.0"/>
        <n v="3800.0"/>
        <n v="3200.0"/>
        <n v="1200.0"/>
        <n v="1100.0"/>
      </sharedItems>
    </cacheField>
    <cacheField name="Passagem terrestre/ônibus" numFmtId="166">
      <sharedItems containsSemiMixedTypes="0" containsString="0" containsNumber="1">
        <n v="0.0"/>
        <n v="500.0"/>
        <n v="400.0"/>
        <n v="200.0"/>
        <n v="2250.0"/>
        <n v="320.0"/>
        <n v="316.6"/>
        <n v="130.0"/>
        <n v="750.0"/>
        <n v="900.0"/>
        <n v="300.0"/>
        <n v="800.0"/>
        <n v="1000.0"/>
      </sharedItems>
    </cacheField>
    <cacheField name="Táxi (R$)" numFmtId="166">
      <sharedItems containsSemiMixedTypes="0" containsString="0" containsNumber="1" containsInteger="1">
        <n v="300.0"/>
        <n v="500.0"/>
        <n v="1000.0"/>
        <n v="2000.0"/>
        <n v="200.0"/>
        <n v="400.0"/>
        <n v="800.0"/>
        <n v="100.0"/>
        <n v="0.0"/>
        <n v="1500.0"/>
        <n v="3500.0"/>
        <n v="1200.0"/>
        <n v="50.0"/>
        <n v="350.0"/>
        <n v="900.0"/>
        <n v="150.0"/>
      </sharedItems>
    </cacheField>
    <cacheField name="Pedágio (R$)" numFmtId="0">
      <sharedItems containsSemiMixedTypes="0" containsString="0" containsNumber="1" containsInteger="1">
        <n v="0.0"/>
        <n v="200.0"/>
        <n v="400.0"/>
        <n v="300.0"/>
        <n v="800.0"/>
        <n v="350.0"/>
        <n v="500.0"/>
        <n v="100.0"/>
        <n v="90.0"/>
        <n v="360.0"/>
        <n v="140.0"/>
        <n v="190.0"/>
        <n v="55.0"/>
        <n v="600.0"/>
      </sharedItems>
    </cacheField>
    <cacheField name="Van (R$)" numFmtId="166">
      <sharedItems containsSemiMixedTypes="0" containsString="0" containsNumber="1" containsInteger="1">
        <n v="0.0"/>
        <n v="500.0"/>
        <n v="2000.0"/>
        <n v="300.0"/>
      </sharedItems>
    </cacheField>
    <cacheField name="Coffee Break" numFmtId="0">
      <sharedItems containsBlank="1">
        <s v="Não"/>
        <s v="Sim"/>
        <m/>
      </sharedItems>
    </cacheField>
    <cacheField name="Total KM (Veículo oficial)">
      <sharedItems containsBlank="1" containsMixedTypes="1" containsNumber="1" containsInteger="1">
        <n v="0.0"/>
        <n v="500.0"/>
        <n v="5000.0"/>
        <n v="1200.0"/>
        <s v="00"/>
        <n v="1500.0"/>
        <n v="2000.0"/>
        <n v="1300.0"/>
        <n v="2500.0"/>
        <n v="12000.0"/>
        <n v="15000.0"/>
        <n v="10000.0"/>
        <n v="25000.0"/>
        <n v="700.0"/>
        <n v="800.0"/>
        <n v="750.0"/>
        <n v="560.0"/>
        <n v="400.0"/>
        <n v="600.0"/>
        <n v="1900.0"/>
        <n v="2100.0"/>
        <n v="1100.0"/>
        <n v="2109.0"/>
        <n v="1000.0"/>
        <n v="910.0"/>
        <n v="5650.0"/>
        <n v="320.0"/>
        <n v="6000.0"/>
        <n v="3000.0"/>
        <n v="7000.0"/>
        <n v="100.0"/>
        <n v="16186.0"/>
        <n v="4500.0"/>
        <n v="60000.0"/>
        <n v="300.0"/>
        <n v="20.0"/>
        <n v="8000.0"/>
        <n v="4000.0"/>
        <n v="678.0"/>
        <n v="15200.0"/>
        <n v="2700.0"/>
        <n v="2690.0"/>
        <n v="2400.0"/>
        <n v="3600.0"/>
        <n v="150.0"/>
        <n v="178.0"/>
        <n v="214.0"/>
        <n v="382.0"/>
        <n v="240.0"/>
        <n v="6686.0"/>
        <n v="820.0"/>
        <n v="3540.0"/>
        <n v="738.0"/>
        <n v="6448.0"/>
        <n v="3848.0"/>
        <n v="6952.0"/>
        <n v="16244.0"/>
        <n v="850.0"/>
        <n v="1050.0"/>
        <n v="887.0"/>
        <n v="16200.0"/>
        <n v="1550.0"/>
        <n v="1640.0"/>
        <n v="1920.0"/>
        <n v="1850.0"/>
        <n v="1740.0"/>
        <n v="650.0"/>
        <n v="1350.0"/>
        <n v="1480.0"/>
        <n v="1700.0"/>
        <n v="2800.0"/>
        <n v="10800.0"/>
        <n v="3400.0"/>
        <n v="900.0"/>
        <n v="1400.0"/>
        <n v="2702.0"/>
        <n v="200.0"/>
        <n v="10200.0"/>
        <n v="15516.0"/>
        <n v="7200.0"/>
        <n v="2300.0"/>
        <n v="1800.0"/>
        <n v="840.0"/>
        <n v="6200.0"/>
        <n v="5200.0"/>
        <m/>
      </sharedItems>
    </cacheField>
    <cacheField name="Integração" numFmtId="0">
      <sharedItems containsBlank="1">
        <s v="Não"/>
        <s v="Sim"/>
        <m/>
      </sharedItems>
    </cacheField>
    <cacheField name="Valor Coffee break (R$)" numFmtId="166">
      <sharedItems containsSemiMixedTypes="0" containsString="0" containsNumber="1">
        <n v="0.0"/>
        <n v="2264.0"/>
        <n v="3622.4"/>
        <n v="1358.4"/>
        <n v="4528.0"/>
        <n v="431.59999999999997"/>
        <n v="2716.8"/>
        <n v="1079.0"/>
        <n v="452.8"/>
        <n v="1584.8"/>
        <n v="733.7199999999999"/>
        <n v="226.4"/>
        <n v="2037.6000000000001"/>
        <n v="2377.2000000000003"/>
        <n v="815.04"/>
        <n v="407.52"/>
        <n v="339.6"/>
        <n v="679.2"/>
        <n v="905.6"/>
        <n v="1510.6"/>
        <n v="1811.2"/>
        <n v="426.59999999999997"/>
        <n v="21055.2"/>
        <n v="2589.6"/>
        <n v="950.88"/>
        <n v="1698.0"/>
        <n v="2640.0"/>
        <n v="16300.800000000001"/>
        <n v="1018.8000000000001"/>
        <n v="144.41"/>
        <n v="1942.1999999999998"/>
        <n v="330.08"/>
        <n v="769.76"/>
        <n v="158.48000000000002"/>
        <n v="4709.12"/>
        <n v="181.12"/>
        <n v="5433.6"/>
        <n v="2920.56"/>
        <n v="4278.96"/>
        <n v="412.59999999999997"/>
        <n v="19836.899999999998"/>
        <n v="1992.3200000000002"/>
        <n v="2988.48"/>
        <n v="362.24"/>
        <n v="352.0"/>
        <n v="341.28"/>
        <n v="319.2"/>
        <n v="1901.76"/>
        <n v="45.28"/>
        <n v="20376.0"/>
        <n v="1041.44"/>
        <n v="22821.12"/>
        <n v="9033.36"/>
        <n v="1313.1200000000001"/>
        <n v="1720.64"/>
        <n v="588.64"/>
      </sharedItems>
    </cacheField>
    <cacheField name="Valor Total Combustível (R$)" numFmtId="166">
      <sharedItems containsSemiMixedTypes="0" containsString="0" containsNumber="1">
        <n v="0.0"/>
        <n v="350.0"/>
        <n v="3500.0"/>
        <n v="840.0"/>
        <n v="1050.0"/>
        <n v="1400.0"/>
        <n v="910.0"/>
        <n v="1750.0"/>
        <n v="8400.0"/>
        <n v="10500.0"/>
        <n v="7000.0"/>
        <n v="17500.0"/>
        <n v="490.0"/>
        <n v="560.0"/>
        <n v="525.0"/>
        <n v="392.0"/>
        <n v="280.0"/>
        <n v="420.0"/>
        <n v="1330.0"/>
        <n v="1470.0"/>
        <n v="770.0"/>
        <n v="1476.3"/>
        <n v="700.0"/>
        <n v="637.0"/>
        <n v="3955.0"/>
        <n v="224.0"/>
        <n v="4200.0"/>
        <n v="2100.0"/>
        <n v="4900.0"/>
        <n v="70.0"/>
        <n v="11330.199999999999"/>
        <n v="3150.0"/>
        <n v="42000.0"/>
        <n v="210.0"/>
        <n v="14.0"/>
        <n v="5600.0"/>
        <n v="2800.0"/>
        <n v="474.59999999999997"/>
        <n v="10640.0"/>
        <n v="1890.0"/>
        <n v="1883.0"/>
        <n v="1680.0"/>
        <n v="2520.0"/>
        <n v="105.0"/>
        <n v="124.60000000000001"/>
        <n v="149.79999999999998"/>
        <n v="267.40000000000003"/>
        <n v="168.0"/>
        <n v="4680.2"/>
        <n v="574.0"/>
        <n v="2478.0"/>
        <n v="516.6"/>
        <n v="4513.599999999999"/>
        <n v="2693.6"/>
        <n v="4866.400000000001"/>
        <n v="11370.800000000001"/>
        <n v="595.0"/>
        <n v="735.0"/>
        <n v="620.9"/>
        <n v="11340.0"/>
        <n v="1085.0"/>
        <n v="1148.0"/>
        <n v="1344.0"/>
        <n v="1295.0"/>
        <n v="1218.0"/>
        <n v="455.0"/>
        <n v="945.0"/>
        <n v="1036.0"/>
        <n v="1190.0"/>
        <n v="1960.0"/>
        <n v="7560.0"/>
        <n v="2380.0"/>
        <n v="630.0"/>
        <n v="980.0"/>
        <n v="1891.3999999999999"/>
        <n v="140.0"/>
        <n v="7140.0"/>
        <n v="10861.199999999999"/>
        <n v="5040.0"/>
        <n v="1610.0"/>
        <n v="1260.0"/>
        <n v="588.0"/>
        <n v="4340.0"/>
        <n v="3640.0"/>
      </sharedItems>
    </cacheField>
    <cacheField name="Valor Total Diárias (R$)" numFmtId="166">
      <sharedItems containsSemiMixedTypes="0" containsString="0" containsNumber="1">
        <n v="2227.5599999999995"/>
        <n v="1452.75"/>
        <n v="2012.916"/>
        <n v="1989.51"/>
        <n v="3885.3959999999997"/>
        <n v="24108.18"/>
        <n v="1872.48"/>
        <n v="2340.6"/>
        <n v="2200.164"/>
        <n v="5011.9875"/>
        <n v="13164.029999999999"/>
        <n v="0.0"/>
        <n v="9324.52125"/>
        <n v="13175.662499999999"/>
        <n v="22235.031499999997"/>
        <n v="17552.04"/>
        <n v="16016.236499999999"/>
        <n v="17661.74025"/>
        <n v="6491.98"/>
        <n v="9913.991999999998"/>
        <n v="2710.1979999999994"/>
        <n v="11622.0"/>
        <n v="1118.6174999999998"/>
        <n v="1656.1349999999998"/>
        <n v="4009.5899999999992"/>
        <n v="1249.365"/>
        <n v="4997.46"/>
        <n v="2041.9299999999998"/>
        <n v="14664.77"/>
        <n v="2498.73"/>
        <n v="3748.095"/>
        <n v="1539.915"/>
        <n v="1856.3"/>
        <n v="1596.418"/>
        <n v="13074.75"/>
        <n v="15407.289999999999"/>
        <n v="58110.0"/>
        <n v="93557.52"/>
        <n v="27456.975000000002"/>
        <n v="36754.74"/>
        <n v="116946.9"/>
        <n v="26875.875"/>
        <n v="1075.0349999999999"/>
        <n v="2963.61"/>
        <n v="1888.575"/>
        <n v="522.99"/>
        <n v="784.4849999999999"/>
        <n v="871.6500000000001"/>
        <n v="3835.2599999999998"/>
        <n v="2179.125"/>
        <n v="7118.475"/>
        <n v="1234.8375"/>
        <n v="6973.199999999999"/>
        <n v="5811.0"/>
        <n v="20018.894999999997"/>
        <n v="1481.805"/>
        <n v="348.66"/>
        <n v="33524.778"/>
        <n v="5578.56"/>
        <n v="479.40749999999997"/>
        <n v="2091.96"/>
        <n v="5229.900000000001"/>
        <n v="2614.9500000000003"/>
        <n v="3922.425"/>
        <n v="32033.1375"/>
        <n v="42710.85"/>
        <n v="20338.5"/>
        <n v="12028.77"/>
        <n v="49674.58799999999"/>
        <n v="14382.225"/>
        <n v="15689.7"/>
        <n v="11331.45"/>
        <n v="87.165"/>
        <n v="12987.585"/>
        <n v="32541.600000000002"/>
        <n v="3341.3250000000003"/>
        <n v="23534.55"/>
        <n v="20047.95"/>
        <n v="15964.18"/>
        <n v="16997.175"/>
        <n v="9281.5"/>
        <n v="21558.81"/>
        <n v="38497.875"/>
        <n v="21645.975000000002"/>
        <n v="13946.400000000001"/>
        <n v="33994.35"/>
        <n v="4417.994"/>
        <n v="51512.325"/>
        <n v="26149.5"/>
        <n v="39910.45"/>
        <n v="33413.25"/>
        <n v="29700.8"/>
        <n v="15471.7875"/>
        <n v="32949.325"/>
        <n v="755.43"/>
        <n v="1336.53"/>
        <n v="1133.145"/>
        <n v="1132.3429999999998"/>
        <n v="1280.8469999999998"/>
        <n v="13365.36"/>
        <n v="63485.46"/>
        <n v="1020.9649999999999"/>
        <n v="90651.6"/>
        <n v="49829.325000000004"/>
        <n v="71620.575"/>
        <n v="1423.6950000000002"/>
        <n v="44551.2"/>
        <n v="1485.04"/>
        <n v="18159.375"/>
        <n v="6246.825"/>
        <n v="3081.4579999999996"/>
        <n v="1373.6619999999998"/>
        <n v="4269.49"/>
        <n v="25616.94"/>
        <n v="1447.9139999999998"/>
        <n v="2062.905"/>
        <n v="12493.65"/>
        <n v="1188.032"/>
        <n v="38425.409999999996"/>
        <n v="42472.14399999999"/>
        <n v="70242.39199999999"/>
        <n v="53906.952"/>
        <n v="1104.09"/>
        <n v="51456.636"/>
        <n v="7263.75"/>
        <n v="43582.5"/>
        <n v="17433.0"/>
        <n v="23244.0"/>
        <n v="34866.0"/>
        <n v="76995.75"/>
        <n v="24842.025"/>
        <n v="22953.45"/>
        <n v="10808.460000000001"/>
        <n v="6682.650000000001"/>
        <n v="215015.229"/>
        <n v="1205.7824999999998"/>
        <n v="23055.142499999998"/>
        <n v="8910.239999999998"/>
        <n v="3007.1925"/>
        <n v="3842.5409999999997"/>
        <n v="555998.9759999999"/>
        <n v="84535.5225"/>
        <n v="5055.57"/>
        <n v="20541.885"/>
        <n v="1633.544"/>
        <n v="1772.355"/>
        <n v="3935.3559999999998"/>
        <n v="1031.4525"/>
        <n v="1685.19"/>
        <n v="14527.5"/>
        <n v="6311.42"/>
        <n v="3079.83"/>
        <n v="9239.49"/>
        <n v="12203.1"/>
        <n v="871.6499999999999"/>
        <n v="3341.34"/>
        <n v="4823.129999999999"/>
        <n v="1045.98"/>
        <n v="1967.6779999999999"/>
        <n v="1162.2"/>
        <n v="1707.7959999999998"/>
        <n v="8716.5"/>
        <n v="3486.5999999999995"/>
        <n v="624.6825"/>
        <n v="11084.4825"/>
        <n v="3355.8525"/>
      </sharedItems>
    </cacheField>
    <cacheField name="Valor Total IDR-Paraná (R$)" numFmtId="166">
      <sharedItems containsSemiMixedTypes="0" containsString="0" containsNumber="1">
        <n v="4527.5599999999995"/>
        <n v="7702.75"/>
        <n v="10012.916000000001"/>
        <n v="7889.51"/>
        <n v="15485.396"/>
        <n v="74608.18"/>
        <n v="6422.48"/>
        <n v="7940.6"/>
        <n v="5600.164000000001"/>
        <n v="15151.9875"/>
        <n v="17464.03"/>
        <n v="4500.0"/>
        <n v="22146.521249999998"/>
        <n v="32413.6625"/>
        <n v="28635.031499999997"/>
        <n v="29052.04"/>
        <n v="27516.2365"/>
        <n v="0.0"/>
        <n v="48411.74025"/>
        <n v="9591.98"/>
        <n v="28513.992"/>
        <n v="4260.197999999999"/>
        <n v="56522.0"/>
        <n v="4672.75"/>
        <n v="3935.2174999999997"/>
        <n v="4386.135"/>
        <n v="3537.5599999999995"/>
        <n v="20659.59"/>
        <n v="4377.5599999999995"/>
        <n v="2459.365"/>
        <n v="2912.75"/>
        <n v="6697.46"/>
        <n v="5041.93"/>
        <n v="18964.77"/>
        <n v="4798.73"/>
        <n v="6998.094999999999"/>
        <n v="2879.915"/>
        <n v="4456.3"/>
        <n v="3996.4179999999997"/>
        <n v="16574.75"/>
        <n v="28607.29"/>
        <n v="3489.365"/>
        <n v="69774.0"/>
        <n v="109679.92"/>
        <n v="36815.37500000001"/>
        <n v="52613.14"/>
        <n v="150974.9"/>
        <n v="33875.875"/>
        <n v="50000.0"/>
        <n v="3089.365"/>
        <n v="3189.365"/>
        <n v="1565.0349999999999"/>
        <n v="1635.0349999999999"/>
        <n v="4013.61"/>
        <n v="2413.575"/>
        <n v="914.99"/>
        <n v="2700.0"/>
        <n v="784.4849999999999"/>
        <n v="1583.25"/>
        <n v="7542.06"/>
        <n v="3678.125"/>
        <n v="2099.365"/>
        <n v="8421.275000000001"/>
        <n v="4882.8375"/>
        <n v="8303.199999999999"/>
        <n v="21092.0"/>
        <n v="6581.0"/>
        <n v="6651.0"/>
        <n v="6231.0"/>
        <n v="23079.994999999995"/>
        <n v="2915.525"/>
        <n v="3055.525"/>
        <n v="1212.0600000000002"/>
        <n v="39517.378"/>
        <n v="5928.56"/>
        <n v="950.0"/>
        <n v="703.4075"/>
        <n v="2511.96"/>
        <n v="9429.900000000001"/>
        <n v="350.0"/>
        <n v="750.0"/>
        <n v="400.0"/>
        <n v="4714.950000000001"/>
        <n v="7329.900000000001"/>
        <n v="8122.425"/>
        <n v="39310.337499999994"/>
        <n v="49988.049999999996"/>
        <n v="2270.0"/>
        <n v="21178.5"/>
        <n v="1515.04"/>
        <n v="16636.29"/>
        <n v="63721.58799999999"/>
        <n v="339.6"/>
        <n v="48211.425"/>
        <n v="60595.299999999996"/>
        <n v="12937.050000000001"/>
        <n v="1534.45"/>
        <n v="3239.915"/>
        <n v="1301.165"/>
        <n v="23249.1"/>
        <n v="23323.3"/>
        <n v="14387.585"/>
        <n v="41352.8"/>
        <n v="5167.925000000001"/>
        <n v="5194.125000000001"/>
        <n v="27734.55"/>
        <n v="46703.15"/>
        <n v="18969.78"/>
        <n v="21155.575"/>
        <n v="15000.0"/>
        <n v="5428.55"/>
        <n v="12081.5"/>
        <n v="23308.81"/>
        <n v="41297.875"/>
        <n v="23395.975000000002"/>
        <n v="21768.800000000003"/>
        <n v="40231.95"/>
        <n v="6843.474"/>
        <n v="63850.325"/>
        <n v="32387.1"/>
        <n v="29772.149999999998"/>
        <n v="43998.45"/>
        <n v="39714.25"/>
        <n v="30374.55"/>
        <n v="49601.6"/>
        <n v="18170.587499999998"/>
        <n v="37967.325"/>
        <n v="1404.84"/>
        <n v="29676.75"/>
        <n v="2491.21"/>
        <n v="11467.500000000002"/>
        <n v="1509.345"/>
        <n v="1626.143"/>
        <n v="1448.8469999999998"/>
        <n v="18815.32"/>
        <n v="2013.3269999999998"/>
        <n v="70672.57999999999"/>
        <n v="1718.685"/>
        <n v="100598.80000000002"/>
        <n v="55443.485"/>
        <n v="80765.935"/>
        <n v="3723.695"/>
        <n v="57959.6"/>
        <n v="2825.04"/>
        <n v="23717.775"/>
        <n v="7646.825"/>
        <n v="3000.0"/>
        <n v="4200.0"/>
        <n v="900.0"/>
        <n v="800.0"/>
        <n v="6766.458"/>
        <n v="2608.662"/>
        <n v="5153.925000000001"/>
        <n v="6122.29"/>
        <n v="748.6600000000001"/>
        <n v="45484.85"/>
        <n v="52272.14"/>
        <n v="2468.814"/>
        <n v="4622.905000000001"/>
        <n v="5172.925000000001"/>
        <n v="15499.25"/>
        <n v="2133.032"/>
        <n v="52060.21"/>
        <n v="56304.46399999999"/>
        <n v="85070.87199999999"/>
        <n v="67739.272"/>
        <n v="3028.69"/>
        <n v="3222.4375"/>
        <n v="3441.0775000000003"/>
        <n v="3567.0775000000003"/>
        <n v="3381.8375"/>
        <n v="3294.1175000000003"/>
        <n v="2519.9175"/>
        <n v="3042.0775000000003"/>
        <n v="3133.0775000000003"/>
        <n v="3287.0775000000003"/>
        <n v="2824.0375"/>
        <n v="64898.396"/>
        <n v="8173.75"/>
        <n v="50499.3"/>
        <n v="20751.4"/>
        <n v="26562.4"/>
        <n v="20681.4"/>
        <n v="37666.0"/>
        <n v="20816.98"/>
        <n v="26294.0"/>
        <n v="89989.35"/>
        <n v="44242.025"/>
        <n v="39913.45"/>
        <n v="15452.460000000001"/>
        <n v="7312.650000000001"/>
        <n v="2500.315"/>
        <n v="1105.6"/>
        <n v="1181.12"/>
        <n v="23450.0"/>
        <n v="896082.629"/>
        <n v="120000.0"/>
        <n v="1695.7824999999998"/>
        <n v="29496.582499999997"/>
        <n v="22422.479999999996"/>
        <n v="8637.192500000001"/>
        <n v="9472.541"/>
        <n v="585960.0959999999"/>
        <n v="104430.0825"/>
        <n v="11408.69"/>
        <n v="23738.824999999997"/>
        <n v="1221.65"/>
        <n v="4649.544"/>
        <n v="4917.355"/>
        <n v="10795.356"/>
        <n v="8975.26"/>
        <n v="4102.75"/>
        <n v="5541.4525"/>
        <n v="32256.239999999998"/>
        <n v="11198.73"/>
        <n v="6585.1900000000005"/>
        <n v="18027.5"/>
        <n v="12611.42"/>
        <n v="5063.094999999999"/>
        <n v="3442.75"/>
        <n v="3419.915"/>
        <n v="5079.83"/>
        <n v="8556.825"/>
        <n v="10919.49"/>
        <n v="14303.1"/>
        <n v="3019.915"/>
        <n v="14103.65"/>
        <n v="3571.6499999999996"/>
        <n v="4149.365"/>
        <n v="7596.825"/>
        <n v="4509.365"/>
        <n v="6929.34"/>
        <n v="5813.129999999999"/>
        <n v="1896.53"/>
        <n v="2016.53"/>
        <n v="2525.98"/>
        <n v="3961.3250000000003"/>
        <n v="7286.825"/>
        <n v="2484.365"/>
        <n v="4737.678"/>
        <n v="3262.2"/>
        <n v="4462.796"/>
        <n v="3506.3"/>
        <n v="2846.3"/>
        <n v="11026.825"/>
        <n v="3905.7825"/>
        <n v="4421.65"/>
        <n v="11276.5"/>
        <n v="4396.599999999999"/>
        <n v="11416.5"/>
        <n v="14522.0"/>
        <n v="17722.0"/>
        <n v="5073.6825"/>
        <n v="16013.1225"/>
        <n v="6995.8525"/>
        <n v="5896.418"/>
      </sharedItems>
    </cacheField>
    <cacheField name="Parecer do Departamento" numFmtId="0">
      <sharedItems containsBlank="1">
        <m/>
        <s v="Aprovado"/>
      </sharedItems>
    </cacheField>
    <cacheField name="Parecer da Diretoria" numFmtId="0">
      <sharedItems containsBlank="1">
        <m/>
        <s v="Aprovado para Jonez Fidalski"/>
        <s v="Aprovado para dois participantes: Ronaldo Hojo e Ivan Bordin"/>
        <s v="Aprovado para Graziela Barbosa e Josiane Burkner"/>
        <s v="Não aprovado por falta de informações: Nome do participante"/>
        <s v="Indeferido. A pesquisadora realizou capacitação no exterior no ano de 2025."/>
        <s v="Não aprovado"/>
        <s v="Não aprovado com recursos do IDR"/>
        <s v="Aprovado com utilização de recursos externos."/>
        <s v="Aprovado"/>
        <s v="Aprovado para Graziela Barbosa e José Francirlei"/>
        <s v="Aprovado para os 2 solicitantes"/>
        <s v="Aprovado (observar que se trata da mesma solicitação de Carlos Alberto Ried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alores Totais" cacheId="0" dataCaption="" compact="0" compactData="0">
  <location ref="A1:D52" firstHeaderRow="0" firstDataRow="3" firstDataCol="0"/>
  <pivotFields>
    <pivotField nam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t="default"/>
      </items>
    </pivotField>
    <pivotField name="Carimbo de data/hor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t="default"/>
      </items>
    </pivotField>
    <pivotField name="Endereço de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tatus" compact="0" outline="0" multipleItemSelectionAllowed="1" showAll="0">
      <items>
        <item x="0"/>
        <item x="1"/>
        <item x="2"/>
        <item t="default"/>
      </items>
    </pivotField>
    <pivotField name="Diretoria" axis="axisRow" compact="0" outline="0" multipleItemSelectionAllowed="1" showAll="0" sortType="ascending">
      <items>
        <item x="1"/>
        <item x="2"/>
        <item x="0"/>
        <item t="default"/>
      </items>
    </pivotField>
    <pivotField name="Departamento" axis="axisRow" compact="0" outline="0" multipleItemSelectionAllowed="1" showAll="0" sortType="ascending">
      <items>
        <item x="6"/>
        <item x="7"/>
        <item x="1"/>
        <item x="0"/>
        <item x="3"/>
        <item x="2"/>
        <item x="5"/>
        <item x="4"/>
        <item t="default"/>
      </items>
    </pivotField>
    <pivotField name="Informe a Assessoria/Regional/Polo/Estação Responsável " axis="axisRow" compact="0" outline="0" multipleItemSelectionAllowed="1" showAll="0" sortType="ascending">
      <items>
        <item x="25"/>
        <item x="22"/>
        <item x="9"/>
        <item x="12"/>
        <item x="17"/>
        <item x="20"/>
        <item x="19"/>
        <item x="27"/>
        <item x="32"/>
        <item x="31"/>
        <item x="18"/>
        <item x="15"/>
        <item x="16"/>
        <item x="33"/>
        <item x="28"/>
        <item x="36"/>
        <item x="2"/>
        <item x="14"/>
        <item x="8"/>
        <item x="3"/>
        <item x="24"/>
        <item x="35"/>
        <item x="10"/>
        <item x="38"/>
        <item x="5"/>
        <item x="4"/>
        <item x="23"/>
        <item x="11"/>
        <item x="37"/>
        <item x="34"/>
        <item x="7"/>
        <item x="21"/>
        <item x="13"/>
        <item x="26"/>
        <item x="30"/>
        <item x="0"/>
        <item x="1"/>
        <item x="29"/>
        <item x="6"/>
        <item t="default"/>
      </items>
    </pivotField>
    <pivotField name="N° SAF" compact="0" outline="0" multipleItemSelectionAllowed="1" showAll="0">
      <items>
        <item x="0"/>
        <item t="default"/>
      </items>
    </pivotField>
    <pivotField name="Informar título da Capacitaçã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Metodologia da Capacitação" compact="0" outline="0" multipleItemSelectionAllowed="1" showAll="0">
      <items>
        <item x="0"/>
        <item x="1"/>
        <item x="2"/>
        <item x="3"/>
        <item x="4"/>
        <item x="5"/>
        <item x="6"/>
        <item x="7"/>
        <item x="8"/>
        <item x="9"/>
        <item x="10"/>
        <item x="11"/>
        <item x="12"/>
        <item x="13"/>
        <item x="14"/>
        <item x="15"/>
        <item t="default"/>
      </items>
    </pivotField>
    <pivotField name="N° de participantes do IDR-Paraná"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formar nome dos participantes (se houve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Instituição parc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N° participantes exter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Informe o Estado onde ocorrerá a capacitação" compact="0" outline="0" multipleItemSelectionAllowed="1" showAll="0">
      <items>
        <item x="0"/>
        <item x="1"/>
        <item x="2"/>
        <item x="3"/>
        <item x="4"/>
        <item x="5"/>
        <item x="6"/>
        <item x="7"/>
        <item x="8"/>
        <item x="9"/>
        <item x="10"/>
        <item x="11"/>
        <item x="12"/>
        <item t="default"/>
      </items>
    </pivotField>
    <pivotField name="Informar município onde ocorrerá a capaci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ta de Iníci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Data de Término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 A data informada é definitiva?" compact="0" outline="0" multipleItemSelectionAllowed="1" showAll="0">
      <items>
        <item x="0"/>
        <item x="1"/>
        <item t="default"/>
      </items>
    </pivotField>
    <pivotField name="Modalidade" compact="0" outline="0" multipleItemSelectionAllowed="1" showAll="0">
      <items>
        <item x="0"/>
        <item x="1"/>
        <item x="2"/>
        <item t="default"/>
      </items>
    </pivotField>
    <pivotField name="Temática Bási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Justific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Informar quantidade de refeição (n°)"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Informar quantidade de pernoite (n°)"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Taxa de Inscrição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aterial Gráfico (R$) " compact="0" outline="0" multipleItemSelectionAllowed="1" showAll="0">
      <items>
        <item x="0"/>
        <item x="1"/>
        <item x="2"/>
        <item x="3"/>
        <item x="4"/>
        <item x="5"/>
        <item x="6"/>
        <item x="7"/>
        <item x="8"/>
        <item x="9"/>
        <item x="10"/>
        <item x="11"/>
        <item x="12"/>
        <item x="13"/>
        <item x="14"/>
        <item x="15"/>
        <item x="16"/>
        <item x="17"/>
        <item t="default"/>
      </items>
    </pivotField>
    <pivotField name="Passagem aérea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ssagem terrestre/ônibus" compact="0" numFmtId="166" outline="0" multipleItemSelectionAllowed="1" showAll="0">
      <items>
        <item x="0"/>
        <item x="1"/>
        <item x="2"/>
        <item x="3"/>
        <item x="4"/>
        <item x="5"/>
        <item x="6"/>
        <item x="7"/>
        <item x="8"/>
        <item x="9"/>
        <item x="10"/>
        <item x="11"/>
        <item x="12"/>
        <item t="default"/>
      </items>
    </pivotField>
    <pivotField name="Táxi (R$)" compact="0" numFmtId="166" outline="0" multipleItemSelectionAllowed="1" showAll="0">
      <items>
        <item x="0"/>
        <item x="1"/>
        <item x="2"/>
        <item x="3"/>
        <item x="4"/>
        <item x="5"/>
        <item x="6"/>
        <item x="7"/>
        <item x="8"/>
        <item x="9"/>
        <item x="10"/>
        <item x="11"/>
        <item x="12"/>
        <item x="13"/>
        <item x="14"/>
        <item x="15"/>
        <item t="default"/>
      </items>
    </pivotField>
    <pivotField name="Pedágio (R$)" compact="0" outline="0" multipleItemSelectionAllowed="1" showAll="0">
      <items>
        <item x="0"/>
        <item x="1"/>
        <item x="2"/>
        <item x="3"/>
        <item x="4"/>
        <item x="5"/>
        <item x="6"/>
        <item x="7"/>
        <item x="8"/>
        <item x="9"/>
        <item x="10"/>
        <item x="11"/>
        <item x="12"/>
        <item x="13"/>
        <item t="default"/>
      </items>
    </pivotField>
    <pivotField name="Van (R$)" compact="0" numFmtId="166" outline="0" multipleItemSelectionAllowed="1" showAll="0">
      <items>
        <item x="0"/>
        <item x="1"/>
        <item x="2"/>
        <item x="3"/>
        <item t="default"/>
      </items>
    </pivotField>
    <pivotField name="Coffee Break" compact="0" outline="0" multipleItemSelectionAllowed="1" showAll="0">
      <items>
        <item x="0"/>
        <item x="1"/>
        <item x="2"/>
        <item t="default"/>
      </items>
    </pivotField>
    <pivotField name="Total KM (Veículo of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Integração" compact="0" outline="0" multipleItemSelectionAllowed="1" showAll="0">
      <items>
        <item x="0"/>
        <item x="1"/>
        <item x="2"/>
        <item t="default"/>
      </items>
    </pivotField>
    <pivotField name="Valor Coffee break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Valor Total Combustível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Valor Total Diárias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Valor Total IDR-Paraná (R$)"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Parecer do Departamento" compact="0" outline="0" multipleItemSelectionAllowed="1" showAll="0">
      <items>
        <item x="0"/>
        <item x="1"/>
        <item t="default"/>
      </items>
    </pivotField>
    <pivotField name="Parecer da Diretoria" compact="0" outline="0" multipleItemSelectionAllowed="1" showAll="0">
      <items>
        <item x="0"/>
        <item x="1"/>
        <item x="2"/>
        <item x="3"/>
        <item x="4"/>
        <item x="5"/>
        <item x="6"/>
        <item x="7"/>
        <item x="8"/>
        <item x="9"/>
        <item x="10"/>
        <item x="11"/>
        <item x="12"/>
        <item t="default"/>
      </items>
    </pivotField>
  </pivotFields>
  <rowFields>
    <field x="4"/>
    <field x="5"/>
    <field x="6"/>
  </rowFields>
  <dataFields>
    <dataField name="Valor Total IDR-Paraná (R$)" fld="37" baseField="0"/>
  </dataFields>
</pivotTableDefinition>
</file>

<file path=xl/pivotTables/pivotTable2.xml><?xml version="1.0" encoding="utf-8"?>
<pivotTableDefinition xmlns="http://schemas.openxmlformats.org/spreadsheetml/2006/main" name="Valores Totais 2" cacheId="0" dataCaption="" compact="0" compactData="0">
  <location ref="F1:K14" firstHeaderRow="0" firstDataRow="2" firstDataCol="1"/>
  <pivotFields>
    <pivotField nam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t="default"/>
      </items>
    </pivotField>
    <pivotField name="Carimbo de data/hor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t="default"/>
      </items>
    </pivotField>
    <pivotField name="Endereço de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tatus" axis="axisCol" compact="0" outline="0" multipleItemSelectionAllowed="1" showAll="0" sortType="ascending">
      <items>
        <item x="0"/>
        <item x="1"/>
        <item x="2"/>
        <item t="default"/>
      </items>
    </pivotField>
    <pivotField name="Diretoria" axis="axisRow" compact="0" outline="0" multipleItemSelectionAllowed="1" showAll="0" sortType="ascending">
      <items>
        <item x="1"/>
        <item x="2"/>
        <item x="0"/>
        <item t="default"/>
      </items>
    </pivotField>
    <pivotField name="Departamento" axis="axisRow" compact="0" outline="0" multipleItemSelectionAllowed="1" showAll="0" sortType="ascending">
      <items>
        <item x="6"/>
        <item x="7"/>
        <item x="1"/>
        <item x="0"/>
        <item x="3"/>
        <item x="2"/>
        <item x="5"/>
        <item x="4"/>
        <item t="default"/>
      </items>
    </pivotField>
    <pivotField name="Informe a Assessoria/Regional/Polo/Estação Responsável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N° SAF" compact="0" outline="0" multipleItemSelectionAllowed="1" showAll="0">
      <items>
        <item x="0"/>
        <item t="default"/>
      </items>
    </pivotField>
    <pivotField name="Informar título da Capacitaçã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Metodologia da Capacitação" compact="0" outline="0" multipleItemSelectionAllowed="1" showAll="0">
      <items>
        <item x="0"/>
        <item x="1"/>
        <item x="2"/>
        <item x="3"/>
        <item x="4"/>
        <item x="5"/>
        <item x="6"/>
        <item x="7"/>
        <item x="8"/>
        <item x="9"/>
        <item x="10"/>
        <item x="11"/>
        <item x="12"/>
        <item x="13"/>
        <item x="14"/>
        <item x="15"/>
        <item t="default"/>
      </items>
    </pivotField>
    <pivotField name="N° de participantes do IDR-Paraná"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formar nome dos participantes (se houve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Instituição parc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N° participantes exter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Informe o Estado onde ocorrerá a capacitação" compact="0" outline="0" multipleItemSelectionAllowed="1" showAll="0">
      <items>
        <item x="0"/>
        <item x="1"/>
        <item x="2"/>
        <item x="3"/>
        <item x="4"/>
        <item x="5"/>
        <item x="6"/>
        <item x="7"/>
        <item x="8"/>
        <item x="9"/>
        <item x="10"/>
        <item x="11"/>
        <item x="12"/>
        <item t="default"/>
      </items>
    </pivotField>
    <pivotField name="Informar município onde ocorrerá a capaci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ta de Iníci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Data de Término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 A data informada é definitiva?" compact="0" outline="0" multipleItemSelectionAllowed="1" showAll="0">
      <items>
        <item x="0"/>
        <item x="1"/>
        <item t="default"/>
      </items>
    </pivotField>
    <pivotField name="Modalidade" compact="0" outline="0" multipleItemSelectionAllowed="1" showAll="0">
      <items>
        <item x="0"/>
        <item x="1"/>
        <item x="2"/>
        <item t="default"/>
      </items>
    </pivotField>
    <pivotField name="Temática Bási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Justific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Informar quantidade de refeição (n°)"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Informar quantidade de pernoite (n°)"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Taxa de Inscrição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aterial Gráfico (R$) " compact="0" outline="0" multipleItemSelectionAllowed="1" showAll="0">
      <items>
        <item x="0"/>
        <item x="1"/>
        <item x="2"/>
        <item x="3"/>
        <item x="4"/>
        <item x="5"/>
        <item x="6"/>
        <item x="7"/>
        <item x="8"/>
        <item x="9"/>
        <item x="10"/>
        <item x="11"/>
        <item x="12"/>
        <item x="13"/>
        <item x="14"/>
        <item x="15"/>
        <item x="16"/>
        <item x="17"/>
        <item t="default"/>
      </items>
    </pivotField>
    <pivotField name="Passagem aérea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ssagem terrestre/ônibus" compact="0" numFmtId="166" outline="0" multipleItemSelectionAllowed="1" showAll="0">
      <items>
        <item x="0"/>
        <item x="1"/>
        <item x="2"/>
        <item x="3"/>
        <item x="4"/>
        <item x="5"/>
        <item x="6"/>
        <item x="7"/>
        <item x="8"/>
        <item x="9"/>
        <item x="10"/>
        <item x="11"/>
        <item x="12"/>
        <item t="default"/>
      </items>
    </pivotField>
    <pivotField name="Táxi (R$)" compact="0" numFmtId="166" outline="0" multipleItemSelectionAllowed="1" showAll="0">
      <items>
        <item x="0"/>
        <item x="1"/>
        <item x="2"/>
        <item x="3"/>
        <item x="4"/>
        <item x="5"/>
        <item x="6"/>
        <item x="7"/>
        <item x="8"/>
        <item x="9"/>
        <item x="10"/>
        <item x="11"/>
        <item x="12"/>
        <item x="13"/>
        <item x="14"/>
        <item x="15"/>
        <item t="default"/>
      </items>
    </pivotField>
    <pivotField name="Pedágio (R$)" compact="0" outline="0" multipleItemSelectionAllowed="1" showAll="0">
      <items>
        <item x="0"/>
        <item x="1"/>
        <item x="2"/>
        <item x="3"/>
        <item x="4"/>
        <item x="5"/>
        <item x="6"/>
        <item x="7"/>
        <item x="8"/>
        <item x="9"/>
        <item x="10"/>
        <item x="11"/>
        <item x="12"/>
        <item x="13"/>
        <item t="default"/>
      </items>
    </pivotField>
    <pivotField name="Van (R$)" compact="0" numFmtId="166" outline="0" multipleItemSelectionAllowed="1" showAll="0">
      <items>
        <item x="0"/>
        <item x="1"/>
        <item x="2"/>
        <item x="3"/>
        <item t="default"/>
      </items>
    </pivotField>
    <pivotField name="Coffee Break" compact="0" outline="0" multipleItemSelectionAllowed="1" showAll="0">
      <items>
        <item x="0"/>
        <item x="1"/>
        <item x="2"/>
        <item t="default"/>
      </items>
    </pivotField>
    <pivotField name="Total KM (Veículo of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Integração" compact="0" outline="0" multipleItemSelectionAllowed="1" showAll="0">
      <items>
        <item x="0"/>
        <item x="1"/>
        <item x="2"/>
        <item t="default"/>
      </items>
    </pivotField>
    <pivotField name="Valor Coffee break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Valor Total Combustível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Valor Total Diárias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Valor Total IDR-Paraná (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Parecer do Departamento" compact="0" outline="0" multipleItemSelectionAllowed="1" showAll="0">
      <items>
        <item x="0"/>
        <item x="1"/>
        <item t="default"/>
      </items>
    </pivotField>
    <pivotField name="Parecer da Diretoria" compact="0" outline="0" multipleItemSelectionAllowed="1" showAll="0">
      <items>
        <item x="0"/>
        <item x="1"/>
        <item x="2"/>
        <item x="3"/>
        <item x="4"/>
        <item x="5"/>
        <item x="6"/>
        <item x="7"/>
        <item x="8"/>
        <item x="9"/>
        <item x="10"/>
        <item x="11"/>
        <item x="12"/>
        <item t="default"/>
      </items>
    </pivotField>
  </pivotFields>
  <rowFields>
    <field x="4"/>
    <field x="5"/>
  </rowFields>
  <colFields>
    <field x="3"/>
  </colFields>
</pivotTableDefinition>
</file>

<file path=xl/tables/table1.xml><?xml version="1.0" encoding="utf-8"?>
<table xmlns="http://schemas.openxmlformats.org/spreadsheetml/2006/main" ref="A1:AN343" displayName="Form_Responses" name="Form_Responses" id="1">
  <autoFilter ref="$A$1:$AN$343">
    <filterColumn colId="6">
      <filters>
        <filter val="Fruticultura (Extensão Rural)"/>
      </filters>
    </filterColumn>
  </autoFilter>
  <tableColumns count="40">
    <tableColumn name="n°" id="1"/>
    <tableColumn name="Carimbo de data/hora" id="2"/>
    <tableColumn name="Endereço de e-mail" id="3"/>
    <tableColumn name="Status" id="4"/>
    <tableColumn name="Diretoria" id="5"/>
    <tableColumn name="Departamento" id="6"/>
    <tableColumn name="Informe a Assessoria/Regional/Polo/Estação Responsável " id="7"/>
    <tableColumn name="N° SAF" id="8"/>
    <tableColumn name="Informar título da Capacitação " id="9"/>
    <tableColumn name="Metodologia da Capacitação" id="10"/>
    <tableColumn name="N° de participantes do IDR-Paraná" id="11"/>
    <tableColumn name="Informar nome dos participantes (se houver) " id="12"/>
    <tableColumn name="Instituição parceira" id="13"/>
    <tableColumn name="N° participantes externos" id="14"/>
    <tableColumn name="Informe o Estado onde ocorrerá a capacitação" id="15"/>
    <tableColumn name="Informar município onde ocorrerá a capacitação" id="16"/>
    <tableColumn name="Data de Início" id="17"/>
    <tableColumn name="Data de Término " id="18"/>
    <tableColumn name=" A data informada é definitiva?" id="19"/>
    <tableColumn name="Modalidade" id="20"/>
    <tableColumn name="Temática Básica" id="21"/>
    <tableColumn name="Justificativa" id="22"/>
    <tableColumn name="Informar quantidade de refeição (n°)" id="23"/>
    <tableColumn name="Informar quantidade de pernoite (n°)" id="24"/>
    <tableColumn name="Taxa de Inscrição (R$)" id="25"/>
    <tableColumn name="Material Gráfico (R$) " id="26"/>
    <tableColumn name="Passagem aérea (R$)" id="27"/>
    <tableColumn name="Passagem terrestre/ônibus" id="28"/>
    <tableColumn name="Táxi (R$)" id="29"/>
    <tableColumn name="Pedágio (R$)" id="30"/>
    <tableColumn name="Van (R$)" id="31"/>
    <tableColumn name="Coffee Break" id="32"/>
    <tableColumn name="Total KM (Veículo oficial)" id="33"/>
    <tableColumn name="Integração" id="34"/>
    <tableColumn name="Valor Coffee break (R$)" id="35"/>
    <tableColumn name="Valor Total Combustível (R$)" id="36"/>
    <tableColumn name="Valor Total Diárias (R$)" id="37"/>
    <tableColumn name="Valor Total IDR-Paraná (R$)" id="38"/>
    <tableColumn name="Parecer do Departamento" id="39"/>
    <tableColumn name="Parecer da Diretoria" id="40"/>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2" t="s">
        <v>4</v>
      </c>
      <c r="C2" s="3">
        <f t="shared" ref="C2:C400" si="1">IF(B2="Apucarana",22.64,(IF(B2="Campo Mourão",22.64,IF(B2="Cascavel",22.64,IF(B2="Cianorte",22.64,IF(B2="Cornélio Procópio",22.64,IF(B2="Curitiba",22.64,IF(B2="Dois Vizinhos",22.64,IF(B2="Francisco Beltrão",21.33,IF(B2="Guarapuava",22.64,IF(B2="Irati",22.64,IF(B2="Ivaiporã",19.95,IF(B2="Laranjeiras do Sul",22.64,IF(B2="Londrina",22.64,IF(B2="Maringá",22.64,IF(B2="Paranaguá",20.63,IF(B2="Paranavaí",22.64,IF(B2="Pato Branco",22,IF(B2="Ponta Grossa",22.64,IF(B2="Santo Antônio da Platina",21.58,IF(B2="Toledo",22.64,IF(B2="Umuarama",22.64,IF(B2="União da Vitória",22.64,0)))))))))))))))))))))))</f>
        <v>22.64</v>
      </c>
    </row>
    <row r="3">
      <c r="A3" s="1" t="s">
        <v>5</v>
      </c>
      <c r="B3" s="2" t="s">
        <v>6</v>
      </c>
      <c r="C3" s="3">
        <f t="shared" si="1"/>
        <v>22.64</v>
      </c>
    </row>
    <row r="4">
      <c r="A4" s="1" t="s">
        <v>7</v>
      </c>
      <c r="B4" s="2" t="s">
        <v>6</v>
      </c>
      <c r="C4" s="3">
        <f t="shared" si="1"/>
        <v>22.64</v>
      </c>
    </row>
    <row r="5">
      <c r="A5" s="1" t="s">
        <v>8</v>
      </c>
      <c r="B5" s="2" t="s">
        <v>6</v>
      </c>
      <c r="C5" s="3">
        <f t="shared" si="1"/>
        <v>22.64</v>
      </c>
    </row>
    <row r="6">
      <c r="A6" s="1" t="s">
        <v>9</v>
      </c>
      <c r="B6" s="2" t="s">
        <v>10</v>
      </c>
      <c r="C6" s="3">
        <f t="shared" si="1"/>
        <v>22.64</v>
      </c>
    </row>
    <row r="7">
      <c r="A7" s="1" t="s">
        <v>11</v>
      </c>
      <c r="B7" s="2" t="s">
        <v>12</v>
      </c>
      <c r="C7" s="3">
        <f t="shared" si="1"/>
        <v>22.64</v>
      </c>
    </row>
    <row r="8">
      <c r="A8" s="1" t="s">
        <v>13</v>
      </c>
      <c r="B8" s="2" t="s">
        <v>14</v>
      </c>
      <c r="C8" s="3">
        <f t="shared" si="1"/>
        <v>22.64</v>
      </c>
    </row>
    <row r="9">
      <c r="A9" s="1" t="s">
        <v>15</v>
      </c>
      <c r="B9" s="2" t="s">
        <v>12</v>
      </c>
      <c r="C9" s="3">
        <f t="shared" si="1"/>
        <v>22.64</v>
      </c>
    </row>
    <row r="10">
      <c r="A10" s="1" t="s">
        <v>16</v>
      </c>
      <c r="B10" s="2" t="s">
        <v>12</v>
      </c>
      <c r="C10" s="3">
        <f t="shared" si="1"/>
        <v>22.64</v>
      </c>
    </row>
    <row r="11">
      <c r="A11" s="1" t="s">
        <v>17</v>
      </c>
      <c r="B11" s="2" t="s">
        <v>18</v>
      </c>
      <c r="C11" s="3">
        <f t="shared" si="1"/>
        <v>22.64</v>
      </c>
    </row>
    <row r="12">
      <c r="A12" s="1" t="s">
        <v>19</v>
      </c>
      <c r="B12" s="2" t="s">
        <v>14</v>
      </c>
      <c r="C12" s="3">
        <f t="shared" si="1"/>
        <v>22.64</v>
      </c>
    </row>
    <row r="13">
      <c r="A13" s="1" t="s">
        <v>20</v>
      </c>
      <c r="B13" s="2" t="s">
        <v>21</v>
      </c>
      <c r="C13" s="3">
        <f t="shared" si="1"/>
        <v>21.33</v>
      </c>
    </row>
    <row r="14">
      <c r="A14" s="1" t="s">
        <v>22</v>
      </c>
      <c r="B14" s="2" t="s">
        <v>23</v>
      </c>
      <c r="C14" s="3">
        <f t="shared" si="1"/>
        <v>22.64</v>
      </c>
    </row>
    <row r="15">
      <c r="A15" s="1" t="s">
        <v>24</v>
      </c>
      <c r="B15" s="2" t="s">
        <v>4</v>
      </c>
      <c r="C15" s="3">
        <f t="shared" si="1"/>
        <v>22.64</v>
      </c>
    </row>
    <row r="16">
      <c r="A16" s="1" t="s">
        <v>25</v>
      </c>
      <c r="B16" s="2" t="s">
        <v>26</v>
      </c>
      <c r="C16" s="3">
        <f t="shared" si="1"/>
        <v>22.64</v>
      </c>
    </row>
    <row r="17">
      <c r="A17" s="1" t="s">
        <v>27</v>
      </c>
      <c r="B17" s="2" t="s">
        <v>28</v>
      </c>
      <c r="C17" s="3">
        <f t="shared" si="1"/>
        <v>20.63</v>
      </c>
    </row>
    <row r="18">
      <c r="A18" s="1" t="s">
        <v>29</v>
      </c>
      <c r="B18" s="2" t="s">
        <v>30</v>
      </c>
      <c r="C18" s="3">
        <f t="shared" si="1"/>
        <v>22.64</v>
      </c>
    </row>
    <row r="19">
      <c r="A19" s="1" t="s">
        <v>31</v>
      </c>
      <c r="B19" s="2" t="s">
        <v>31</v>
      </c>
      <c r="C19" s="3">
        <f t="shared" si="1"/>
        <v>22.64</v>
      </c>
    </row>
    <row r="20">
      <c r="A20" s="1" t="s">
        <v>32</v>
      </c>
      <c r="B20" s="2" t="s">
        <v>31</v>
      </c>
      <c r="C20" s="3">
        <f t="shared" si="1"/>
        <v>22.64</v>
      </c>
    </row>
    <row r="21">
      <c r="A21" s="1" t="s">
        <v>33</v>
      </c>
      <c r="B21" s="2" t="s">
        <v>34</v>
      </c>
      <c r="C21" s="3">
        <f t="shared" si="1"/>
        <v>22.64</v>
      </c>
    </row>
    <row r="22">
      <c r="A22" s="1" t="s">
        <v>35</v>
      </c>
      <c r="B22" s="2" t="s">
        <v>36</v>
      </c>
      <c r="C22" s="3">
        <f t="shared" si="1"/>
        <v>19.95</v>
      </c>
    </row>
    <row r="23">
      <c r="A23" s="1" t="s">
        <v>37</v>
      </c>
      <c r="B23" s="2" t="s">
        <v>10</v>
      </c>
      <c r="C23" s="3">
        <f t="shared" si="1"/>
        <v>22.64</v>
      </c>
    </row>
    <row r="24">
      <c r="A24" s="1" t="s">
        <v>38</v>
      </c>
      <c r="B24" s="2" t="s">
        <v>6</v>
      </c>
      <c r="C24" s="3">
        <f t="shared" si="1"/>
        <v>22.64</v>
      </c>
    </row>
    <row r="25">
      <c r="A25" s="1" t="s">
        <v>39</v>
      </c>
      <c r="B25" s="2" t="s">
        <v>36</v>
      </c>
      <c r="C25" s="3">
        <f t="shared" si="1"/>
        <v>19.95</v>
      </c>
    </row>
    <row r="26">
      <c r="A26" s="1" t="s">
        <v>40</v>
      </c>
      <c r="B26" s="2" t="s">
        <v>4</v>
      </c>
      <c r="C26" s="3">
        <f t="shared" si="1"/>
        <v>22.64</v>
      </c>
    </row>
    <row r="27">
      <c r="A27" s="1" t="s">
        <v>41</v>
      </c>
      <c r="B27" s="2" t="s">
        <v>42</v>
      </c>
      <c r="C27" s="3">
        <f t="shared" si="1"/>
        <v>22.64</v>
      </c>
    </row>
    <row r="28">
      <c r="A28" s="1" t="s">
        <v>43</v>
      </c>
      <c r="B28" s="2" t="s">
        <v>26</v>
      </c>
      <c r="C28" s="3">
        <f t="shared" si="1"/>
        <v>22.64</v>
      </c>
    </row>
    <row r="29">
      <c r="A29" s="1" t="s">
        <v>44</v>
      </c>
      <c r="B29" s="2" t="s">
        <v>26</v>
      </c>
      <c r="C29" s="3">
        <f t="shared" si="1"/>
        <v>22.64</v>
      </c>
    </row>
    <row r="30">
      <c r="A30" s="1" t="s">
        <v>45</v>
      </c>
      <c r="B30" s="2" t="s">
        <v>6</v>
      </c>
      <c r="C30" s="3">
        <f t="shared" si="1"/>
        <v>22.64</v>
      </c>
    </row>
    <row r="31">
      <c r="A31" s="1" t="s">
        <v>46</v>
      </c>
      <c r="B31" s="2" t="s">
        <v>4</v>
      </c>
      <c r="C31" s="3">
        <f t="shared" si="1"/>
        <v>22.64</v>
      </c>
    </row>
    <row r="32">
      <c r="A32" s="1" t="s">
        <v>47</v>
      </c>
      <c r="B32" s="2" t="s">
        <v>10</v>
      </c>
      <c r="C32" s="3">
        <f t="shared" si="1"/>
        <v>22.64</v>
      </c>
    </row>
    <row r="33">
      <c r="A33" s="1" t="s">
        <v>48</v>
      </c>
      <c r="B33" s="2" t="s">
        <v>49</v>
      </c>
      <c r="C33" s="3">
        <f t="shared" si="1"/>
        <v>21.58</v>
      </c>
    </row>
    <row r="34">
      <c r="A34" s="1" t="s">
        <v>50</v>
      </c>
      <c r="B34" s="2" t="s">
        <v>21</v>
      </c>
      <c r="C34" s="3">
        <f t="shared" si="1"/>
        <v>21.33</v>
      </c>
    </row>
    <row r="35">
      <c r="A35" s="1" t="s">
        <v>51</v>
      </c>
      <c r="B35" s="2" t="s">
        <v>21</v>
      </c>
      <c r="C35" s="3">
        <f t="shared" si="1"/>
        <v>21.33</v>
      </c>
    </row>
    <row r="36">
      <c r="A36" s="1" t="s">
        <v>52</v>
      </c>
      <c r="B36" s="2" t="s">
        <v>18</v>
      </c>
      <c r="C36" s="3">
        <f t="shared" si="1"/>
        <v>22.64</v>
      </c>
    </row>
    <row r="37">
      <c r="A37" s="1" t="s">
        <v>53</v>
      </c>
      <c r="B37" s="2" t="s">
        <v>30</v>
      </c>
      <c r="C37" s="3">
        <f t="shared" si="1"/>
        <v>22.64</v>
      </c>
    </row>
    <row r="38">
      <c r="A38" s="1" t="s">
        <v>54</v>
      </c>
      <c r="B38" s="2" t="s">
        <v>10</v>
      </c>
      <c r="C38" s="3">
        <f t="shared" si="1"/>
        <v>22.64</v>
      </c>
    </row>
    <row r="39">
      <c r="A39" s="1" t="s">
        <v>55</v>
      </c>
      <c r="B39" s="2" t="s">
        <v>56</v>
      </c>
      <c r="C39" s="3">
        <f t="shared" si="1"/>
        <v>22.64</v>
      </c>
    </row>
    <row r="40">
      <c r="A40" s="1" t="s">
        <v>57</v>
      </c>
      <c r="B40" s="2" t="s">
        <v>58</v>
      </c>
      <c r="C40" s="3">
        <f t="shared" si="1"/>
        <v>22.64</v>
      </c>
    </row>
    <row r="41">
      <c r="A41" s="1" t="s">
        <v>59</v>
      </c>
      <c r="B41" s="2" t="s">
        <v>23</v>
      </c>
      <c r="C41" s="3">
        <f t="shared" si="1"/>
        <v>22.64</v>
      </c>
    </row>
    <row r="42">
      <c r="A42" s="1" t="s">
        <v>60</v>
      </c>
      <c r="B42" s="2" t="s">
        <v>6</v>
      </c>
      <c r="C42" s="3">
        <f t="shared" si="1"/>
        <v>22.64</v>
      </c>
    </row>
    <row r="43">
      <c r="A43" s="1" t="s">
        <v>61</v>
      </c>
      <c r="B43" s="2" t="s">
        <v>21</v>
      </c>
      <c r="C43" s="3">
        <f t="shared" si="1"/>
        <v>21.33</v>
      </c>
    </row>
    <row r="44">
      <c r="A44" s="1" t="s">
        <v>62</v>
      </c>
      <c r="B44" s="2" t="s">
        <v>36</v>
      </c>
      <c r="C44" s="3">
        <f t="shared" si="1"/>
        <v>19.95</v>
      </c>
    </row>
    <row r="45">
      <c r="A45" s="1" t="s">
        <v>63</v>
      </c>
      <c r="B45" s="2" t="s">
        <v>64</v>
      </c>
      <c r="C45" s="3">
        <f t="shared" si="1"/>
        <v>22</v>
      </c>
    </row>
    <row r="46">
      <c r="A46" s="1" t="s">
        <v>65</v>
      </c>
      <c r="B46" s="2" t="s">
        <v>36</v>
      </c>
      <c r="C46" s="3">
        <f t="shared" si="1"/>
        <v>19.95</v>
      </c>
    </row>
    <row r="47">
      <c r="A47" s="1" t="s">
        <v>66</v>
      </c>
      <c r="B47" s="2" t="s">
        <v>23</v>
      </c>
      <c r="C47" s="3">
        <f t="shared" si="1"/>
        <v>22.64</v>
      </c>
    </row>
    <row r="48">
      <c r="A48" s="1" t="s">
        <v>67</v>
      </c>
      <c r="B48" s="2" t="s">
        <v>12</v>
      </c>
      <c r="C48" s="3">
        <f t="shared" si="1"/>
        <v>22.64</v>
      </c>
    </row>
    <row r="49">
      <c r="A49" s="1" t="s">
        <v>68</v>
      </c>
      <c r="B49" s="2" t="s">
        <v>26</v>
      </c>
      <c r="C49" s="3">
        <f t="shared" si="1"/>
        <v>22.64</v>
      </c>
    </row>
    <row r="50">
      <c r="A50" s="1" t="s">
        <v>69</v>
      </c>
      <c r="B50" s="2" t="s">
        <v>23</v>
      </c>
      <c r="C50" s="3">
        <f t="shared" si="1"/>
        <v>22.64</v>
      </c>
    </row>
    <row r="51">
      <c r="A51" s="1" t="s">
        <v>70</v>
      </c>
      <c r="B51" s="2" t="s">
        <v>12</v>
      </c>
      <c r="C51" s="3">
        <f t="shared" si="1"/>
        <v>22.64</v>
      </c>
    </row>
    <row r="52">
      <c r="A52" s="1" t="s">
        <v>71</v>
      </c>
      <c r="B52" s="2" t="s">
        <v>31</v>
      </c>
      <c r="C52" s="3">
        <f t="shared" si="1"/>
        <v>22.64</v>
      </c>
    </row>
    <row r="53">
      <c r="A53" s="1" t="s">
        <v>72</v>
      </c>
      <c r="B53" s="2" t="s">
        <v>49</v>
      </c>
      <c r="C53" s="3">
        <f t="shared" si="1"/>
        <v>21.58</v>
      </c>
    </row>
    <row r="54">
      <c r="A54" s="1" t="s">
        <v>73</v>
      </c>
      <c r="B54" s="2" t="s">
        <v>18</v>
      </c>
      <c r="C54" s="3">
        <f t="shared" si="1"/>
        <v>22.64</v>
      </c>
    </row>
    <row r="55">
      <c r="A55" s="1" t="s">
        <v>74</v>
      </c>
      <c r="B55" s="2" t="s">
        <v>31</v>
      </c>
      <c r="C55" s="3">
        <f t="shared" si="1"/>
        <v>22.64</v>
      </c>
    </row>
    <row r="56">
      <c r="A56" s="1" t="s">
        <v>75</v>
      </c>
      <c r="B56" s="2" t="s">
        <v>10</v>
      </c>
      <c r="C56" s="3">
        <f t="shared" si="1"/>
        <v>22.64</v>
      </c>
    </row>
    <row r="57">
      <c r="A57" s="1" t="s">
        <v>76</v>
      </c>
      <c r="B57" s="2" t="s">
        <v>58</v>
      </c>
      <c r="C57" s="3">
        <f t="shared" si="1"/>
        <v>22.64</v>
      </c>
    </row>
    <row r="58">
      <c r="A58" s="1" t="s">
        <v>77</v>
      </c>
      <c r="B58" s="2" t="s">
        <v>6</v>
      </c>
      <c r="C58" s="3">
        <f t="shared" si="1"/>
        <v>22.64</v>
      </c>
    </row>
    <row r="59">
      <c r="A59" s="1" t="s">
        <v>78</v>
      </c>
      <c r="B59" s="2" t="s">
        <v>23</v>
      </c>
      <c r="C59" s="3">
        <f t="shared" si="1"/>
        <v>22.64</v>
      </c>
    </row>
    <row r="60">
      <c r="A60" s="1" t="s">
        <v>79</v>
      </c>
      <c r="B60" s="2" t="s">
        <v>6</v>
      </c>
      <c r="C60" s="3">
        <f t="shared" si="1"/>
        <v>22.64</v>
      </c>
    </row>
    <row r="61">
      <c r="A61" s="1" t="s">
        <v>80</v>
      </c>
      <c r="B61" s="2" t="s">
        <v>6</v>
      </c>
      <c r="C61" s="3">
        <f t="shared" si="1"/>
        <v>22.64</v>
      </c>
    </row>
    <row r="62">
      <c r="A62" s="1" t="s">
        <v>81</v>
      </c>
      <c r="B62" s="2" t="s">
        <v>6</v>
      </c>
      <c r="C62" s="3">
        <f t="shared" si="1"/>
        <v>22.64</v>
      </c>
    </row>
    <row r="63">
      <c r="A63" s="1" t="s">
        <v>10</v>
      </c>
      <c r="B63" s="2" t="s">
        <v>10</v>
      </c>
      <c r="C63" s="3">
        <f t="shared" si="1"/>
        <v>22.64</v>
      </c>
    </row>
    <row r="64">
      <c r="A64" s="1" t="s">
        <v>82</v>
      </c>
      <c r="B64" s="2" t="s">
        <v>36</v>
      </c>
      <c r="C64" s="3">
        <f t="shared" si="1"/>
        <v>19.95</v>
      </c>
    </row>
    <row r="65">
      <c r="A65" s="1" t="s">
        <v>83</v>
      </c>
      <c r="B65" s="2" t="s">
        <v>58</v>
      </c>
      <c r="C65" s="3">
        <f t="shared" si="1"/>
        <v>22.64</v>
      </c>
    </row>
    <row r="66">
      <c r="A66" s="1" t="s">
        <v>84</v>
      </c>
      <c r="B66" s="2" t="s">
        <v>58</v>
      </c>
      <c r="C66" s="3">
        <f t="shared" si="1"/>
        <v>22.64</v>
      </c>
    </row>
    <row r="67">
      <c r="A67" s="1" t="s">
        <v>85</v>
      </c>
      <c r="B67" s="2" t="s">
        <v>21</v>
      </c>
      <c r="C67" s="3">
        <f t="shared" si="1"/>
        <v>21.33</v>
      </c>
    </row>
    <row r="68">
      <c r="A68" s="1" t="s">
        <v>86</v>
      </c>
      <c r="B68" s="2" t="s">
        <v>23</v>
      </c>
      <c r="C68" s="3">
        <f t="shared" si="1"/>
        <v>22.64</v>
      </c>
    </row>
    <row r="69">
      <c r="A69" s="1" t="s">
        <v>87</v>
      </c>
      <c r="B69" s="2" t="s">
        <v>34</v>
      </c>
      <c r="C69" s="3">
        <f t="shared" si="1"/>
        <v>22.64</v>
      </c>
    </row>
    <row r="70">
      <c r="A70" s="1" t="s">
        <v>88</v>
      </c>
      <c r="B70" s="2" t="s">
        <v>49</v>
      </c>
      <c r="C70" s="3">
        <f t="shared" si="1"/>
        <v>21.58</v>
      </c>
    </row>
    <row r="71">
      <c r="A71" s="1" t="s">
        <v>23</v>
      </c>
      <c r="B71" s="2" t="s">
        <v>23</v>
      </c>
      <c r="C71" s="3">
        <f t="shared" si="1"/>
        <v>22.64</v>
      </c>
    </row>
    <row r="72">
      <c r="A72" s="1" t="s">
        <v>89</v>
      </c>
      <c r="B72" s="2" t="s">
        <v>34</v>
      </c>
      <c r="C72" s="3">
        <f t="shared" si="1"/>
        <v>22.64</v>
      </c>
    </row>
    <row r="73">
      <c r="A73" s="1" t="s">
        <v>90</v>
      </c>
      <c r="B73" s="2" t="s">
        <v>23</v>
      </c>
      <c r="C73" s="3">
        <f t="shared" si="1"/>
        <v>22.64</v>
      </c>
    </row>
    <row r="74">
      <c r="A74" s="1" t="s">
        <v>91</v>
      </c>
      <c r="B74" s="2" t="s">
        <v>26</v>
      </c>
      <c r="C74" s="3">
        <f t="shared" si="1"/>
        <v>22.64</v>
      </c>
    </row>
    <row r="75">
      <c r="A75" s="1" t="s">
        <v>92</v>
      </c>
      <c r="B75" s="2" t="s">
        <v>6</v>
      </c>
      <c r="C75" s="3">
        <f t="shared" si="1"/>
        <v>22.64</v>
      </c>
    </row>
    <row r="76">
      <c r="A76" s="1" t="s">
        <v>93</v>
      </c>
      <c r="B76" s="2" t="s">
        <v>23</v>
      </c>
      <c r="C76" s="3">
        <f t="shared" si="1"/>
        <v>22.64</v>
      </c>
    </row>
    <row r="77">
      <c r="A77" s="1" t="s">
        <v>94</v>
      </c>
      <c r="B77" s="2" t="s">
        <v>64</v>
      </c>
      <c r="C77" s="3">
        <f t="shared" si="1"/>
        <v>22</v>
      </c>
    </row>
    <row r="78">
      <c r="A78" s="1" t="s">
        <v>95</v>
      </c>
      <c r="B78" s="2" t="s">
        <v>95</v>
      </c>
      <c r="C78" s="3">
        <f t="shared" si="1"/>
        <v>22.64</v>
      </c>
    </row>
    <row r="79">
      <c r="A79" s="1" t="s">
        <v>96</v>
      </c>
      <c r="B79" s="2" t="s">
        <v>95</v>
      </c>
      <c r="C79" s="3">
        <f t="shared" si="1"/>
        <v>22.64</v>
      </c>
    </row>
    <row r="80">
      <c r="A80" s="1" t="s">
        <v>97</v>
      </c>
      <c r="B80" s="2" t="s">
        <v>64</v>
      </c>
      <c r="C80" s="3">
        <f t="shared" si="1"/>
        <v>22</v>
      </c>
    </row>
    <row r="81">
      <c r="A81" s="1" t="s">
        <v>98</v>
      </c>
      <c r="B81" s="2" t="s">
        <v>6</v>
      </c>
      <c r="C81" s="3">
        <f t="shared" si="1"/>
        <v>22.64</v>
      </c>
    </row>
    <row r="82">
      <c r="A82" s="1" t="s">
        <v>99</v>
      </c>
      <c r="B82" s="2" t="s">
        <v>26</v>
      </c>
      <c r="C82" s="3">
        <f t="shared" si="1"/>
        <v>22.64</v>
      </c>
    </row>
    <row r="83">
      <c r="A83" s="1" t="s">
        <v>100</v>
      </c>
      <c r="B83" s="2" t="s">
        <v>4</v>
      </c>
      <c r="C83" s="3">
        <f t="shared" si="1"/>
        <v>22.64</v>
      </c>
    </row>
    <row r="84">
      <c r="A84" s="1" t="s">
        <v>101</v>
      </c>
      <c r="B84" s="2" t="s">
        <v>49</v>
      </c>
      <c r="C84" s="3">
        <f t="shared" si="1"/>
        <v>21.58</v>
      </c>
    </row>
    <row r="85">
      <c r="A85" s="1" t="s">
        <v>102</v>
      </c>
      <c r="B85" s="2" t="s">
        <v>6</v>
      </c>
      <c r="C85" s="3">
        <f t="shared" si="1"/>
        <v>22.64</v>
      </c>
    </row>
    <row r="86">
      <c r="A86" s="1" t="s">
        <v>103</v>
      </c>
      <c r="B86" s="2" t="s">
        <v>23</v>
      </c>
      <c r="C86" s="3">
        <f t="shared" si="1"/>
        <v>22.64</v>
      </c>
    </row>
    <row r="87">
      <c r="A87" s="1" t="s">
        <v>4</v>
      </c>
      <c r="B87" s="2" t="s">
        <v>4</v>
      </c>
      <c r="C87" s="3">
        <f t="shared" si="1"/>
        <v>22.64</v>
      </c>
    </row>
    <row r="88">
      <c r="A88" s="1" t="s">
        <v>104</v>
      </c>
      <c r="B88" s="2" t="s">
        <v>64</v>
      </c>
      <c r="C88" s="3">
        <f t="shared" si="1"/>
        <v>22</v>
      </c>
    </row>
    <row r="89">
      <c r="A89" s="1" t="s">
        <v>105</v>
      </c>
      <c r="B89" s="2" t="s">
        <v>64</v>
      </c>
      <c r="C89" s="3">
        <f t="shared" si="1"/>
        <v>22</v>
      </c>
    </row>
    <row r="90">
      <c r="A90" s="1" t="s">
        <v>106</v>
      </c>
      <c r="B90" s="2" t="s">
        <v>10</v>
      </c>
      <c r="C90" s="3">
        <f t="shared" si="1"/>
        <v>22.64</v>
      </c>
    </row>
    <row r="91">
      <c r="A91" s="1" t="s">
        <v>107</v>
      </c>
      <c r="B91" s="2" t="s">
        <v>30</v>
      </c>
      <c r="C91" s="3">
        <f t="shared" si="1"/>
        <v>22.64</v>
      </c>
    </row>
    <row r="92">
      <c r="A92" s="1" t="s">
        <v>108</v>
      </c>
      <c r="B92" s="2" t="s">
        <v>56</v>
      </c>
      <c r="C92" s="3">
        <f t="shared" si="1"/>
        <v>22.64</v>
      </c>
    </row>
    <row r="93">
      <c r="A93" s="1" t="s">
        <v>109</v>
      </c>
      <c r="B93" s="2" t="s">
        <v>12</v>
      </c>
      <c r="C93" s="3">
        <f t="shared" si="1"/>
        <v>22.64</v>
      </c>
    </row>
    <row r="94">
      <c r="A94" s="1" t="s">
        <v>110</v>
      </c>
      <c r="B94" s="2" t="s">
        <v>14</v>
      </c>
      <c r="C94" s="3">
        <f t="shared" si="1"/>
        <v>22.64</v>
      </c>
    </row>
    <row r="95">
      <c r="A95" s="1" t="s">
        <v>111</v>
      </c>
      <c r="B95" s="2" t="s">
        <v>36</v>
      </c>
      <c r="C95" s="3">
        <f t="shared" si="1"/>
        <v>19.95</v>
      </c>
    </row>
    <row r="96">
      <c r="A96" s="1" t="s">
        <v>6</v>
      </c>
      <c r="B96" s="2" t="s">
        <v>6</v>
      </c>
      <c r="C96" s="3">
        <f t="shared" si="1"/>
        <v>22.64</v>
      </c>
    </row>
    <row r="97">
      <c r="A97" s="1" t="s">
        <v>112</v>
      </c>
      <c r="B97" s="2" t="s">
        <v>49</v>
      </c>
      <c r="C97" s="3">
        <f t="shared" si="1"/>
        <v>21.58</v>
      </c>
    </row>
    <row r="98">
      <c r="A98" s="1" t="s">
        <v>113</v>
      </c>
      <c r="B98" s="2" t="s">
        <v>42</v>
      </c>
      <c r="C98" s="3">
        <f t="shared" si="1"/>
        <v>22.64</v>
      </c>
    </row>
    <row r="99">
      <c r="A99" s="1" t="s">
        <v>114</v>
      </c>
      <c r="B99" s="2" t="s">
        <v>14</v>
      </c>
      <c r="C99" s="3">
        <f t="shared" si="1"/>
        <v>22.64</v>
      </c>
    </row>
    <row r="100">
      <c r="A100" s="1" t="s">
        <v>115</v>
      </c>
      <c r="B100" s="2" t="s">
        <v>23</v>
      </c>
      <c r="C100" s="3">
        <f t="shared" si="1"/>
        <v>22.64</v>
      </c>
    </row>
    <row r="101">
      <c r="A101" s="1" t="s">
        <v>56</v>
      </c>
      <c r="B101" s="2" t="s">
        <v>56</v>
      </c>
      <c r="C101" s="3">
        <f t="shared" si="1"/>
        <v>22.64</v>
      </c>
    </row>
    <row r="102">
      <c r="A102" s="1" t="s">
        <v>116</v>
      </c>
      <c r="B102" s="2" t="s">
        <v>12</v>
      </c>
      <c r="C102" s="3">
        <f t="shared" si="1"/>
        <v>22.64</v>
      </c>
    </row>
    <row r="103">
      <c r="A103" s="1" t="s">
        <v>117</v>
      </c>
      <c r="B103" s="2" t="s">
        <v>26</v>
      </c>
      <c r="C103" s="3">
        <f t="shared" si="1"/>
        <v>22.64</v>
      </c>
    </row>
    <row r="104">
      <c r="A104" s="1" t="s">
        <v>118</v>
      </c>
      <c r="B104" s="2" t="s">
        <v>6</v>
      </c>
      <c r="C104" s="3">
        <f t="shared" si="1"/>
        <v>22.64</v>
      </c>
    </row>
    <row r="105">
      <c r="A105" s="1" t="s">
        <v>119</v>
      </c>
      <c r="B105" s="2" t="s">
        <v>21</v>
      </c>
      <c r="C105" s="3">
        <f t="shared" si="1"/>
        <v>21.33</v>
      </c>
    </row>
    <row r="106">
      <c r="A106" s="1" t="s">
        <v>120</v>
      </c>
      <c r="B106" s="2" t="s">
        <v>10</v>
      </c>
      <c r="C106" s="3">
        <f t="shared" si="1"/>
        <v>22.64</v>
      </c>
    </row>
    <row r="107">
      <c r="A107" s="1" t="s">
        <v>121</v>
      </c>
      <c r="B107" s="2" t="s">
        <v>42</v>
      </c>
      <c r="C107" s="3">
        <f t="shared" si="1"/>
        <v>22.64</v>
      </c>
    </row>
    <row r="108">
      <c r="A108" s="1" t="s">
        <v>122</v>
      </c>
      <c r="B108" s="2" t="s">
        <v>12</v>
      </c>
      <c r="C108" s="3">
        <f t="shared" si="1"/>
        <v>22.64</v>
      </c>
    </row>
    <row r="109">
      <c r="A109" s="1" t="s">
        <v>123</v>
      </c>
      <c r="B109" s="2" t="s">
        <v>124</v>
      </c>
      <c r="C109" s="3">
        <f t="shared" si="1"/>
        <v>22.64</v>
      </c>
    </row>
    <row r="110">
      <c r="A110" s="1" t="s">
        <v>125</v>
      </c>
      <c r="B110" s="2" t="s">
        <v>10</v>
      </c>
      <c r="C110" s="3">
        <f t="shared" si="1"/>
        <v>22.64</v>
      </c>
    </row>
    <row r="111">
      <c r="A111" s="1" t="s">
        <v>126</v>
      </c>
      <c r="B111" s="2" t="s">
        <v>36</v>
      </c>
      <c r="C111" s="3">
        <f t="shared" si="1"/>
        <v>19.95</v>
      </c>
    </row>
    <row r="112">
      <c r="A112" s="1" t="s">
        <v>127</v>
      </c>
      <c r="B112" s="2" t="s">
        <v>6</v>
      </c>
      <c r="C112" s="3">
        <f t="shared" si="1"/>
        <v>22.64</v>
      </c>
    </row>
    <row r="113">
      <c r="A113" s="1" t="s">
        <v>128</v>
      </c>
      <c r="B113" s="2" t="s">
        <v>10</v>
      </c>
      <c r="C113" s="3">
        <f t="shared" si="1"/>
        <v>22.64</v>
      </c>
    </row>
    <row r="114">
      <c r="A114" s="1" t="s">
        <v>129</v>
      </c>
      <c r="B114" s="2" t="s">
        <v>130</v>
      </c>
      <c r="C114" s="3">
        <f t="shared" si="1"/>
        <v>22.64</v>
      </c>
    </row>
    <row r="115">
      <c r="A115" s="1" t="s">
        <v>131</v>
      </c>
      <c r="B115" s="2" t="s">
        <v>49</v>
      </c>
      <c r="C115" s="3">
        <f t="shared" si="1"/>
        <v>21.58</v>
      </c>
    </row>
    <row r="116">
      <c r="A116" s="1" t="s">
        <v>132</v>
      </c>
      <c r="B116" s="2" t="s">
        <v>21</v>
      </c>
      <c r="C116" s="3">
        <f t="shared" si="1"/>
        <v>21.33</v>
      </c>
    </row>
    <row r="117">
      <c r="A117" s="1" t="s">
        <v>133</v>
      </c>
      <c r="B117" s="2" t="s">
        <v>26</v>
      </c>
      <c r="C117" s="3">
        <f t="shared" si="1"/>
        <v>22.64</v>
      </c>
    </row>
    <row r="118">
      <c r="A118" s="1" t="s">
        <v>134</v>
      </c>
      <c r="B118" s="2" t="s">
        <v>26</v>
      </c>
      <c r="C118" s="3">
        <f t="shared" si="1"/>
        <v>22.64</v>
      </c>
    </row>
    <row r="119">
      <c r="A119" s="1" t="s">
        <v>135</v>
      </c>
      <c r="B119" s="2" t="s">
        <v>18</v>
      </c>
      <c r="C119" s="3">
        <f t="shared" si="1"/>
        <v>22.64</v>
      </c>
    </row>
    <row r="120">
      <c r="A120" s="1" t="s">
        <v>136</v>
      </c>
      <c r="B120" s="2" t="s">
        <v>26</v>
      </c>
      <c r="C120" s="3">
        <f t="shared" si="1"/>
        <v>22.64</v>
      </c>
    </row>
    <row r="121">
      <c r="A121" s="1" t="s">
        <v>137</v>
      </c>
      <c r="B121" s="2" t="s">
        <v>42</v>
      </c>
      <c r="C121" s="3">
        <f t="shared" si="1"/>
        <v>22.64</v>
      </c>
    </row>
    <row r="122">
      <c r="A122" s="1" t="s">
        <v>138</v>
      </c>
      <c r="B122" s="2" t="s">
        <v>23</v>
      </c>
      <c r="C122" s="3">
        <f t="shared" si="1"/>
        <v>22.64</v>
      </c>
    </row>
    <row r="123">
      <c r="A123" s="1" t="s">
        <v>139</v>
      </c>
      <c r="B123" s="2" t="s">
        <v>58</v>
      </c>
      <c r="C123" s="3">
        <f t="shared" si="1"/>
        <v>22.64</v>
      </c>
    </row>
    <row r="124">
      <c r="A124" s="1" t="s">
        <v>140</v>
      </c>
      <c r="B124" s="2" t="s">
        <v>12</v>
      </c>
      <c r="C124" s="3">
        <f t="shared" si="1"/>
        <v>22.64</v>
      </c>
    </row>
    <row r="125">
      <c r="A125" s="1" t="s">
        <v>21</v>
      </c>
      <c r="B125" s="2" t="s">
        <v>21</v>
      </c>
      <c r="C125" s="3">
        <f t="shared" si="1"/>
        <v>21.33</v>
      </c>
    </row>
    <row r="126">
      <c r="A126" s="1" t="s">
        <v>141</v>
      </c>
      <c r="B126" s="2" t="s">
        <v>30</v>
      </c>
      <c r="C126" s="3">
        <f t="shared" si="1"/>
        <v>22.64</v>
      </c>
    </row>
    <row r="127">
      <c r="A127" s="1" t="s">
        <v>142</v>
      </c>
      <c r="B127" s="2" t="s">
        <v>36</v>
      </c>
      <c r="C127" s="3">
        <f t="shared" si="1"/>
        <v>19.95</v>
      </c>
    </row>
    <row r="128">
      <c r="A128" s="1" t="s">
        <v>143</v>
      </c>
      <c r="B128" s="2" t="s">
        <v>10</v>
      </c>
      <c r="C128" s="3">
        <f t="shared" si="1"/>
        <v>22.64</v>
      </c>
    </row>
    <row r="129">
      <c r="A129" s="1" t="s">
        <v>144</v>
      </c>
      <c r="B129" s="2" t="s">
        <v>58</v>
      </c>
      <c r="C129" s="3">
        <f t="shared" si="1"/>
        <v>22.64</v>
      </c>
    </row>
    <row r="130">
      <c r="A130" s="1" t="s">
        <v>145</v>
      </c>
      <c r="B130" s="2" t="s">
        <v>36</v>
      </c>
      <c r="C130" s="3">
        <f t="shared" si="1"/>
        <v>19.95</v>
      </c>
    </row>
    <row r="131">
      <c r="A131" s="1" t="s">
        <v>146</v>
      </c>
      <c r="B131" s="2" t="s">
        <v>42</v>
      </c>
      <c r="C131" s="3">
        <f t="shared" si="1"/>
        <v>22.64</v>
      </c>
    </row>
    <row r="132">
      <c r="A132" s="1" t="s">
        <v>147</v>
      </c>
      <c r="B132" s="2" t="s">
        <v>14</v>
      </c>
      <c r="C132" s="3">
        <f t="shared" si="1"/>
        <v>22.64</v>
      </c>
    </row>
    <row r="133">
      <c r="A133" s="1" t="s">
        <v>148</v>
      </c>
      <c r="B133" s="2" t="s">
        <v>130</v>
      </c>
      <c r="C133" s="3">
        <f t="shared" si="1"/>
        <v>22.64</v>
      </c>
    </row>
    <row r="134">
      <c r="A134" s="1" t="s">
        <v>149</v>
      </c>
      <c r="B134" s="2" t="s">
        <v>49</v>
      </c>
      <c r="C134" s="3">
        <f t="shared" si="1"/>
        <v>21.58</v>
      </c>
    </row>
    <row r="135">
      <c r="A135" s="1" t="s">
        <v>150</v>
      </c>
      <c r="B135" s="2" t="s">
        <v>95</v>
      </c>
      <c r="C135" s="3">
        <f t="shared" si="1"/>
        <v>22.64</v>
      </c>
    </row>
    <row r="136">
      <c r="A136" s="1" t="s">
        <v>151</v>
      </c>
      <c r="B136" s="2" t="s">
        <v>26</v>
      </c>
      <c r="C136" s="3">
        <f t="shared" si="1"/>
        <v>22.64</v>
      </c>
    </row>
    <row r="137">
      <c r="A137" s="1" t="s">
        <v>152</v>
      </c>
      <c r="B137" s="2" t="s">
        <v>23</v>
      </c>
      <c r="C137" s="3">
        <f t="shared" si="1"/>
        <v>22.64</v>
      </c>
    </row>
    <row r="138">
      <c r="A138" s="1" t="s">
        <v>58</v>
      </c>
      <c r="B138" s="2" t="s">
        <v>58</v>
      </c>
      <c r="C138" s="3">
        <f t="shared" si="1"/>
        <v>22.64</v>
      </c>
    </row>
    <row r="139">
      <c r="A139" s="1" t="s">
        <v>153</v>
      </c>
      <c r="B139" s="2" t="s">
        <v>28</v>
      </c>
      <c r="C139" s="3">
        <f t="shared" si="1"/>
        <v>20.63</v>
      </c>
    </row>
    <row r="140">
      <c r="A140" s="1" t="s">
        <v>154</v>
      </c>
      <c r="B140" s="2" t="s">
        <v>28</v>
      </c>
      <c r="C140" s="3">
        <f t="shared" si="1"/>
        <v>20.63</v>
      </c>
    </row>
    <row r="141">
      <c r="A141" s="1" t="s">
        <v>155</v>
      </c>
      <c r="B141" s="2" t="s">
        <v>64</v>
      </c>
      <c r="C141" s="3">
        <f t="shared" si="1"/>
        <v>22</v>
      </c>
    </row>
    <row r="142">
      <c r="A142" s="1" t="s">
        <v>156</v>
      </c>
      <c r="B142" s="2" t="s">
        <v>49</v>
      </c>
      <c r="C142" s="3">
        <f t="shared" si="1"/>
        <v>21.58</v>
      </c>
    </row>
    <row r="143">
      <c r="A143" s="1" t="s">
        <v>157</v>
      </c>
      <c r="B143" s="2" t="s">
        <v>23</v>
      </c>
      <c r="C143" s="3">
        <f t="shared" si="1"/>
        <v>22.64</v>
      </c>
    </row>
    <row r="144">
      <c r="A144" s="1" t="s">
        <v>158</v>
      </c>
      <c r="B144" s="2" t="s">
        <v>18</v>
      </c>
      <c r="C144" s="3">
        <f t="shared" si="1"/>
        <v>22.64</v>
      </c>
    </row>
    <row r="145">
      <c r="A145" s="1" t="s">
        <v>159</v>
      </c>
      <c r="B145" s="2" t="s">
        <v>12</v>
      </c>
      <c r="C145" s="3">
        <f t="shared" si="1"/>
        <v>22.64</v>
      </c>
    </row>
    <row r="146">
      <c r="A146" s="1" t="s">
        <v>160</v>
      </c>
      <c r="B146" s="2" t="s">
        <v>26</v>
      </c>
      <c r="C146" s="3">
        <f t="shared" si="1"/>
        <v>22.64</v>
      </c>
    </row>
    <row r="147">
      <c r="A147" s="1" t="s">
        <v>161</v>
      </c>
      <c r="B147" s="2" t="s">
        <v>23</v>
      </c>
      <c r="C147" s="3">
        <f t="shared" si="1"/>
        <v>22.64</v>
      </c>
    </row>
    <row r="148">
      <c r="A148" s="1" t="s">
        <v>162</v>
      </c>
      <c r="B148" s="2" t="s">
        <v>34</v>
      </c>
      <c r="C148" s="3">
        <f t="shared" si="1"/>
        <v>22.64</v>
      </c>
    </row>
    <row r="149">
      <c r="A149" s="1" t="s">
        <v>163</v>
      </c>
      <c r="B149" s="2" t="s">
        <v>130</v>
      </c>
      <c r="C149" s="3">
        <f t="shared" si="1"/>
        <v>22.64</v>
      </c>
    </row>
    <row r="150">
      <c r="A150" s="1" t="s">
        <v>164</v>
      </c>
      <c r="B150" s="2" t="s">
        <v>58</v>
      </c>
      <c r="C150" s="3">
        <f t="shared" si="1"/>
        <v>22.64</v>
      </c>
    </row>
    <row r="151">
      <c r="A151" s="1" t="s">
        <v>165</v>
      </c>
      <c r="B151" s="2" t="s">
        <v>14</v>
      </c>
      <c r="C151" s="3">
        <f t="shared" si="1"/>
        <v>22.64</v>
      </c>
    </row>
    <row r="152">
      <c r="A152" s="1" t="s">
        <v>166</v>
      </c>
      <c r="B152" s="2" t="s">
        <v>95</v>
      </c>
      <c r="C152" s="3">
        <f t="shared" si="1"/>
        <v>22.64</v>
      </c>
    </row>
    <row r="153">
      <c r="A153" s="1" t="s">
        <v>167</v>
      </c>
      <c r="B153" s="2" t="s">
        <v>130</v>
      </c>
      <c r="C153" s="3">
        <f t="shared" si="1"/>
        <v>22.64</v>
      </c>
    </row>
    <row r="154">
      <c r="A154" s="1" t="s">
        <v>168</v>
      </c>
      <c r="B154" s="2" t="s">
        <v>12</v>
      </c>
      <c r="C154" s="3">
        <f t="shared" si="1"/>
        <v>22.64</v>
      </c>
    </row>
    <row r="155">
      <c r="A155" s="1" t="s">
        <v>169</v>
      </c>
      <c r="B155" s="2" t="s">
        <v>42</v>
      </c>
      <c r="C155" s="3">
        <f t="shared" si="1"/>
        <v>22.64</v>
      </c>
    </row>
    <row r="156">
      <c r="A156" s="1" t="s">
        <v>130</v>
      </c>
      <c r="B156" s="2" t="s">
        <v>130</v>
      </c>
      <c r="C156" s="3">
        <f t="shared" si="1"/>
        <v>22.64</v>
      </c>
    </row>
    <row r="157">
      <c r="A157" s="1" t="s">
        <v>170</v>
      </c>
      <c r="B157" s="2" t="s">
        <v>10</v>
      </c>
      <c r="C157" s="3">
        <f t="shared" si="1"/>
        <v>22.64</v>
      </c>
    </row>
    <row r="158">
      <c r="A158" s="1" t="s">
        <v>171</v>
      </c>
      <c r="B158" s="2" t="s">
        <v>26</v>
      </c>
      <c r="C158" s="3">
        <f t="shared" si="1"/>
        <v>22.64</v>
      </c>
    </row>
    <row r="159">
      <c r="A159" s="1" t="s">
        <v>172</v>
      </c>
      <c r="B159" s="2" t="s">
        <v>23</v>
      </c>
      <c r="C159" s="3">
        <f t="shared" si="1"/>
        <v>22.64</v>
      </c>
    </row>
    <row r="160">
      <c r="A160" s="1" t="s">
        <v>173</v>
      </c>
      <c r="B160" s="2" t="s">
        <v>4</v>
      </c>
      <c r="C160" s="3">
        <f t="shared" si="1"/>
        <v>22.64</v>
      </c>
    </row>
    <row r="161">
      <c r="A161" s="1" t="s">
        <v>174</v>
      </c>
      <c r="B161" s="2" t="s">
        <v>26</v>
      </c>
      <c r="C161" s="3">
        <f t="shared" si="1"/>
        <v>22.64</v>
      </c>
    </row>
    <row r="162">
      <c r="A162" s="1" t="s">
        <v>175</v>
      </c>
      <c r="B162" s="2" t="s">
        <v>64</v>
      </c>
      <c r="C162" s="3">
        <f t="shared" si="1"/>
        <v>22</v>
      </c>
    </row>
    <row r="163">
      <c r="A163" s="1" t="s">
        <v>176</v>
      </c>
      <c r="B163" s="2" t="s">
        <v>6</v>
      </c>
      <c r="C163" s="3">
        <f t="shared" si="1"/>
        <v>22.64</v>
      </c>
    </row>
    <row r="164">
      <c r="A164" s="1" t="s">
        <v>177</v>
      </c>
      <c r="B164" s="2" t="s">
        <v>14</v>
      </c>
      <c r="C164" s="3">
        <f t="shared" si="1"/>
        <v>22.64</v>
      </c>
    </row>
    <row r="165">
      <c r="A165" s="1" t="s">
        <v>178</v>
      </c>
      <c r="B165" s="2" t="s">
        <v>130</v>
      </c>
      <c r="C165" s="3">
        <f t="shared" si="1"/>
        <v>22.64</v>
      </c>
    </row>
    <row r="166">
      <c r="A166" s="1" t="s">
        <v>36</v>
      </c>
      <c r="B166" s="2" t="s">
        <v>36</v>
      </c>
      <c r="C166" s="3">
        <f t="shared" si="1"/>
        <v>19.95</v>
      </c>
    </row>
    <row r="167">
      <c r="A167" s="1" t="s">
        <v>179</v>
      </c>
      <c r="B167" s="2" t="s">
        <v>12</v>
      </c>
      <c r="C167" s="3">
        <f t="shared" si="1"/>
        <v>22.64</v>
      </c>
    </row>
    <row r="168">
      <c r="A168" s="1" t="s">
        <v>180</v>
      </c>
      <c r="B168" s="2" t="s">
        <v>26</v>
      </c>
      <c r="C168" s="3">
        <f t="shared" si="1"/>
        <v>22.64</v>
      </c>
    </row>
    <row r="169">
      <c r="A169" s="1" t="s">
        <v>181</v>
      </c>
      <c r="B169" s="2" t="s">
        <v>49</v>
      </c>
      <c r="C169" s="3">
        <f t="shared" si="1"/>
        <v>21.58</v>
      </c>
    </row>
    <row r="170">
      <c r="A170" s="1" t="s">
        <v>182</v>
      </c>
      <c r="B170" s="2" t="s">
        <v>49</v>
      </c>
      <c r="C170" s="3">
        <f t="shared" si="1"/>
        <v>21.58</v>
      </c>
    </row>
    <row r="171">
      <c r="A171" s="1" t="s">
        <v>183</v>
      </c>
      <c r="B171" s="2" t="s">
        <v>26</v>
      </c>
      <c r="C171" s="3">
        <f t="shared" si="1"/>
        <v>22.64</v>
      </c>
    </row>
    <row r="172">
      <c r="A172" s="1" t="s">
        <v>184</v>
      </c>
      <c r="B172" s="2" t="s">
        <v>34</v>
      </c>
      <c r="C172" s="3">
        <f t="shared" si="1"/>
        <v>22.64</v>
      </c>
    </row>
    <row r="173">
      <c r="A173" s="1" t="s">
        <v>185</v>
      </c>
      <c r="B173" s="2" t="s">
        <v>31</v>
      </c>
      <c r="C173" s="3">
        <f t="shared" si="1"/>
        <v>22.64</v>
      </c>
    </row>
    <row r="174">
      <c r="A174" s="1" t="s">
        <v>186</v>
      </c>
      <c r="B174" s="2" t="s">
        <v>10</v>
      </c>
      <c r="C174" s="3">
        <f t="shared" si="1"/>
        <v>22.64</v>
      </c>
    </row>
    <row r="175">
      <c r="A175" s="1" t="s">
        <v>187</v>
      </c>
      <c r="B175" s="2" t="s">
        <v>49</v>
      </c>
      <c r="C175" s="3">
        <f t="shared" si="1"/>
        <v>21.58</v>
      </c>
    </row>
    <row r="176">
      <c r="A176" s="1" t="s">
        <v>188</v>
      </c>
      <c r="B176" s="2" t="s">
        <v>95</v>
      </c>
      <c r="C176" s="3">
        <f t="shared" si="1"/>
        <v>22.64</v>
      </c>
    </row>
    <row r="177">
      <c r="A177" s="1" t="s">
        <v>189</v>
      </c>
      <c r="B177" s="2" t="s">
        <v>36</v>
      </c>
      <c r="C177" s="3">
        <f t="shared" si="1"/>
        <v>19.95</v>
      </c>
    </row>
    <row r="178">
      <c r="A178" s="1" t="s">
        <v>190</v>
      </c>
      <c r="B178" s="2" t="s">
        <v>14</v>
      </c>
      <c r="C178" s="3">
        <f t="shared" si="1"/>
        <v>22.64</v>
      </c>
    </row>
    <row r="179">
      <c r="A179" s="1" t="s">
        <v>191</v>
      </c>
      <c r="B179" s="2" t="s">
        <v>4</v>
      </c>
      <c r="C179" s="3">
        <f t="shared" si="1"/>
        <v>22.64</v>
      </c>
    </row>
    <row r="180">
      <c r="A180" s="1" t="s">
        <v>192</v>
      </c>
      <c r="B180" s="2" t="s">
        <v>42</v>
      </c>
      <c r="C180" s="3">
        <f t="shared" si="1"/>
        <v>22.64</v>
      </c>
    </row>
    <row r="181">
      <c r="A181" s="1" t="s">
        <v>193</v>
      </c>
      <c r="B181" s="2" t="s">
        <v>49</v>
      </c>
      <c r="C181" s="3">
        <f t="shared" si="1"/>
        <v>21.58</v>
      </c>
    </row>
    <row r="182">
      <c r="A182" s="1" t="s">
        <v>194</v>
      </c>
      <c r="B182" s="2" t="s">
        <v>49</v>
      </c>
      <c r="C182" s="3">
        <f t="shared" si="1"/>
        <v>21.58</v>
      </c>
    </row>
    <row r="183">
      <c r="A183" s="1" t="s">
        <v>195</v>
      </c>
      <c r="B183" s="2" t="s">
        <v>10</v>
      </c>
      <c r="C183" s="3">
        <f t="shared" si="1"/>
        <v>22.64</v>
      </c>
    </row>
    <row r="184">
      <c r="A184" s="1" t="s">
        <v>196</v>
      </c>
      <c r="B184" s="2" t="s">
        <v>95</v>
      </c>
      <c r="C184" s="3">
        <f t="shared" si="1"/>
        <v>22.64</v>
      </c>
    </row>
    <row r="185">
      <c r="A185" s="1" t="s">
        <v>197</v>
      </c>
      <c r="B185" s="2" t="s">
        <v>36</v>
      </c>
      <c r="C185" s="3">
        <f t="shared" si="1"/>
        <v>19.95</v>
      </c>
    </row>
    <row r="186">
      <c r="A186" s="1" t="s">
        <v>198</v>
      </c>
      <c r="B186" s="2" t="s">
        <v>6</v>
      </c>
      <c r="C186" s="3">
        <f t="shared" si="1"/>
        <v>22.64</v>
      </c>
    </row>
    <row r="187">
      <c r="A187" s="1" t="s">
        <v>199</v>
      </c>
      <c r="B187" s="2" t="s">
        <v>58</v>
      </c>
      <c r="C187" s="3">
        <f t="shared" si="1"/>
        <v>22.64</v>
      </c>
    </row>
    <row r="188">
      <c r="A188" s="1" t="s">
        <v>124</v>
      </c>
      <c r="B188" s="2" t="s">
        <v>124</v>
      </c>
      <c r="C188" s="3">
        <f t="shared" si="1"/>
        <v>22.64</v>
      </c>
    </row>
    <row r="189">
      <c r="A189" s="1" t="s">
        <v>200</v>
      </c>
      <c r="B189" s="2" t="s">
        <v>4</v>
      </c>
      <c r="C189" s="3">
        <f t="shared" si="1"/>
        <v>22.64</v>
      </c>
    </row>
    <row r="190">
      <c r="A190" s="1" t="s">
        <v>201</v>
      </c>
      <c r="B190" s="2" t="s">
        <v>36</v>
      </c>
      <c r="C190" s="3">
        <f t="shared" si="1"/>
        <v>19.95</v>
      </c>
    </row>
    <row r="191">
      <c r="A191" s="1" t="s">
        <v>202</v>
      </c>
      <c r="B191" s="2" t="s">
        <v>23</v>
      </c>
      <c r="C191" s="3">
        <f t="shared" si="1"/>
        <v>22.64</v>
      </c>
    </row>
    <row r="192">
      <c r="A192" s="1" t="s">
        <v>203</v>
      </c>
      <c r="B192" s="2" t="s">
        <v>14</v>
      </c>
      <c r="C192" s="3">
        <f t="shared" si="1"/>
        <v>22.64</v>
      </c>
    </row>
    <row r="193">
      <c r="A193" s="1" t="s">
        <v>204</v>
      </c>
      <c r="B193" s="2" t="s">
        <v>26</v>
      </c>
      <c r="C193" s="3">
        <f t="shared" si="1"/>
        <v>22.64</v>
      </c>
    </row>
    <row r="194">
      <c r="A194" s="1" t="s">
        <v>18</v>
      </c>
      <c r="B194" s="2" t="s">
        <v>18</v>
      </c>
      <c r="C194" s="3">
        <f t="shared" si="1"/>
        <v>22.64</v>
      </c>
    </row>
    <row r="195">
      <c r="A195" s="1" t="s">
        <v>205</v>
      </c>
      <c r="B195" s="2" t="s">
        <v>10</v>
      </c>
      <c r="C195" s="3">
        <f t="shared" si="1"/>
        <v>22.64</v>
      </c>
    </row>
    <row r="196">
      <c r="A196" s="1" t="s">
        <v>206</v>
      </c>
      <c r="B196" s="2" t="s">
        <v>36</v>
      </c>
      <c r="C196" s="3">
        <f t="shared" si="1"/>
        <v>19.95</v>
      </c>
    </row>
    <row r="197">
      <c r="A197" s="1" t="s">
        <v>207</v>
      </c>
      <c r="B197" s="2" t="s">
        <v>26</v>
      </c>
      <c r="C197" s="3">
        <f t="shared" si="1"/>
        <v>22.64</v>
      </c>
    </row>
    <row r="198">
      <c r="A198" s="1" t="s">
        <v>208</v>
      </c>
      <c r="B198" s="2" t="s">
        <v>130</v>
      </c>
      <c r="C198" s="3">
        <f t="shared" si="1"/>
        <v>22.64</v>
      </c>
    </row>
    <row r="199">
      <c r="A199" s="1" t="s">
        <v>209</v>
      </c>
      <c r="B199" s="2" t="s">
        <v>10</v>
      </c>
      <c r="C199" s="3">
        <f t="shared" si="1"/>
        <v>22.64</v>
      </c>
    </row>
    <row r="200">
      <c r="A200" s="1" t="s">
        <v>210</v>
      </c>
      <c r="B200" s="2" t="s">
        <v>26</v>
      </c>
      <c r="C200" s="3">
        <f t="shared" si="1"/>
        <v>22.64</v>
      </c>
    </row>
    <row r="201">
      <c r="A201" s="1" t="s">
        <v>211</v>
      </c>
      <c r="B201" s="2" t="s">
        <v>26</v>
      </c>
      <c r="C201" s="3">
        <f t="shared" si="1"/>
        <v>22.64</v>
      </c>
    </row>
    <row r="202">
      <c r="A202" s="1" t="s">
        <v>212</v>
      </c>
      <c r="B202" s="2" t="s">
        <v>6</v>
      </c>
      <c r="C202" s="3">
        <f t="shared" si="1"/>
        <v>22.64</v>
      </c>
    </row>
    <row r="203">
      <c r="A203" s="1" t="s">
        <v>213</v>
      </c>
      <c r="B203" s="2" t="s">
        <v>21</v>
      </c>
      <c r="C203" s="3">
        <f t="shared" si="1"/>
        <v>21.33</v>
      </c>
    </row>
    <row r="204">
      <c r="A204" s="1" t="s">
        <v>214</v>
      </c>
      <c r="B204" s="2" t="s">
        <v>64</v>
      </c>
      <c r="C204" s="3">
        <f t="shared" si="1"/>
        <v>22</v>
      </c>
    </row>
    <row r="205">
      <c r="A205" s="1" t="s">
        <v>215</v>
      </c>
      <c r="B205" s="2" t="s">
        <v>36</v>
      </c>
      <c r="C205" s="3">
        <f t="shared" si="1"/>
        <v>19.95</v>
      </c>
    </row>
    <row r="206">
      <c r="A206" s="1" t="s">
        <v>216</v>
      </c>
      <c r="B206" s="2" t="s">
        <v>42</v>
      </c>
      <c r="C206" s="3">
        <f t="shared" si="1"/>
        <v>22.64</v>
      </c>
    </row>
    <row r="207">
      <c r="A207" s="1" t="s">
        <v>217</v>
      </c>
      <c r="B207" s="2" t="s">
        <v>12</v>
      </c>
      <c r="C207" s="3">
        <f t="shared" si="1"/>
        <v>22.64</v>
      </c>
    </row>
    <row r="208">
      <c r="A208" s="1" t="s">
        <v>218</v>
      </c>
      <c r="B208" s="2" t="s">
        <v>26</v>
      </c>
      <c r="C208" s="3">
        <f t="shared" si="1"/>
        <v>22.64</v>
      </c>
    </row>
    <row r="209">
      <c r="A209" s="1" t="s">
        <v>219</v>
      </c>
      <c r="B209" s="2" t="s">
        <v>31</v>
      </c>
      <c r="C209" s="3">
        <f t="shared" si="1"/>
        <v>22.64</v>
      </c>
    </row>
    <row r="210">
      <c r="A210" s="1" t="s">
        <v>220</v>
      </c>
      <c r="B210" s="2" t="s">
        <v>14</v>
      </c>
      <c r="C210" s="3">
        <f t="shared" si="1"/>
        <v>22.64</v>
      </c>
    </row>
    <row r="211">
      <c r="A211" s="1" t="s">
        <v>221</v>
      </c>
      <c r="B211" s="2" t="s">
        <v>12</v>
      </c>
      <c r="C211" s="3">
        <f t="shared" si="1"/>
        <v>22.64</v>
      </c>
    </row>
    <row r="212">
      <c r="A212" s="1" t="s">
        <v>26</v>
      </c>
      <c r="B212" s="2" t="s">
        <v>26</v>
      </c>
      <c r="C212" s="3">
        <f t="shared" si="1"/>
        <v>22.64</v>
      </c>
    </row>
    <row r="213">
      <c r="A213" s="1" t="s">
        <v>222</v>
      </c>
      <c r="B213" s="2" t="s">
        <v>64</v>
      </c>
      <c r="C213" s="3">
        <f t="shared" si="1"/>
        <v>22</v>
      </c>
    </row>
    <row r="214">
      <c r="A214" s="1" t="s">
        <v>223</v>
      </c>
      <c r="B214" s="2" t="s">
        <v>42</v>
      </c>
      <c r="C214" s="3">
        <f t="shared" si="1"/>
        <v>22.64</v>
      </c>
    </row>
    <row r="215">
      <c r="A215" s="1" t="s">
        <v>224</v>
      </c>
      <c r="B215" s="2" t="s">
        <v>21</v>
      </c>
      <c r="C215" s="3">
        <f t="shared" si="1"/>
        <v>21.33</v>
      </c>
    </row>
    <row r="216">
      <c r="A216" s="1" t="s">
        <v>225</v>
      </c>
      <c r="B216" s="2" t="s">
        <v>58</v>
      </c>
      <c r="C216" s="3">
        <f t="shared" si="1"/>
        <v>22.64</v>
      </c>
    </row>
    <row r="217">
      <c r="A217" s="1" t="s">
        <v>226</v>
      </c>
      <c r="B217" s="2" t="s">
        <v>36</v>
      </c>
      <c r="C217" s="3">
        <f t="shared" si="1"/>
        <v>19.95</v>
      </c>
    </row>
    <row r="218">
      <c r="A218" s="1" t="s">
        <v>227</v>
      </c>
      <c r="B218" s="2" t="s">
        <v>23</v>
      </c>
      <c r="C218" s="3">
        <f t="shared" si="1"/>
        <v>22.64</v>
      </c>
    </row>
    <row r="219">
      <c r="A219" s="1" t="s">
        <v>228</v>
      </c>
      <c r="B219" s="2" t="s">
        <v>28</v>
      </c>
      <c r="C219" s="3">
        <f t="shared" si="1"/>
        <v>20.63</v>
      </c>
    </row>
    <row r="220">
      <c r="A220" s="1" t="s">
        <v>229</v>
      </c>
      <c r="B220" s="2" t="s">
        <v>58</v>
      </c>
      <c r="C220" s="3">
        <f t="shared" si="1"/>
        <v>22.64</v>
      </c>
    </row>
    <row r="221">
      <c r="A221" s="1" t="s">
        <v>230</v>
      </c>
      <c r="B221" s="2" t="s">
        <v>31</v>
      </c>
      <c r="C221" s="3">
        <f t="shared" si="1"/>
        <v>22.64</v>
      </c>
    </row>
    <row r="222">
      <c r="A222" s="1" t="s">
        <v>231</v>
      </c>
      <c r="B222" s="2" t="s">
        <v>23</v>
      </c>
      <c r="C222" s="3">
        <f t="shared" si="1"/>
        <v>22.64</v>
      </c>
    </row>
    <row r="223">
      <c r="A223" s="1" t="s">
        <v>232</v>
      </c>
      <c r="B223" s="2" t="s">
        <v>42</v>
      </c>
      <c r="C223" s="3">
        <f t="shared" si="1"/>
        <v>22.64</v>
      </c>
    </row>
    <row r="224">
      <c r="A224" s="1" t="s">
        <v>233</v>
      </c>
      <c r="B224" s="2" t="s">
        <v>14</v>
      </c>
      <c r="C224" s="3">
        <f t="shared" si="1"/>
        <v>22.64</v>
      </c>
    </row>
    <row r="225">
      <c r="A225" s="1" t="s">
        <v>234</v>
      </c>
      <c r="B225" s="2" t="s">
        <v>18</v>
      </c>
      <c r="C225" s="3">
        <f t="shared" si="1"/>
        <v>22.64</v>
      </c>
    </row>
    <row r="226">
      <c r="A226" s="1" t="s">
        <v>235</v>
      </c>
      <c r="B226" s="2" t="s">
        <v>23</v>
      </c>
      <c r="C226" s="3">
        <f t="shared" si="1"/>
        <v>22.64</v>
      </c>
    </row>
    <row r="227">
      <c r="A227" s="1" t="s">
        <v>236</v>
      </c>
      <c r="B227" s="2" t="s">
        <v>10</v>
      </c>
      <c r="C227" s="3">
        <f t="shared" si="1"/>
        <v>22.64</v>
      </c>
    </row>
    <row r="228">
      <c r="A228" s="1" t="s">
        <v>237</v>
      </c>
      <c r="B228" s="2" t="s">
        <v>28</v>
      </c>
      <c r="C228" s="3">
        <f t="shared" si="1"/>
        <v>20.63</v>
      </c>
    </row>
    <row r="229">
      <c r="A229" s="1" t="s">
        <v>238</v>
      </c>
      <c r="B229" s="2" t="s">
        <v>26</v>
      </c>
      <c r="C229" s="3">
        <f t="shared" si="1"/>
        <v>22.64</v>
      </c>
    </row>
    <row r="230">
      <c r="A230" s="1" t="s">
        <v>239</v>
      </c>
      <c r="B230" s="2" t="s">
        <v>26</v>
      </c>
      <c r="C230" s="3">
        <f t="shared" si="1"/>
        <v>22.64</v>
      </c>
    </row>
    <row r="231">
      <c r="A231" s="1" t="s">
        <v>240</v>
      </c>
      <c r="B231" s="2" t="s">
        <v>14</v>
      </c>
      <c r="C231" s="3">
        <f t="shared" si="1"/>
        <v>22.64</v>
      </c>
    </row>
    <row r="232">
      <c r="A232" s="1" t="s">
        <v>241</v>
      </c>
      <c r="B232" s="2" t="s">
        <v>4</v>
      </c>
      <c r="C232" s="3">
        <f t="shared" si="1"/>
        <v>22.64</v>
      </c>
    </row>
    <row r="233">
      <c r="A233" s="1" t="s">
        <v>242</v>
      </c>
      <c r="B233" s="2" t="s">
        <v>23</v>
      </c>
      <c r="C233" s="3">
        <f t="shared" si="1"/>
        <v>22.64</v>
      </c>
    </row>
    <row r="234">
      <c r="A234" s="1" t="s">
        <v>243</v>
      </c>
      <c r="B234" s="2" t="s">
        <v>10</v>
      </c>
      <c r="C234" s="3">
        <f t="shared" si="1"/>
        <v>22.64</v>
      </c>
    </row>
    <row r="235">
      <c r="A235" s="1" t="s">
        <v>244</v>
      </c>
      <c r="B235" s="2" t="s">
        <v>26</v>
      </c>
      <c r="C235" s="3">
        <f t="shared" si="1"/>
        <v>22.64</v>
      </c>
    </row>
    <row r="236">
      <c r="A236" s="1" t="s">
        <v>245</v>
      </c>
      <c r="B236" s="2" t="s">
        <v>56</v>
      </c>
      <c r="C236" s="3">
        <f t="shared" si="1"/>
        <v>22.64</v>
      </c>
    </row>
    <row r="237">
      <c r="A237" s="1" t="s">
        <v>246</v>
      </c>
      <c r="B237" s="2" t="s">
        <v>4</v>
      </c>
      <c r="C237" s="3">
        <f t="shared" si="1"/>
        <v>22.64</v>
      </c>
    </row>
    <row r="238">
      <c r="A238" s="1" t="s">
        <v>247</v>
      </c>
      <c r="B238" s="2" t="s">
        <v>58</v>
      </c>
      <c r="C238" s="3">
        <f t="shared" si="1"/>
        <v>22.64</v>
      </c>
    </row>
    <row r="239">
      <c r="A239" s="1" t="s">
        <v>248</v>
      </c>
      <c r="B239" s="2" t="s">
        <v>14</v>
      </c>
      <c r="C239" s="3">
        <f t="shared" si="1"/>
        <v>22.64</v>
      </c>
    </row>
    <row r="240">
      <c r="A240" s="1" t="s">
        <v>249</v>
      </c>
      <c r="B240" s="2" t="s">
        <v>12</v>
      </c>
      <c r="C240" s="3">
        <f t="shared" si="1"/>
        <v>22.64</v>
      </c>
    </row>
    <row r="241">
      <c r="A241" s="1" t="s">
        <v>250</v>
      </c>
      <c r="B241" s="2" t="s">
        <v>56</v>
      </c>
      <c r="C241" s="3">
        <f t="shared" si="1"/>
        <v>22.64</v>
      </c>
    </row>
    <row r="242">
      <c r="A242" s="1" t="s">
        <v>251</v>
      </c>
      <c r="B242" s="2" t="s">
        <v>4</v>
      </c>
      <c r="C242" s="3">
        <f t="shared" si="1"/>
        <v>22.64</v>
      </c>
    </row>
    <row r="243">
      <c r="A243" s="1" t="s">
        <v>252</v>
      </c>
      <c r="B243" s="2" t="s">
        <v>42</v>
      </c>
      <c r="C243" s="3">
        <f t="shared" si="1"/>
        <v>22.64</v>
      </c>
    </row>
    <row r="244">
      <c r="A244" s="1" t="s">
        <v>253</v>
      </c>
      <c r="B244" s="2" t="s">
        <v>36</v>
      </c>
      <c r="C244" s="3">
        <f t="shared" si="1"/>
        <v>19.95</v>
      </c>
    </row>
    <row r="245">
      <c r="A245" s="1" t="s">
        <v>254</v>
      </c>
      <c r="B245" s="2" t="s">
        <v>31</v>
      </c>
      <c r="C245" s="3">
        <f t="shared" si="1"/>
        <v>22.64</v>
      </c>
    </row>
    <row r="246">
      <c r="A246" s="1" t="s">
        <v>255</v>
      </c>
      <c r="B246" s="2" t="s">
        <v>34</v>
      </c>
      <c r="C246" s="3">
        <f t="shared" si="1"/>
        <v>22.64</v>
      </c>
    </row>
    <row r="247">
      <c r="A247" s="1" t="s">
        <v>256</v>
      </c>
      <c r="B247" s="2" t="s">
        <v>26</v>
      </c>
      <c r="C247" s="3">
        <f t="shared" si="1"/>
        <v>22.64</v>
      </c>
    </row>
    <row r="248">
      <c r="A248" s="1" t="s">
        <v>257</v>
      </c>
      <c r="B248" s="2" t="s">
        <v>42</v>
      </c>
      <c r="C248" s="3">
        <f t="shared" si="1"/>
        <v>22.64</v>
      </c>
    </row>
    <row r="249">
      <c r="A249" s="1" t="s">
        <v>258</v>
      </c>
      <c r="B249" s="2" t="s">
        <v>26</v>
      </c>
      <c r="C249" s="3">
        <f t="shared" si="1"/>
        <v>22.64</v>
      </c>
    </row>
    <row r="250">
      <c r="A250" s="1" t="s">
        <v>259</v>
      </c>
      <c r="B250" s="2" t="s">
        <v>64</v>
      </c>
      <c r="C250" s="3">
        <f t="shared" si="1"/>
        <v>22</v>
      </c>
    </row>
    <row r="251">
      <c r="A251" s="1" t="s">
        <v>260</v>
      </c>
      <c r="B251" s="2" t="s">
        <v>34</v>
      </c>
      <c r="C251" s="3">
        <f t="shared" si="1"/>
        <v>22.64</v>
      </c>
    </row>
    <row r="252">
      <c r="A252" s="1" t="s">
        <v>261</v>
      </c>
      <c r="B252" s="2" t="s">
        <v>58</v>
      </c>
      <c r="C252" s="3">
        <f t="shared" si="1"/>
        <v>22.64</v>
      </c>
    </row>
    <row r="253">
      <c r="A253" s="1" t="s">
        <v>262</v>
      </c>
      <c r="B253" s="2" t="s">
        <v>42</v>
      </c>
      <c r="C253" s="3">
        <f t="shared" si="1"/>
        <v>22.64</v>
      </c>
    </row>
    <row r="254">
      <c r="A254" s="1" t="s">
        <v>263</v>
      </c>
      <c r="B254" s="2" t="s">
        <v>14</v>
      </c>
      <c r="C254" s="3">
        <f t="shared" si="1"/>
        <v>22.64</v>
      </c>
    </row>
    <row r="255">
      <c r="A255" s="1" t="s">
        <v>264</v>
      </c>
      <c r="B255" s="2" t="s">
        <v>14</v>
      </c>
      <c r="C255" s="3">
        <f t="shared" si="1"/>
        <v>22.64</v>
      </c>
    </row>
    <row r="256">
      <c r="A256" s="1" t="s">
        <v>28</v>
      </c>
      <c r="B256" s="2" t="s">
        <v>28</v>
      </c>
      <c r="C256" s="3">
        <f t="shared" si="1"/>
        <v>20.63</v>
      </c>
    </row>
    <row r="257">
      <c r="A257" s="1" t="s">
        <v>265</v>
      </c>
      <c r="B257" s="2" t="s">
        <v>14</v>
      </c>
      <c r="C257" s="3">
        <f t="shared" si="1"/>
        <v>22.64</v>
      </c>
    </row>
    <row r="258">
      <c r="A258" s="1" t="s">
        <v>14</v>
      </c>
      <c r="B258" s="2" t="s">
        <v>14</v>
      </c>
      <c r="C258" s="3">
        <f t="shared" si="1"/>
        <v>22.64</v>
      </c>
    </row>
    <row r="259">
      <c r="A259" s="1" t="s">
        <v>266</v>
      </c>
      <c r="B259" s="2" t="s">
        <v>42</v>
      </c>
      <c r="C259" s="3">
        <f t="shared" si="1"/>
        <v>22.64</v>
      </c>
    </row>
    <row r="260">
      <c r="A260" s="1" t="s">
        <v>64</v>
      </c>
      <c r="B260" s="2" t="s">
        <v>64</v>
      </c>
      <c r="C260" s="3">
        <f t="shared" si="1"/>
        <v>22</v>
      </c>
    </row>
    <row r="261">
      <c r="A261" s="1" t="s">
        <v>267</v>
      </c>
      <c r="B261" s="2" t="s">
        <v>30</v>
      </c>
      <c r="C261" s="3">
        <f t="shared" si="1"/>
        <v>22.64</v>
      </c>
    </row>
    <row r="262">
      <c r="A262" s="1" t="s">
        <v>268</v>
      </c>
      <c r="B262" s="2" t="s">
        <v>30</v>
      </c>
      <c r="C262" s="3">
        <f t="shared" si="1"/>
        <v>22.64</v>
      </c>
    </row>
    <row r="263">
      <c r="A263" s="1" t="s">
        <v>269</v>
      </c>
      <c r="B263" s="2" t="s">
        <v>10</v>
      </c>
      <c r="C263" s="3">
        <f t="shared" si="1"/>
        <v>22.64</v>
      </c>
    </row>
    <row r="264">
      <c r="A264" s="1" t="s">
        <v>270</v>
      </c>
      <c r="B264" s="2" t="s">
        <v>12</v>
      </c>
      <c r="C264" s="3">
        <f t="shared" si="1"/>
        <v>22.64</v>
      </c>
    </row>
    <row r="265">
      <c r="A265" s="1" t="s">
        <v>271</v>
      </c>
      <c r="B265" s="2" t="s">
        <v>12</v>
      </c>
      <c r="C265" s="3">
        <f t="shared" si="1"/>
        <v>22.64</v>
      </c>
    </row>
    <row r="266">
      <c r="A266" s="1" t="s">
        <v>272</v>
      </c>
      <c r="B266" s="2" t="s">
        <v>21</v>
      </c>
      <c r="C266" s="3">
        <f t="shared" si="1"/>
        <v>21.33</v>
      </c>
    </row>
    <row r="267">
      <c r="A267" s="1" t="s">
        <v>273</v>
      </c>
      <c r="B267" s="2" t="s">
        <v>6</v>
      </c>
      <c r="C267" s="3">
        <f t="shared" si="1"/>
        <v>22.64</v>
      </c>
    </row>
    <row r="268">
      <c r="A268" s="1" t="s">
        <v>274</v>
      </c>
      <c r="B268" s="2" t="s">
        <v>6</v>
      </c>
      <c r="C268" s="3">
        <f t="shared" si="1"/>
        <v>22.64</v>
      </c>
    </row>
    <row r="269">
      <c r="A269" s="1" t="s">
        <v>275</v>
      </c>
      <c r="B269" s="2" t="s">
        <v>21</v>
      </c>
      <c r="C269" s="3">
        <f t="shared" si="1"/>
        <v>21.33</v>
      </c>
    </row>
    <row r="270">
      <c r="A270" s="1" t="s">
        <v>276</v>
      </c>
      <c r="B270" s="2" t="s">
        <v>49</v>
      </c>
      <c r="C270" s="3">
        <f t="shared" si="1"/>
        <v>21.58</v>
      </c>
    </row>
    <row r="271">
      <c r="A271" s="1" t="s">
        <v>277</v>
      </c>
      <c r="B271" s="2" t="s">
        <v>58</v>
      </c>
      <c r="C271" s="3">
        <f t="shared" si="1"/>
        <v>22.64</v>
      </c>
    </row>
    <row r="272">
      <c r="A272" s="1" t="s">
        <v>278</v>
      </c>
      <c r="B272" s="2" t="s">
        <v>34</v>
      </c>
      <c r="C272" s="3">
        <f t="shared" si="1"/>
        <v>22.64</v>
      </c>
    </row>
    <row r="273">
      <c r="A273" s="1" t="s">
        <v>279</v>
      </c>
      <c r="B273" s="2" t="s">
        <v>6</v>
      </c>
      <c r="C273" s="3">
        <f t="shared" si="1"/>
        <v>22.64</v>
      </c>
    </row>
    <row r="274">
      <c r="A274" s="1" t="s">
        <v>280</v>
      </c>
      <c r="B274" s="2" t="s">
        <v>58</v>
      </c>
      <c r="C274" s="3">
        <f t="shared" si="1"/>
        <v>22.64</v>
      </c>
    </row>
    <row r="275">
      <c r="A275" s="1" t="s">
        <v>281</v>
      </c>
      <c r="B275" s="2" t="s">
        <v>18</v>
      </c>
      <c r="C275" s="3">
        <f t="shared" si="1"/>
        <v>22.64</v>
      </c>
    </row>
    <row r="276">
      <c r="A276" s="1" t="s">
        <v>282</v>
      </c>
      <c r="B276" s="2" t="s">
        <v>14</v>
      </c>
      <c r="C276" s="3">
        <f t="shared" si="1"/>
        <v>22.64</v>
      </c>
    </row>
    <row r="277">
      <c r="A277" s="1" t="s">
        <v>283</v>
      </c>
      <c r="B277" s="2" t="s">
        <v>21</v>
      </c>
      <c r="C277" s="3">
        <f t="shared" si="1"/>
        <v>21.33</v>
      </c>
    </row>
    <row r="278">
      <c r="A278" s="1" t="s">
        <v>34</v>
      </c>
      <c r="B278" s="2" t="s">
        <v>34</v>
      </c>
      <c r="C278" s="3">
        <f t="shared" si="1"/>
        <v>22.64</v>
      </c>
    </row>
    <row r="279">
      <c r="A279" s="1" t="s">
        <v>284</v>
      </c>
      <c r="B279" s="2" t="s">
        <v>28</v>
      </c>
      <c r="C279" s="3">
        <f t="shared" si="1"/>
        <v>20.63</v>
      </c>
    </row>
    <row r="280">
      <c r="A280" s="1" t="s">
        <v>285</v>
      </c>
      <c r="B280" s="2" t="s">
        <v>18</v>
      </c>
      <c r="C280" s="3">
        <f t="shared" si="1"/>
        <v>22.64</v>
      </c>
    </row>
    <row r="281">
      <c r="A281" s="1" t="s">
        <v>286</v>
      </c>
      <c r="B281" s="2" t="s">
        <v>6</v>
      </c>
      <c r="C281" s="3">
        <f t="shared" si="1"/>
        <v>22.64</v>
      </c>
    </row>
    <row r="282">
      <c r="A282" s="1" t="s">
        <v>287</v>
      </c>
      <c r="B282" s="2" t="s">
        <v>58</v>
      </c>
      <c r="C282" s="3">
        <f t="shared" si="1"/>
        <v>22.64</v>
      </c>
    </row>
    <row r="283">
      <c r="A283" s="1" t="s">
        <v>288</v>
      </c>
      <c r="B283" s="2" t="s">
        <v>14</v>
      </c>
      <c r="C283" s="3">
        <f t="shared" si="1"/>
        <v>22.64</v>
      </c>
    </row>
    <row r="284">
      <c r="A284" s="1" t="s">
        <v>289</v>
      </c>
      <c r="B284" s="2" t="s">
        <v>30</v>
      </c>
      <c r="C284" s="3">
        <f t="shared" si="1"/>
        <v>22.64</v>
      </c>
    </row>
    <row r="285">
      <c r="A285" s="1" t="s">
        <v>290</v>
      </c>
      <c r="B285" s="2" t="s">
        <v>18</v>
      </c>
      <c r="C285" s="3">
        <f t="shared" si="1"/>
        <v>22.64</v>
      </c>
    </row>
    <row r="286">
      <c r="A286" s="1" t="s">
        <v>291</v>
      </c>
      <c r="B286" s="2" t="s">
        <v>21</v>
      </c>
      <c r="C286" s="3">
        <f t="shared" si="1"/>
        <v>21.33</v>
      </c>
    </row>
    <row r="287">
      <c r="A287" s="1" t="s">
        <v>292</v>
      </c>
      <c r="B287" s="2" t="s">
        <v>26</v>
      </c>
      <c r="C287" s="3">
        <f t="shared" si="1"/>
        <v>22.64</v>
      </c>
    </row>
    <row r="288">
      <c r="A288" s="1" t="s">
        <v>293</v>
      </c>
      <c r="B288" s="2" t="s">
        <v>18</v>
      </c>
      <c r="C288" s="3">
        <f t="shared" si="1"/>
        <v>22.64</v>
      </c>
    </row>
    <row r="289">
      <c r="A289" s="1" t="s">
        <v>294</v>
      </c>
      <c r="B289" s="2" t="s">
        <v>130</v>
      </c>
      <c r="C289" s="3">
        <f t="shared" si="1"/>
        <v>22.64</v>
      </c>
    </row>
    <row r="290">
      <c r="A290" s="1" t="s">
        <v>295</v>
      </c>
      <c r="B290" s="2" t="s">
        <v>10</v>
      </c>
      <c r="C290" s="3">
        <f t="shared" si="1"/>
        <v>22.64</v>
      </c>
    </row>
    <row r="291">
      <c r="A291" s="1" t="s">
        <v>296</v>
      </c>
      <c r="B291" s="2" t="s">
        <v>49</v>
      </c>
      <c r="C291" s="3">
        <f t="shared" si="1"/>
        <v>21.58</v>
      </c>
    </row>
    <row r="292">
      <c r="A292" s="1" t="s">
        <v>297</v>
      </c>
      <c r="B292" s="2" t="s">
        <v>6</v>
      </c>
      <c r="C292" s="3">
        <f t="shared" si="1"/>
        <v>22.64</v>
      </c>
    </row>
    <row r="293">
      <c r="A293" s="1" t="s">
        <v>298</v>
      </c>
      <c r="B293" s="2" t="s">
        <v>42</v>
      </c>
      <c r="C293" s="3">
        <f t="shared" si="1"/>
        <v>22.64</v>
      </c>
    </row>
    <row r="294">
      <c r="A294" s="1" t="s">
        <v>299</v>
      </c>
      <c r="B294" s="2" t="s">
        <v>124</v>
      </c>
      <c r="C294" s="3">
        <f t="shared" si="1"/>
        <v>22.64</v>
      </c>
    </row>
    <row r="295">
      <c r="A295" s="1" t="s">
        <v>300</v>
      </c>
      <c r="B295" s="2" t="s">
        <v>14</v>
      </c>
      <c r="C295" s="3">
        <f t="shared" si="1"/>
        <v>22.64</v>
      </c>
    </row>
    <row r="296">
      <c r="A296" s="1" t="s">
        <v>301</v>
      </c>
      <c r="B296" s="2" t="s">
        <v>10</v>
      </c>
      <c r="C296" s="3">
        <f t="shared" si="1"/>
        <v>22.64</v>
      </c>
    </row>
    <row r="297">
      <c r="A297" s="1" t="s">
        <v>302</v>
      </c>
      <c r="B297" s="2" t="s">
        <v>6</v>
      </c>
      <c r="C297" s="3">
        <f t="shared" si="1"/>
        <v>22.64</v>
      </c>
    </row>
    <row r="298">
      <c r="A298" s="1" t="s">
        <v>303</v>
      </c>
      <c r="B298" s="2" t="s">
        <v>23</v>
      </c>
      <c r="C298" s="3">
        <f t="shared" si="1"/>
        <v>22.64</v>
      </c>
    </row>
    <row r="299">
      <c r="A299" s="1" t="s">
        <v>304</v>
      </c>
      <c r="B299" s="2" t="s">
        <v>4</v>
      </c>
      <c r="C299" s="3">
        <f t="shared" si="1"/>
        <v>22.64</v>
      </c>
    </row>
    <row r="300">
      <c r="A300" s="1" t="s">
        <v>305</v>
      </c>
      <c r="B300" s="2" t="s">
        <v>10</v>
      </c>
      <c r="C300" s="3">
        <f t="shared" si="1"/>
        <v>22.64</v>
      </c>
    </row>
    <row r="301">
      <c r="A301" s="1" t="s">
        <v>306</v>
      </c>
      <c r="B301" s="2" t="s">
        <v>21</v>
      </c>
      <c r="C301" s="3">
        <f t="shared" si="1"/>
        <v>21.33</v>
      </c>
    </row>
    <row r="302">
      <c r="A302" s="1" t="s">
        <v>307</v>
      </c>
      <c r="B302" s="2" t="s">
        <v>130</v>
      </c>
      <c r="C302" s="3">
        <f t="shared" si="1"/>
        <v>22.64</v>
      </c>
    </row>
    <row r="303">
      <c r="A303" s="1" t="s">
        <v>308</v>
      </c>
      <c r="B303" s="2" t="s">
        <v>21</v>
      </c>
      <c r="C303" s="3">
        <f t="shared" si="1"/>
        <v>21.33</v>
      </c>
    </row>
    <row r="304">
      <c r="A304" s="1" t="s">
        <v>309</v>
      </c>
      <c r="B304" s="2" t="s">
        <v>34</v>
      </c>
      <c r="C304" s="3">
        <f t="shared" si="1"/>
        <v>22.64</v>
      </c>
    </row>
    <row r="305">
      <c r="A305" s="1" t="s">
        <v>310</v>
      </c>
      <c r="B305" s="2" t="s">
        <v>58</v>
      </c>
      <c r="C305" s="3">
        <f t="shared" si="1"/>
        <v>22.64</v>
      </c>
    </row>
    <row r="306">
      <c r="A306" s="1" t="s">
        <v>311</v>
      </c>
      <c r="B306" s="2" t="s">
        <v>49</v>
      </c>
      <c r="C306" s="3">
        <f t="shared" si="1"/>
        <v>21.58</v>
      </c>
    </row>
    <row r="307">
      <c r="A307" s="1" t="s">
        <v>312</v>
      </c>
      <c r="B307" s="2" t="s">
        <v>4</v>
      </c>
      <c r="C307" s="3">
        <f t="shared" si="1"/>
        <v>22.64</v>
      </c>
    </row>
    <row r="308">
      <c r="A308" s="1" t="s">
        <v>313</v>
      </c>
      <c r="B308" s="2" t="s">
        <v>130</v>
      </c>
      <c r="C308" s="3">
        <f t="shared" si="1"/>
        <v>22.64</v>
      </c>
    </row>
    <row r="309">
      <c r="A309" s="1" t="s">
        <v>314</v>
      </c>
      <c r="B309" s="2" t="s">
        <v>36</v>
      </c>
      <c r="C309" s="3">
        <f t="shared" si="1"/>
        <v>19.95</v>
      </c>
    </row>
    <row r="310">
      <c r="A310" s="1" t="s">
        <v>315</v>
      </c>
      <c r="B310" s="2" t="s">
        <v>124</v>
      </c>
      <c r="C310" s="3">
        <f t="shared" si="1"/>
        <v>22.64</v>
      </c>
    </row>
    <row r="311">
      <c r="A311" s="1" t="s">
        <v>316</v>
      </c>
      <c r="B311" s="2" t="s">
        <v>36</v>
      </c>
      <c r="C311" s="3">
        <f t="shared" si="1"/>
        <v>19.95</v>
      </c>
    </row>
    <row r="312">
      <c r="A312" s="1" t="s">
        <v>317</v>
      </c>
      <c r="B312" s="2" t="s">
        <v>6</v>
      </c>
      <c r="C312" s="3">
        <f t="shared" si="1"/>
        <v>22.64</v>
      </c>
    </row>
    <row r="313">
      <c r="A313" s="1" t="s">
        <v>318</v>
      </c>
      <c r="B313" s="2" t="s">
        <v>6</v>
      </c>
      <c r="C313" s="3">
        <f t="shared" si="1"/>
        <v>22.64</v>
      </c>
    </row>
    <row r="314">
      <c r="A314" s="1" t="s">
        <v>319</v>
      </c>
      <c r="B314" s="2" t="s">
        <v>18</v>
      </c>
      <c r="C314" s="3">
        <f t="shared" si="1"/>
        <v>22.64</v>
      </c>
    </row>
    <row r="315">
      <c r="A315" s="1" t="s">
        <v>320</v>
      </c>
      <c r="B315" s="2" t="s">
        <v>10</v>
      </c>
      <c r="C315" s="3">
        <f t="shared" si="1"/>
        <v>22.64</v>
      </c>
    </row>
    <row r="316">
      <c r="A316" s="1" t="s">
        <v>321</v>
      </c>
      <c r="B316" s="2" t="s">
        <v>95</v>
      </c>
      <c r="C316" s="3">
        <f t="shared" si="1"/>
        <v>22.64</v>
      </c>
    </row>
    <row r="317">
      <c r="A317" s="1" t="s">
        <v>322</v>
      </c>
      <c r="B317" s="2" t="s">
        <v>36</v>
      </c>
      <c r="C317" s="3">
        <f t="shared" si="1"/>
        <v>19.95</v>
      </c>
    </row>
    <row r="318">
      <c r="A318" s="1" t="s">
        <v>323</v>
      </c>
      <c r="B318" s="2" t="s">
        <v>31</v>
      </c>
      <c r="C318" s="3">
        <f t="shared" si="1"/>
        <v>22.64</v>
      </c>
    </row>
    <row r="319">
      <c r="A319" s="1" t="s">
        <v>324</v>
      </c>
      <c r="B319" s="2" t="s">
        <v>21</v>
      </c>
      <c r="C319" s="3">
        <f t="shared" si="1"/>
        <v>21.33</v>
      </c>
    </row>
    <row r="320">
      <c r="A320" s="1" t="s">
        <v>325</v>
      </c>
      <c r="B320" s="2" t="s">
        <v>49</v>
      </c>
      <c r="C320" s="3">
        <f t="shared" si="1"/>
        <v>21.58</v>
      </c>
    </row>
    <row r="321">
      <c r="A321" s="1" t="s">
        <v>326</v>
      </c>
      <c r="B321" s="2" t="s">
        <v>56</v>
      </c>
      <c r="C321" s="3">
        <f t="shared" si="1"/>
        <v>22.64</v>
      </c>
    </row>
    <row r="322">
      <c r="A322" s="1" t="s">
        <v>327</v>
      </c>
      <c r="B322" s="2" t="s">
        <v>4</v>
      </c>
      <c r="C322" s="3">
        <f t="shared" si="1"/>
        <v>22.64</v>
      </c>
    </row>
    <row r="323">
      <c r="A323" s="1" t="s">
        <v>328</v>
      </c>
      <c r="B323" s="2" t="s">
        <v>4</v>
      </c>
      <c r="C323" s="3">
        <f t="shared" si="1"/>
        <v>22.64</v>
      </c>
    </row>
    <row r="324">
      <c r="A324" s="1" t="s">
        <v>329</v>
      </c>
      <c r="B324" s="2" t="s">
        <v>14</v>
      </c>
      <c r="C324" s="3">
        <f t="shared" si="1"/>
        <v>22.64</v>
      </c>
    </row>
    <row r="325">
      <c r="A325" s="1" t="s">
        <v>330</v>
      </c>
      <c r="B325" s="2" t="s">
        <v>26</v>
      </c>
      <c r="C325" s="3">
        <f t="shared" si="1"/>
        <v>22.64</v>
      </c>
    </row>
    <row r="326">
      <c r="A326" s="1" t="s">
        <v>331</v>
      </c>
      <c r="B326" s="2" t="s">
        <v>42</v>
      </c>
      <c r="C326" s="3">
        <f t="shared" si="1"/>
        <v>22.64</v>
      </c>
    </row>
    <row r="327">
      <c r="A327" s="1" t="s">
        <v>332</v>
      </c>
      <c r="B327" s="2" t="s">
        <v>26</v>
      </c>
      <c r="C327" s="3">
        <f t="shared" si="1"/>
        <v>22.64</v>
      </c>
    </row>
    <row r="328">
      <c r="A328" s="1" t="s">
        <v>333</v>
      </c>
      <c r="B328" s="2" t="s">
        <v>14</v>
      </c>
      <c r="C328" s="3">
        <f t="shared" si="1"/>
        <v>22.64</v>
      </c>
    </row>
    <row r="329">
      <c r="A329" s="1" t="s">
        <v>334</v>
      </c>
      <c r="B329" s="2" t="s">
        <v>21</v>
      </c>
      <c r="C329" s="3">
        <f t="shared" si="1"/>
        <v>21.33</v>
      </c>
    </row>
    <row r="330">
      <c r="A330" s="1" t="s">
        <v>335</v>
      </c>
      <c r="B330" s="2" t="s">
        <v>23</v>
      </c>
      <c r="C330" s="3">
        <f t="shared" si="1"/>
        <v>22.64</v>
      </c>
    </row>
    <row r="331">
      <c r="A331" s="1" t="s">
        <v>336</v>
      </c>
      <c r="B331" s="2" t="s">
        <v>58</v>
      </c>
      <c r="C331" s="3">
        <f t="shared" si="1"/>
        <v>22.64</v>
      </c>
    </row>
    <row r="332">
      <c r="A332" s="1" t="s">
        <v>337</v>
      </c>
      <c r="B332" s="2" t="s">
        <v>4</v>
      </c>
      <c r="C332" s="3">
        <f t="shared" si="1"/>
        <v>22.64</v>
      </c>
    </row>
    <row r="333">
      <c r="A333" s="1" t="s">
        <v>338</v>
      </c>
      <c r="B333" s="2" t="s">
        <v>14</v>
      </c>
      <c r="C333" s="3">
        <f t="shared" si="1"/>
        <v>22.64</v>
      </c>
    </row>
    <row r="334">
      <c r="A334" s="1" t="s">
        <v>339</v>
      </c>
      <c r="B334" s="2" t="s">
        <v>23</v>
      </c>
      <c r="C334" s="3">
        <f t="shared" si="1"/>
        <v>22.64</v>
      </c>
    </row>
    <row r="335">
      <c r="A335" s="1" t="s">
        <v>340</v>
      </c>
      <c r="B335" s="2" t="s">
        <v>23</v>
      </c>
      <c r="C335" s="3">
        <f t="shared" si="1"/>
        <v>22.64</v>
      </c>
    </row>
    <row r="336">
      <c r="A336" s="1" t="s">
        <v>341</v>
      </c>
      <c r="B336" s="2" t="s">
        <v>49</v>
      </c>
      <c r="C336" s="3">
        <f t="shared" si="1"/>
        <v>21.58</v>
      </c>
    </row>
    <row r="337">
      <c r="A337" s="1" t="s">
        <v>49</v>
      </c>
      <c r="B337" s="2" t="s">
        <v>49</v>
      </c>
      <c r="C337" s="3">
        <f t="shared" si="1"/>
        <v>21.58</v>
      </c>
    </row>
    <row r="338">
      <c r="A338" s="1" t="s">
        <v>342</v>
      </c>
      <c r="B338" s="2" t="s">
        <v>14</v>
      </c>
      <c r="C338" s="3">
        <f t="shared" si="1"/>
        <v>22.64</v>
      </c>
    </row>
    <row r="339">
      <c r="A339" s="1" t="s">
        <v>343</v>
      </c>
      <c r="B339" s="2" t="s">
        <v>4</v>
      </c>
      <c r="C339" s="3">
        <f t="shared" si="1"/>
        <v>22.64</v>
      </c>
    </row>
    <row r="340">
      <c r="A340" s="1" t="s">
        <v>344</v>
      </c>
      <c r="B340" s="2" t="s">
        <v>21</v>
      </c>
      <c r="C340" s="3">
        <f t="shared" si="1"/>
        <v>21.33</v>
      </c>
    </row>
    <row r="341">
      <c r="A341" s="1" t="s">
        <v>345</v>
      </c>
      <c r="B341" s="2" t="s">
        <v>26</v>
      </c>
      <c r="C341" s="3">
        <f t="shared" si="1"/>
        <v>22.64</v>
      </c>
    </row>
    <row r="342">
      <c r="A342" s="1" t="s">
        <v>346</v>
      </c>
      <c r="B342" s="2" t="s">
        <v>14</v>
      </c>
      <c r="C342" s="3">
        <f t="shared" si="1"/>
        <v>22.64</v>
      </c>
    </row>
    <row r="343">
      <c r="A343" s="1" t="s">
        <v>347</v>
      </c>
      <c r="B343" s="2" t="s">
        <v>4</v>
      </c>
      <c r="C343" s="3">
        <f t="shared" si="1"/>
        <v>22.64</v>
      </c>
    </row>
    <row r="344">
      <c r="A344" s="1" t="s">
        <v>348</v>
      </c>
      <c r="B344" s="2" t="s">
        <v>64</v>
      </c>
      <c r="C344" s="3">
        <f t="shared" si="1"/>
        <v>22</v>
      </c>
    </row>
    <row r="345">
      <c r="A345" s="1" t="s">
        <v>349</v>
      </c>
      <c r="B345" s="2" t="s">
        <v>14</v>
      </c>
      <c r="C345" s="3">
        <f t="shared" si="1"/>
        <v>22.64</v>
      </c>
    </row>
    <row r="346">
      <c r="A346" s="1" t="s">
        <v>350</v>
      </c>
      <c r="B346" s="2" t="s">
        <v>36</v>
      </c>
      <c r="C346" s="3">
        <f t="shared" si="1"/>
        <v>19.95</v>
      </c>
    </row>
    <row r="347">
      <c r="A347" s="1" t="s">
        <v>351</v>
      </c>
      <c r="B347" s="2" t="s">
        <v>30</v>
      </c>
      <c r="C347" s="3">
        <f t="shared" si="1"/>
        <v>22.64</v>
      </c>
    </row>
    <row r="348">
      <c r="A348" s="1" t="s">
        <v>352</v>
      </c>
      <c r="B348" s="2" t="s">
        <v>56</v>
      </c>
      <c r="C348" s="3">
        <f t="shared" si="1"/>
        <v>22.64</v>
      </c>
    </row>
    <row r="349">
      <c r="A349" s="1" t="s">
        <v>353</v>
      </c>
      <c r="B349" s="2" t="s">
        <v>26</v>
      </c>
      <c r="C349" s="3">
        <f t="shared" si="1"/>
        <v>22.64</v>
      </c>
    </row>
    <row r="350">
      <c r="A350" s="1" t="s">
        <v>354</v>
      </c>
      <c r="B350" s="2" t="s">
        <v>12</v>
      </c>
      <c r="C350" s="3">
        <f t="shared" si="1"/>
        <v>22.64</v>
      </c>
    </row>
    <row r="351">
      <c r="A351" s="1" t="s">
        <v>355</v>
      </c>
      <c r="B351" s="2" t="s">
        <v>49</v>
      </c>
      <c r="C351" s="3">
        <f t="shared" si="1"/>
        <v>21.58</v>
      </c>
    </row>
    <row r="352">
      <c r="A352" s="1" t="s">
        <v>356</v>
      </c>
      <c r="B352" s="2" t="s">
        <v>42</v>
      </c>
      <c r="C352" s="3">
        <f t="shared" si="1"/>
        <v>22.64</v>
      </c>
    </row>
    <row r="353">
      <c r="A353" s="1" t="s">
        <v>357</v>
      </c>
      <c r="B353" s="2" t="s">
        <v>6</v>
      </c>
      <c r="C353" s="3">
        <f t="shared" si="1"/>
        <v>22.64</v>
      </c>
    </row>
    <row r="354">
      <c r="A354" s="1" t="s">
        <v>358</v>
      </c>
      <c r="B354" s="2" t="s">
        <v>95</v>
      </c>
      <c r="C354" s="3">
        <f t="shared" si="1"/>
        <v>22.64</v>
      </c>
    </row>
    <row r="355">
      <c r="A355" s="1" t="s">
        <v>359</v>
      </c>
      <c r="B355" s="2" t="s">
        <v>30</v>
      </c>
      <c r="C355" s="3">
        <f t="shared" si="1"/>
        <v>22.64</v>
      </c>
    </row>
    <row r="356">
      <c r="A356" s="1" t="s">
        <v>360</v>
      </c>
      <c r="B356" s="2" t="s">
        <v>23</v>
      </c>
      <c r="C356" s="3">
        <f t="shared" si="1"/>
        <v>22.64</v>
      </c>
    </row>
    <row r="357">
      <c r="A357" s="1" t="s">
        <v>361</v>
      </c>
      <c r="B357" s="2" t="s">
        <v>42</v>
      </c>
      <c r="C357" s="3">
        <f t="shared" si="1"/>
        <v>22.64</v>
      </c>
    </row>
    <row r="358">
      <c r="A358" s="1" t="s">
        <v>362</v>
      </c>
      <c r="B358" s="2" t="s">
        <v>36</v>
      </c>
      <c r="C358" s="3">
        <f t="shared" si="1"/>
        <v>19.95</v>
      </c>
    </row>
    <row r="359">
      <c r="A359" s="1" t="s">
        <v>363</v>
      </c>
      <c r="B359" s="2" t="s">
        <v>14</v>
      </c>
      <c r="C359" s="3">
        <f t="shared" si="1"/>
        <v>22.64</v>
      </c>
    </row>
    <row r="360">
      <c r="A360" s="1" t="s">
        <v>364</v>
      </c>
      <c r="B360" s="2" t="s">
        <v>4</v>
      </c>
      <c r="C360" s="3">
        <f t="shared" si="1"/>
        <v>22.64</v>
      </c>
    </row>
    <row r="361">
      <c r="A361" s="1" t="s">
        <v>365</v>
      </c>
      <c r="B361" s="2" t="s">
        <v>95</v>
      </c>
      <c r="C361" s="3">
        <f t="shared" si="1"/>
        <v>22.64</v>
      </c>
    </row>
    <row r="362">
      <c r="A362" s="1" t="s">
        <v>366</v>
      </c>
      <c r="B362" s="2" t="s">
        <v>49</v>
      </c>
      <c r="C362" s="3">
        <f t="shared" si="1"/>
        <v>21.58</v>
      </c>
    </row>
    <row r="363">
      <c r="A363" s="1" t="s">
        <v>367</v>
      </c>
      <c r="B363" s="2" t="s">
        <v>26</v>
      </c>
      <c r="C363" s="3">
        <f t="shared" si="1"/>
        <v>22.64</v>
      </c>
    </row>
    <row r="364">
      <c r="A364" s="1" t="s">
        <v>368</v>
      </c>
      <c r="B364" s="2" t="s">
        <v>64</v>
      </c>
      <c r="C364" s="3">
        <f t="shared" si="1"/>
        <v>22</v>
      </c>
    </row>
    <row r="365">
      <c r="A365" s="1" t="s">
        <v>369</v>
      </c>
      <c r="B365" s="2" t="s">
        <v>34</v>
      </c>
      <c r="C365" s="3">
        <f t="shared" si="1"/>
        <v>22.64</v>
      </c>
    </row>
    <row r="366">
      <c r="A366" s="1" t="s">
        <v>370</v>
      </c>
      <c r="B366" s="2" t="s">
        <v>23</v>
      </c>
      <c r="C366" s="3">
        <f t="shared" si="1"/>
        <v>22.64</v>
      </c>
    </row>
    <row r="367">
      <c r="A367" s="1" t="s">
        <v>371</v>
      </c>
      <c r="B367" s="2" t="s">
        <v>4</v>
      </c>
      <c r="C367" s="3">
        <f t="shared" si="1"/>
        <v>22.64</v>
      </c>
    </row>
    <row r="368">
      <c r="A368" s="1" t="s">
        <v>372</v>
      </c>
      <c r="B368" s="2" t="s">
        <v>18</v>
      </c>
      <c r="C368" s="3">
        <f t="shared" si="1"/>
        <v>22.64</v>
      </c>
    </row>
    <row r="369">
      <c r="A369" s="1" t="s">
        <v>373</v>
      </c>
      <c r="B369" s="2" t="s">
        <v>49</v>
      </c>
      <c r="C369" s="3">
        <f t="shared" si="1"/>
        <v>21.58</v>
      </c>
    </row>
    <row r="370">
      <c r="A370" s="1" t="s">
        <v>374</v>
      </c>
      <c r="B370" s="2" t="s">
        <v>64</v>
      </c>
      <c r="C370" s="3">
        <f t="shared" si="1"/>
        <v>22</v>
      </c>
    </row>
    <row r="371">
      <c r="A371" s="1" t="s">
        <v>375</v>
      </c>
      <c r="B371" s="2" t="s">
        <v>18</v>
      </c>
      <c r="C371" s="3">
        <f t="shared" si="1"/>
        <v>22.64</v>
      </c>
    </row>
    <row r="372">
      <c r="A372" s="1" t="s">
        <v>376</v>
      </c>
      <c r="B372" s="2" t="s">
        <v>14</v>
      </c>
      <c r="C372" s="3">
        <f t="shared" si="1"/>
        <v>22.64</v>
      </c>
    </row>
    <row r="373">
      <c r="A373" s="1" t="s">
        <v>377</v>
      </c>
      <c r="B373" s="2" t="s">
        <v>95</v>
      </c>
      <c r="C373" s="3">
        <f t="shared" si="1"/>
        <v>22.64</v>
      </c>
    </row>
    <row r="374">
      <c r="A374" s="1" t="s">
        <v>378</v>
      </c>
      <c r="B374" s="2" t="s">
        <v>12</v>
      </c>
      <c r="C374" s="3">
        <f t="shared" si="1"/>
        <v>22.64</v>
      </c>
    </row>
    <row r="375">
      <c r="A375" s="1" t="s">
        <v>379</v>
      </c>
      <c r="B375" s="2" t="s">
        <v>130</v>
      </c>
      <c r="C375" s="3">
        <f t="shared" si="1"/>
        <v>22.64</v>
      </c>
    </row>
    <row r="376">
      <c r="A376" s="1" t="s">
        <v>380</v>
      </c>
      <c r="B376" s="2" t="s">
        <v>34</v>
      </c>
      <c r="C376" s="3">
        <f t="shared" si="1"/>
        <v>22.64</v>
      </c>
    </row>
    <row r="377">
      <c r="A377" s="1" t="s">
        <v>381</v>
      </c>
      <c r="B377" s="2" t="s">
        <v>10</v>
      </c>
      <c r="C377" s="3">
        <f t="shared" si="1"/>
        <v>22.64</v>
      </c>
    </row>
    <row r="378">
      <c r="A378" s="1" t="s">
        <v>382</v>
      </c>
      <c r="B378" s="2" t="s">
        <v>14</v>
      </c>
      <c r="C378" s="3">
        <f t="shared" si="1"/>
        <v>22.64</v>
      </c>
    </row>
    <row r="379">
      <c r="A379" s="1" t="s">
        <v>383</v>
      </c>
      <c r="B379" s="2" t="s">
        <v>42</v>
      </c>
      <c r="C379" s="3">
        <f t="shared" si="1"/>
        <v>22.64</v>
      </c>
    </row>
    <row r="380">
      <c r="A380" s="1" t="s">
        <v>384</v>
      </c>
      <c r="B380" s="2" t="s">
        <v>34</v>
      </c>
      <c r="C380" s="3">
        <f t="shared" si="1"/>
        <v>22.64</v>
      </c>
    </row>
    <row r="381">
      <c r="A381" s="1" t="s">
        <v>385</v>
      </c>
      <c r="B381" s="2" t="s">
        <v>6</v>
      </c>
      <c r="C381" s="3">
        <f t="shared" si="1"/>
        <v>22.64</v>
      </c>
    </row>
    <row r="382">
      <c r="A382" s="1" t="s">
        <v>42</v>
      </c>
      <c r="B382" s="2" t="s">
        <v>42</v>
      </c>
      <c r="C382" s="3">
        <f t="shared" si="1"/>
        <v>22.64</v>
      </c>
    </row>
    <row r="383">
      <c r="A383" s="1" t="s">
        <v>386</v>
      </c>
      <c r="B383" s="2" t="s">
        <v>49</v>
      </c>
      <c r="C383" s="3">
        <f t="shared" si="1"/>
        <v>21.58</v>
      </c>
    </row>
    <row r="384">
      <c r="A384" s="1" t="s">
        <v>387</v>
      </c>
      <c r="B384" s="2" t="s">
        <v>23</v>
      </c>
      <c r="C384" s="3">
        <f t="shared" si="1"/>
        <v>22.64</v>
      </c>
    </row>
    <row r="385">
      <c r="A385" s="1" t="s">
        <v>388</v>
      </c>
      <c r="B385" s="2" t="s">
        <v>6</v>
      </c>
      <c r="C385" s="3">
        <f t="shared" si="1"/>
        <v>22.64</v>
      </c>
    </row>
    <row r="386">
      <c r="A386" s="1" t="s">
        <v>389</v>
      </c>
      <c r="B386" s="2" t="s">
        <v>95</v>
      </c>
      <c r="C386" s="3">
        <f t="shared" si="1"/>
        <v>22.64</v>
      </c>
    </row>
    <row r="387">
      <c r="A387" s="1" t="s">
        <v>390</v>
      </c>
      <c r="B387" s="2" t="s">
        <v>42</v>
      </c>
      <c r="C387" s="3">
        <f t="shared" si="1"/>
        <v>22.64</v>
      </c>
    </row>
    <row r="388">
      <c r="A388" s="1" t="s">
        <v>391</v>
      </c>
      <c r="B388" s="2" t="s">
        <v>58</v>
      </c>
      <c r="C388" s="3">
        <f t="shared" si="1"/>
        <v>22.64</v>
      </c>
    </row>
    <row r="389">
      <c r="A389" s="1" t="s">
        <v>392</v>
      </c>
      <c r="B389" s="2" t="s">
        <v>10</v>
      </c>
      <c r="C389" s="3">
        <f t="shared" si="1"/>
        <v>22.64</v>
      </c>
    </row>
    <row r="390">
      <c r="A390" s="1" t="s">
        <v>12</v>
      </c>
      <c r="B390" s="2" t="s">
        <v>12</v>
      </c>
      <c r="C390" s="3">
        <f t="shared" si="1"/>
        <v>22.64</v>
      </c>
    </row>
    <row r="391">
      <c r="A391" s="1" t="s">
        <v>30</v>
      </c>
      <c r="B391" s="2" t="s">
        <v>30</v>
      </c>
      <c r="C391" s="3">
        <f t="shared" si="1"/>
        <v>22.64</v>
      </c>
    </row>
    <row r="392">
      <c r="A392" s="1" t="s">
        <v>393</v>
      </c>
      <c r="B392" s="2" t="s">
        <v>26</v>
      </c>
      <c r="C392" s="3">
        <f t="shared" si="1"/>
        <v>22.64</v>
      </c>
    </row>
    <row r="393">
      <c r="A393" s="1" t="s">
        <v>394</v>
      </c>
      <c r="B393" s="2" t="s">
        <v>4</v>
      </c>
      <c r="C393" s="3">
        <f t="shared" si="1"/>
        <v>22.64</v>
      </c>
    </row>
    <row r="394">
      <c r="A394" s="1" t="s">
        <v>395</v>
      </c>
      <c r="B394" s="2" t="s">
        <v>34</v>
      </c>
      <c r="C394" s="3">
        <f t="shared" si="1"/>
        <v>22.64</v>
      </c>
    </row>
    <row r="395">
      <c r="A395" s="1" t="s">
        <v>396</v>
      </c>
      <c r="B395" s="2" t="s">
        <v>23</v>
      </c>
      <c r="C395" s="3">
        <f t="shared" si="1"/>
        <v>22.64</v>
      </c>
    </row>
    <row r="396">
      <c r="A396" s="1" t="s">
        <v>397</v>
      </c>
      <c r="B396" s="2" t="s">
        <v>21</v>
      </c>
      <c r="C396" s="3">
        <f t="shared" si="1"/>
        <v>21.33</v>
      </c>
    </row>
    <row r="397">
      <c r="A397" s="1" t="s">
        <v>398</v>
      </c>
      <c r="B397" s="2" t="s">
        <v>124</v>
      </c>
      <c r="C397" s="3">
        <f t="shared" si="1"/>
        <v>22.64</v>
      </c>
    </row>
    <row r="398">
      <c r="A398" s="1" t="s">
        <v>399</v>
      </c>
      <c r="B398" s="2" t="s">
        <v>64</v>
      </c>
      <c r="C398" s="3">
        <f t="shared" si="1"/>
        <v>22</v>
      </c>
    </row>
    <row r="399">
      <c r="A399" s="1" t="s">
        <v>400</v>
      </c>
      <c r="B399" s="2" t="s">
        <v>49</v>
      </c>
      <c r="C399" s="3">
        <f t="shared" si="1"/>
        <v>21.58</v>
      </c>
    </row>
    <row r="400">
      <c r="A400" s="1" t="s">
        <v>401</v>
      </c>
      <c r="B400" s="2" t="s">
        <v>12</v>
      </c>
      <c r="C400" s="3">
        <f t="shared" si="1"/>
        <v>22.64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0.5"/>
    <col customWidth="1" min="3" max="3" width="24.25"/>
    <col customWidth="1" min="4" max="5" width="19.25"/>
    <col customWidth="1" min="6" max="6" width="28.75"/>
    <col customWidth="1" min="7" max="7" width="50.88"/>
    <col customWidth="1" min="8" max="8" width="12.88"/>
    <col customWidth="1" min="9" max="9" width="60.63"/>
    <col customWidth="1" min="10" max="10" width="26.13"/>
    <col customWidth="1" min="11" max="11" width="30.25"/>
    <col customWidth="1" min="12" max="12" width="37.63"/>
    <col customWidth="1" min="13" max="13" width="68.38"/>
    <col customWidth="1" min="14" max="14" width="28.63"/>
    <col customWidth="1" min="15" max="16" width="37.63"/>
    <col customWidth="1" min="17" max="17" width="18.88"/>
    <col customWidth="1" min="18" max="18" width="21.38"/>
    <col customWidth="1" min="19" max="20" width="18.88"/>
    <col customWidth="1" min="21" max="21" width="48.75"/>
    <col customWidth="1" min="22" max="22" width="62.63"/>
    <col customWidth="1" min="23" max="23" width="35.75"/>
    <col customWidth="1" min="24" max="24" width="35.88"/>
    <col customWidth="1" min="25" max="25" width="25.38"/>
    <col customWidth="1" min="26" max="26" width="24.5"/>
    <col customWidth="1" min="27" max="27" width="24.75"/>
    <col customWidth="1" min="28" max="28" width="29.0"/>
    <col customWidth="1" min="29" max="32" width="18.88"/>
    <col customWidth="1" min="33" max="33" width="23.63"/>
    <col customWidth="1" min="34" max="34" width="18.88"/>
    <col customWidth="1" min="35" max="35" width="26.13"/>
    <col customWidth="1" min="36" max="36" width="30.0"/>
    <col customWidth="1" min="37" max="37" width="25.88"/>
    <col customWidth="1" min="38" max="39" width="29.0"/>
    <col customWidth="1" min="40" max="40" width="30.88"/>
    <col customWidth="1" min="41" max="43" width="18.88"/>
  </cols>
  <sheetData>
    <row r="1" ht="28.5" customHeight="1">
      <c r="A1" s="4" t="s">
        <v>402</v>
      </c>
      <c r="B1" s="4" t="s">
        <v>403</v>
      </c>
      <c r="C1" s="4" t="s">
        <v>404</v>
      </c>
      <c r="D1" s="4" t="s">
        <v>405</v>
      </c>
      <c r="E1" s="4" t="s">
        <v>406</v>
      </c>
      <c r="F1" s="4" t="s">
        <v>407</v>
      </c>
      <c r="G1" s="5" t="s">
        <v>408</v>
      </c>
      <c r="H1" s="4" t="s">
        <v>409</v>
      </c>
      <c r="I1" s="4" t="s">
        <v>410</v>
      </c>
      <c r="J1" s="4" t="s">
        <v>411</v>
      </c>
      <c r="K1" s="6" t="s">
        <v>412</v>
      </c>
      <c r="L1" s="4" t="s">
        <v>413</v>
      </c>
      <c r="M1" s="6" t="s">
        <v>414</v>
      </c>
      <c r="N1" s="6" t="s">
        <v>415</v>
      </c>
      <c r="O1" s="4" t="s">
        <v>416</v>
      </c>
      <c r="P1" s="4" t="s">
        <v>417</v>
      </c>
      <c r="Q1" s="7" t="s">
        <v>418</v>
      </c>
      <c r="R1" s="7" t="s">
        <v>419</v>
      </c>
      <c r="S1" s="6" t="s">
        <v>420</v>
      </c>
      <c r="T1" s="4" t="s">
        <v>421</v>
      </c>
      <c r="U1" s="8" t="s">
        <v>422</v>
      </c>
      <c r="V1" s="9" t="s">
        <v>423</v>
      </c>
      <c r="W1" s="4" t="s">
        <v>424</v>
      </c>
      <c r="X1" s="4" t="s">
        <v>425</v>
      </c>
      <c r="Y1" s="10" t="s">
        <v>426</v>
      </c>
      <c r="Z1" s="10" t="s">
        <v>427</v>
      </c>
      <c r="AA1" s="10" t="s">
        <v>428</v>
      </c>
      <c r="AB1" s="10" t="s">
        <v>429</v>
      </c>
      <c r="AC1" s="10" t="s">
        <v>430</v>
      </c>
      <c r="AD1" s="10" t="s">
        <v>431</v>
      </c>
      <c r="AE1" s="11" t="s">
        <v>432</v>
      </c>
      <c r="AF1" s="4" t="s">
        <v>433</v>
      </c>
      <c r="AG1" s="4" t="s">
        <v>434</v>
      </c>
      <c r="AH1" s="6" t="s">
        <v>435</v>
      </c>
      <c r="AI1" s="4" t="s">
        <v>436</v>
      </c>
      <c r="AJ1" s="4" t="s">
        <v>437</v>
      </c>
      <c r="AK1" s="4" t="s">
        <v>438</v>
      </c>
      <c r="AL1" s="4" t="s">
        <v>439</v>
      </c>
      <c r="AM1" s="12" t="s">
        <v>440</v>
      </c>
      <c r="AN1" s="13" t="s">
        <v>441</v>
      </c>
      <c r="AO1" s="14"/>
      <c r="AP1" s="14"/>
      <c r="AQ1" s="14"/>
    </row>
    <row r="2" ht="22.5" hidden="1" customHeight="1">
      <c r="A2" s="15">
        <f t="shared" ref="A2:A343" si="1">ROW(A2)-1</f>
        <v>1</v>
      </c>
      <c r="B2" s="16">
        <v>45999.67661775463</v>
      </c>
      <c r="C2" s="17" t="s">
        <v>442</v>
      </c>
      <c r="D2" s="18" t="s">
        <v>443</v>
      </c>
      <c r="E2" s="15" t="str">
        <f>VLOOKUP(G2,DiretoriaDepart.Coord.!$A$1:$C$72,2,FALSE)</f>
        <v>Pesquisa e Inovação</v>
      </c>
      <c r="F2" s="15" t="str">
        <f>VLOOKUP(G2,DiretoriaDepart.Coord.!$A$1:$C$72,3,FALSE)</f>
        <v>Pesquisa e Capacitação</v>
      </c>
      <c r="G2" s="17" t="s">
        <v>444</v>
      </c>
      <c r="H2" s="15"/>
      <c r="I2" s="19" t="s">
        <v>445</v>
      </c>
      <c r="J2" s="17" t="s">
        <v>446</v>
      </c>
      <c r="K2" s="17">
        <v>1.0</v>
      </c>
      <c r="L2" s="17" t="s">
        <v>447</v>
      </c>
      <c r="M2" s="17" t="s">
        <v>448</v>
      </c>
      <c r="N2" s="17">
        <v>150.0</v>
      </c>
      <c r="O2" s="17" t="s">
        <v>449</v>
      </c>
      <c r="P2" s="17" t="s">
        <v>450</v>
      </c>
      <c r="Q2" s="20">
        <v>45998.333333333336</v>
      </c>
      <c r="R2" s="20">
        <v>46003.75</v>
      </c>
      <c r="S2" s="17" t="s">
        <v>451</v>
      </c>
      <c r="T2" s="17" t="s">
        <v>452</v>
      </c>
      <c r="U2" s="21" t="s">
        <v>453</v>
      </c>
      <c r="V2" s="21" t="s">
        <v>454</v>
      </c>
      <c r="W2" s="22">
        <v>12.0</v>
      </c>
      <c r="X2" s="22">
        <v>6.0</v>
      </c>
      <c r="Y2" s="23">
        <v>350.0</v>
      </c>
      <c r="Z2" s="23">
        <v>0.0</v>
      </c>
      <c r="AA2" s="24">
        <v>1650.0</v>
      </c>
      <c r="AB2" s="24">
        <v>0.0</v>
      </c>
      <c r="AC2" s="24">
        <v>300.0</v>
      </c>
      <c r="AD2" s="23">
        <v>0.0</v>
      </c>
      <c r="AE2" s="24">
        <v>0.0</v>
      </c>
      <c r="AF2" s="17" t="s">
        <v>451</v>
      </c>
      <c r="AG2" s="17">
        <v>0.0</v>
      </c>
      <c r="AH2" s="17" t="s">
        <v>451</v>
      </c>
      <c r="AI2" s="25">
        <f>IF(AF2="Sim",INT((R2-Q2+1))*K2*VLOOKUP(P2,'Tabelas Auxiliares'!$A$1:$C$400,3,FALSE),0)</f>
        <v>0</v>
      </c>
      <c r="AJ2" s="25">
        <f t="shared" ref="AJ2:AJ343" si="2">(AG2/10)*7</f>
        <v>0</v>
      </c>
      <c r="AK2" s="25">
        <f>IFS(
  O2="Acre",((W2*0.15)+(X2*0.7))*VLOOKUP(P2,'MunicípiosEstados'!$A$2:$B$23,2,FALSE),
  O2="Alagoas",((W2*0.15)+(X2*0.7))*VLOOKUP(P2,'MunicípiosEstados'!$C$2:$D$103,2,FALSE),
  O2="Amapá",((W2*0.15)+(X2*0.7))*VLOOKUP(P2,'MunicípiosEstados'!$E$2:$F$17,2,FALSE),
  O2="Amazonas",((W2*0.15)+(X2*0.7))*VLOOKUP(P2,'MunicípiosEstados'!$G$2:$H$63,2,FALSE),
  O2="Bahia",((W2*0.15)+(X2*0.7))*VLOOKUP(P2,'MunicípiosEstados'!$I$2:$J$418,2,FALSE),
  O2="Ceará",((W2*0.15)+(X2*0.7))*VLOOKUP(P2,'MunicípiosEstados'!$K$2:$L$185,2,FALSE),
  O2="Distrito Federal",((W2*0.15)+(X2*0.7))*VLOOKUP(P2,'MunicípiosEstados'!$M$2:$N$2,2,FALSE),
  O2="Espírito Santo",((W2*0.15)+(X2*0.7))*VLOOKUP(P2,'MunicípiosEstados'!$O$2:$P$79,2,FALSE),
  O2="Goiás",((W2*0.15)+(X2*0.7))*VLOOKUP(P2,'MunicípiosEstados'!$Q$2:$R$247,2,FALSE),
  O2="Maranhão",((W2*0.15)+(X2*0.7))*VLOOKUP(P2,'MunicípiosEstados'!$S$2:$T$218,2,FALSE),
  O2="Mato Grosso",((W2*0.15)+(X2*0.7))*VLOOKUP(P2,'MunicípiosEstados'!$U$2:$V$143,2,FALSE),
  O2="Mato Grosso do Sul",((W2*0.15)+(X2*0.7))*VLOOKUP(P2,'MunicípiosEstados'!$W$2:$X$80,2,FALSE),
  O2="Minas Gerais",((W2*0.15)+(X2*0.7))*VLOOKUP(P2,'MunicípiosEstados'!$Y$2:$Z$854,2,FALSE),
  O2="Pará",((W2*0.15)+(X2*0.7))*VLOOKUP(P2,'MunicípiosEstados'!$AA$2:$AB$145,2,FALSE),
  O2="Paraíba",((W2*0.15)+(X2*0.7))*VLOOKUP(P2,'MunicípiosEstados'!$AC$2:$AD$224,2,FALSE),
  O2="Paraná",((W2*0.15)+(X2*0.7))*VLOOKUP(P2,'MunicípiosEstados'!$AE$2:$AF$400,2,FALSE),
  O2="Pernambuco",((W2*0.15)+(X2*0.7))*VLOOKUP(P2,'MunicípiosEstados'!$AG$2:$AH$186,2,FALSE),
  O2="Piauí",((W2*0.15)+(X2*0.7))*VLOOKUP(P2,'MunicípiosEstados'!$AI$2:$AJ$225,2,FALSE),
  O2="Rio Grande do Norte",((W2*0.15)+(X2*0.7))*VLOOKUP(P2,'MunicípiosEstados'!$AK$2:$AL$168,2,FALSE),
  O2="Rio Grande do Sul",((W2*0.15)+(X2*0.7))*VLOOKUP(P2,'MunicípiosEstados'!$AM$2:$AN$498,2,FALSE),
  O2="Rio de Janeiro",((W2*0.15)+(X2*0.7))*VLOOKUP(P2,'MunicípiosEstados'!$AO$2:$AP$93,2,FALSE),
  O2="Rondônia",((W2*0.15)+(X2*0.7))*VLOOKUP(P2,'MunicípiosEstados'!$AQ$2:$AR$53,2,FALSE),
  O2="Roraima",((W2*0.15)+(X2*0.7))*VLOOKUP(P2,'MunicípiosEstados'!$AS$2:$AT$16,2,FALSE),
  O2="Santa Catarina",((W2*0.15)+(X2*0.7))*VLOOKUP(P2,'MunicípiosEstados'!$AU$2:$AV$296,2,FALSE),
  O2="São Paulo",((W2*0.15)+(X2*0.7))*VLOOKUP(P2,'MunicípiosEstados'!$AW$2:$AX$646,2,FALSE),
  O2="Sergipe",((W2*0.15)+(X2*0.7))*VLOOKUP(P2,'MunicípiosEstados'!$AY$2:$AZ$76,2,FALSE),
  O2="Tocantins",((W2*0.15)+(X2*0.7))*VLOOKUP(P2,'MunicípiosEstados'!$BA$2:$BB$140,2,FALSE),
  O2="Exterior",((W2*0.15)+(X2*0.7))*VLOOKUP(P2,'MunicípiosEstados'!$BC$2:$BE$221,3,FALSE),TRUE,0
)
</f>
        <v>2227.56</v>
      </c>
      <c r="AL2" s="25">
        <f t="shared" ref="AL2:AL343" si="3">AK2+AJ2+AI2+AE2+AD2+AC2+AB2+AA2+Z2+Y2</f>
        <v>4527.56</v>
      </c>
      <c r="AN2" s="26"/>
    </row>
    <row r="3" ht="22.5" hidden="1" customHeight="1">
      <c r="A3" s="15">
        <f t="shared" si="1"/>
        <v>2</v>
      </c>
      <c r="B3" s="16">
        <v>45993.39474445602</v>
      </c>
      <c r="C3" s="17" t="s">
        <v>455</v>
      </c>
      <c r="D3" s="27" t="s">
        <v>456</v>
      </c>
      <c r="E3" s="15" t="str">
        <f>VLOOKUP(G3,DiretoriaDepart.Coord.!$A$1:$C$72,2,FALSE)</f>
        <v>Pesquisa e Inovação</v>
      </c>
      <c r="F3" s="15" t="str">
        <f>VLOOKUP(G3,DiretoriaDepart.Coord.!$A$1:$C$72,3,FALSE)</f>
        <v>Inovação e Comunicação Científica</v>
      </c>
      <c r="G3" s="17" t="s">
        <v>457</v>
      </c>
      <c r="H3" s="15"/>
      <c r="I3" s="17" t="s">
        <v>458</v>
      </c>
      <c r="J3" s="17" t="s">
        <v>459</v>
      </c>
      <c r="K3" s="17">
        <v>1.0</v>
      </c>
      <c r="L3" s="19" t="s">
        <v>460</v>
      </c>
      <c r="M3" s="17" t="s">
        <v>461</v>
      </c>
      <c r="N3" s="17">
        <v>1.0</v>
      </c>
      <c r="O3" s="17" t="s">
        <v>462</v>
      </c>
      <c r="P3" s="17" t="s">
        <v>463</v>
      </c>
      <c r="Q3" s="20">
        <v>45901.333333333336</v>
      </c>
      <c r="R3" s="20">
        <v>45903.708333333336</v>
      </c>
      <c r="S3" s="17" t="s">
        <v>464</v>
      </c>
      <c r="T3" s="17" t="s">
        <v>452</v>
      </c>
      <c r="U3" s="28" t="s">
        <v>465</v>
      </c>
      <c r="V3" s="21" t="s">
        <v>466</v>
      </c>
      <c r="W3" s="22">
        <v>10.0</v>
      </c>
      <c r="X3" s="22">
        <v>5.0</v>
      </c>
      <c r="Y3" s="23">
        <v>1000.0</v>
      </c>
      <c r="Z3" s="23">
        <v>250.0</v>
      </c>
      <c r="AA3" s="24">
        <v>4500.0</v>
      </c>
      <c r="AB3" s="24">
        <v>0.0</v>
      </c>
      <c r="AC3" s="24">
        <v>500.0</v>
      </c>
      <c r="AD3" s="23">
        <v>0.0</v>
      </c>
      <c r="AE3" s="24">
        <v>0.0</v>
      </c>
      <c r="AF3" s="17" t="s">
        <v>451</v>
      </c>
      <c r="AG3" s="17">
        <v>0.0</v>
      </c>
      <c r="AH3" s="17" t="s">
        <v>451</v>
      </c>
      <c r="AI3" s="25">
        <f>IF(AF3="Sim",INT((R3-Q3+1))*K3*VLOOKUP(P3,'Tabelas Auxiliares'!$A$1:$C$400,3,FALSE),0)</f>
        <v>0</v>
      </c>
      <c r="AJ3" s="25">
        <f t="shared" si="2"/>
        <v>0</v>
      </c>
      <c r="AK3" s="25">
        <f>IFS(
  O3="Acre",((W3*0.15)+(X3*0.7))*VLOOKUP(P3,'MunicípiosEstados'!$A$2:$B$23,2,FALSE),
  O3="Alagoas",((W3*0.15)+(X3*0.7))*VLOOKUP(P3,'MunicípiosEstados'!$C$2:$D$103,2,FALSE),
  O3="Amapá",((W3*0.15)+(X3*0.7))*VLOOKUP(P3,'MunicípiosEstados'!$E$2:$F$17,2,FALSE),
  O3="Amazonas",((W3*0.15)+(X3*0.7))*VLOOKUP(P3,'MunicípiosEstados'!$G$2:$H$63,2,FALSE),
  O3="Bahia",((W3*0.15)+(X3*0.7))*VLOOKUP(P3,'MunicípiosEstados'!$I$2:$J$418,2,FALSE),
  O3="Ceará",((W3*0.15)+(X3*0.7))*VLOOKUP(P3,'MunicípiosEstados'!$K$2:$L$185,2,FALSE),
  O3="Distrito Federal",((W3*0.15)+(X3*0.7))*VLOOKUP(P3,'MunicípiosEstados'!$M$2:$N$2,2,FALSE),
  O3="Espírito Santo",((W3*0.15)+(X3*0.7))*VLOOKUP(P3,'MunicípiosEstados'!$O$2:$P$79,2,FALSE),
  O3="Goiás",((W3*0.15)+(X3*0.7))*VLOOKUP(P3,'MunicípiosEstados'!$Q$2:$R$247,2,FALSE),
  O3="Maranhão",((W3*0.15)+(X3*0.7))*VLOOKUP(P3,'MunicípiosEstados'!$S$2:$T$218,2,FALSE),
  O3="Mato Grosso",((W3*0.15)+(X3*0.7))*VLOOKUP(P3,'MunicípiosEstados'!$U$2:$V$143,2,FALSE),
  O3="Mato Grosso do Sul",((W3*0.15)+(X3*0.7))*VLOOKUP(P3,'MunicípiosEstados'!$W$2:$X$80,2,FALSE),
  O3="Minas Gerais",((W3*0.15)+(X3*0.7))*VLOOKUP(P3,'MunicípiosEstados'!$Y$2:$Z$854,2,FALSE),
  O3="Pará",((W3*0.15)+(X3*0.7))*VLOOKUP(P3,'MunicípiosEstados'!$AA$2:$AB$145,2,FALSE),
  O3="Paraíba",((W3*0.15)+(X3*0.7))*VLOOKUP(P3,'MunicípiosEstados'!$AC$2:$AD$224,2,FALSE),
  O3="Paraná",((W3*0.15)+(X3*0.7))*VLOOKUP(P3,'MunicípiosEstados'!$AE$2:$AF$400,2,FALSE),
  O3="Pernambuco",((W3*0.15)+(X3*0.7))*VLOOKUP(P3,'MunicípiosEstados'!$AG$2:$AH$186,2,FALSE),
  O3="Piauí",((W3*0.15)+(X3*0.7))*VLOOKUP(P3,'MunicípiosEstados'!$AI$2:$AJ$225,2,FALSE),
  O3="Rio Grande do Norte",((W3*0.15)+(X3*0.7))*VLOOKUP(P3,'MunicípiosEstados'!$AK$2:$AL$168,2,FALSE),
  O3="Rio Grande do Sul",((W3*0.15)+(X3*0.7))*VLOOKUP(P3,'MunicípiosEstados'!$AM$2:$AN$498,2,FALSE),
  O3="Rio de Janeiro",((W3*0.15)+(X3*0.7))*VLOOKUP(P3,'MunicípiosEstados'!$AO$2:$AP$93,2,FALSE),
  O3="Rondônia",((W3*0.15)+(X3*0.7))*VLOOKUP(P3,'MunicípiosEstados'!$AQ$2:$AR$53,2,FALSE),
  O3="Roraima",((W3*0.15)+(X3*0.7))*VLOOKUP(P3,'MunicípiosEstados'!$AS$2:$AT$16,2,FALSE),
  O3="Santa Catarina",((W3*0.15)+(X3*0.7))*VLOOKUP(P3,'MunicípiosEstados'!$AU$2:$AV$296,2,FALSE),
  O3="São Paulo",((W3*0.15)+(X3*0.7))*VLOOKUP(P3,'MunicípiosEstados'!$AW$2:$AX$646,2,FALSE),
  O3="Sergipe",((W3*0.15)+(X3*0.7))*VLOOKUP(P3,'MunicípiosEstados'!$AY$2:$AZ$76,2,FALSE),
  O3="Tocantins",((W3*0.15)+(X3*0.7))*VLOOKUP(P3,'MunicípiosEstados'!$BA$2:$BB$140,2,FALSE),
  O3="Exterior",((W3*0.15)+(X3*0.7))*VLOOKUP(P3,'MunicípiosEstados'!$BC$2:$BE$221,3,FALSE),TRUE,0
)
</f>
        <v>1452.75</v>
      </c>
      <c r="AL3" s="25">
        <f t="shared" si="3"/>
        <v>7702.75</v>
      </c>
      <c r="AN3" s="29" t="s">
        <v>467</v>
      </c>
    </row>
    <row r="4" ht="22.5" hidden="1" customHeight="1">
      <c r="A4" s="15">
        <f t="shared" si="1"/>
        <v>3</v>
      </c>
      <c r="B4" s="16">
        <v>45979.577235289355</v>
      </c>
      <c r="C4" s="17" t="s">
        <v>468</v>
      </c>
      <c r="D4" s="27" t="s">
        <v>443</v>
      </c>
      <c r="E4" s="15" t="str">
        <f>VLOOKUP(G4,DiretoriaDepart.Coord.!$A$1:$C$72,2,FALSE)</f>
        <v>Pesquisa e Inovação</v>
      </c>
      <c r="F4" s="15" t="str">
        <f>VLOOKUP(G4,DiretoriaDepart.Coord.!$A$1:$C$72,3,FALSE)</f>
        <v>Inovação e Comunicação Científica</v>
      </c>
      <c r="G4" s="17" t="s">
        <v>457</v>
      </c>
      <c r="H4" s="15"/>
      <c r="I4" s="17" t="s">
        <v>469</v>
      </c>
      <c r="J4" s="17" t="s">
        <v>446</v>
      </c>
      <c r="K4" s="17">
        <v>1.0</v>
      </c>
      <c r="L4" s="17" t="s">
        <v>470</v>
      </c>
      <c r="M4" s="17" t="s">
        <v>471</v>
      </c>
      <c r="N4" s="17">
        <v>0.0</v>
      </c>
      <c r="O4" s="17" t="s">
        <v>472</v>
      </c>
      <c r="P4" s="17" t="s">
        <v>473</v>
      </c>
      <c r="Q4" s="20">
        <v>45845.333333333336</v>
      </c>
      <c r="R4" s="20">
        <v>45847.708333333336</v>
      </c>
      <c r="S4" s="17" t="s">
        <v>464</v>
      </c>
      <c r="T4" s="17" t="s">
        <v>452</v>
      </c>
      <c r="U4" s="30" t="s">
        <v>474</v>
      </c>
      <c r="V4" s="30" t="s">
        <v>475</v>
      </c>
      <c r="W4" s="22">
        <v>10.0</v>
      </c>
      <c r="X4" s="22">
        <v>4.0</v>
      </c>
      <c r="Y4" s="23">
        <v>800.0</v>
      </c>
      <c r="Z4" s="23">
        <v>350.0</v>
      </c>
      <c r="AA4" s="24">
        <v>4500.0</v>
      </c>
      <c r="AB4" s="24">
        <v>500.0</v>
      </c>
      <c r="AC4" s="24">
        <v>1000.0</v>
      </c>
      <c r="AD4" s="23">
        <v>0.0</v>
      </c>
      <c r="AE4" s="24">
        <v>500.0</v>
      </c>
      <c r="AF4" s="17" t="s">
        <v>451</v>
      </c>
      <c r="AG4" s="17">
        <v>500.0</v>
      </c>
      <c r="AH4" s="17" t="s">
        <v>464</v>
      </c>
      <c r="AI4" s="25">
        <f>IF(AF4="Sim",INT((R4-Q4+1))*K4*VLOOKUP(P4,'Tabelas Auxiliares'!$A$1:$C$400,3,FALSE),0)</f>
        <v>0</v>
      </c>
      <c r="AJ4" s="25">
        <f t="shared" si="2"/>
        <v>350</v>
      </c>
      <c r="AK4" s="25">
        <f>IFS(
  O4="Acre",((W4*0.15)+(X4*0.7))*VLOOKUP(P4,'MunicípiosEstados'!$A$2:$B$23,2,FALSE),
  O4="Alagoas",((W4*0.15)+(X4*0.7))*VLOOKUP(P4,'MunicípiosEstados'!$C$2:$D$103,2,FALSE),
  O4="Amapá",((W4*0.15)+(X4*0.7))*VLOOKUP(P4,'MunicípiosEstados'!$E$2:$F$17,2,FALSE),
  O4="Amazonas",((W4*0.15)+(X4*0.7))*VLOOKUP(P4,'MunicípiosEstados'!$G$2:$H$63,2,FALSE),
  O4="Bahia",((W4*0.15)+(X4*0.7))*VLOOKUP(P4,'MunicípiosEstados'!$I$2:$J$418,2,FALSE),
  O4="Ceará",((W4*0.15)+(X4*0.7))*VLOOKUP(P4,'MunicípiosEstados'!$K$2:$L$185,2,FALSE),
  O4="Distrito Federal",((W4*0.15)+(X4*0.7))*VLOOKUP(P4,'MunicípiosEstados'!$M$2:$N$2,2,FALSE),
  O4="Espírito Santo",((W4*0.15)+(X4*0.7))*VLOOKUP(P4,'MunicípiosEstados'!$O$2:$P$79,2,FALSE),
  O4="Goiás",((W4*0.15)+(X4*0.7))*VLOOKUP(P4,'MunicípiosEstados'!$Q$2:$R$247,2,FALSE),
  O4="Maranhão",((W4*0.15)+(X4*0.7))*VLOOKUP(P4,'MunicípiosEstados'!$S$2:$T$218,2,FALSE),
  O4="Mato Grosso",((W4*0.15)+(X4*0.7))*VLOOKUP(P4,'MunicípiosEstados'!$U$2:$V$143,2,FALSE),
  O4="Mato Grosso do Sul",((W4*0.15)+(X4*0.7))*VLOOKUP(P4,'MunicípiosEstados'!$W$2:$X$80,2,FALSE),
  O4="Minas Gerais",((W4*0.15)+(X4*0.7))*VLOOKUP(P4,'MunicípiosEstados'!$Y$2:$Z$854,2,FALSE),
  O4="Pará",((W4*0.15)+(X4*0.7))*VLOOKUP(P4,'MunicípiosEstados'!$AA$2:$AB$145,2,FALSE),
  O4="Paraíba",((W4*0.15)+(X4*0.7))*VLOOKUP(P4,'MunicípiosEstados'!$AC$2:$AD$224,2,FALSE),
  O4="Paraná",((W4*0.15)+(X4*0.7))*VLOOKUP(P4,'MunicípiosEstados'!$AE$2:$AF$400,2,FALSE),
  O4="Pernambuco",((W4*0.15)+(X4*0.7))*VLOOKUP(P4,'MunicípiosEstados'!$AG$2:$AH$186,2,FALSE),
  O4="Piauí",((W4*0.15)+(X4*0.7))*VLOOKUP(P4,'MunicípiosEstados'!$AI$2:$AJ$225,2,FALSE),
  O4="Rio Grande do Norte",((W4*0.15)+(X4*0.7))*VLOOKUP(P4,'MunicípiosEstados'!$AK$2:$AL$168,2,FALSE),
  O4="Rio Grande do Sul",((W4*0.15)+(X4*0.7))*VLOOKUP(P4,'MunicípiosEstados'!$AM$2:$AN$498,2,FALSE),
  O4="Rio de Janeiro",((W4*0.15)+(X4*0.7))*VLOOKUP(P4,'MunicípiosEstados'!$AO$2:$AP$93,2,FALSE),
  O4="Rondônia",((W4*0.15)+(X4*0.7))*VLOOKUP(P4,'MunicípiosEstados'!$AQ$2:$AR$53,2,FALSE),
  O4="Roraima",((W4*0.15)+(X4*0.7))*VLOOKUP(P4,'MunicípiosEstados'!$AS$2:$AT$16,2,FALSE),
  O4="Santa Catarina",((W4*0.15)+(X4*0.7))*VLOOKUP(P4,'MunicípiosEstados'!$AU$2:$AV$296,2,FALSE),
  O4="São Paulo",((W4*0.15)+(X4*0.7))*VLOOKUP(P4,'MunicípiosEstados'!$AW$2:$AX$646,2,FALSE),
  O4="Sergipe",((W4*0.15)+(X4*0.7))*VLOOKUP(P4,'MunicípiosEstados'!$AY$2:$AZ$76,2,FALSE),
  O4="Tocantins",((W4*0.15)+(X4*0.7))*VLOOKUP(P4,'MunicípiosEstados'!$BA$2:$BB$140,2,FALSE),
  O4="Exterior",((W4*0.15)+(X4*0.7))*VLOOKUP(P4,'MunicípiosEstados'!$BC$2:$BE$221,3,FALSE),TRUE,0
)
</f>
        <v>2012.916</v>
      </c>
      <c r="AL4" s="25">
        <f t="shared" si="3"/>
        <v>10012.916</v>
      </c>
      <c r="AM4" s="25"/>
      <c r="AN4" s="26"/>
    </row>
    <row r="5" ht="22.5" hidden="1" customHeight="1">
      <c r="A5" s="15">
        <f t="shared" si="1"/>
        <v>4</v>
      </c>
      <c r="B5" s="16">
        <v>45987.657015833334</v>
      </c>
      <c r="C5" s="17" t="s">
        <v>476</v>
      </c>
      <c r="D5" s="27" t="s">
        <v>456</v>
      </c>
      <c r="E5" s="15" t="str">
        <f>VLOOKUP(G5,DiretoriaDepart.Coord.!$A$1:$C$72,2,FALSE)</f>
        <v>Pesquisa e Inovação</v>
      </c>
      <c r="F5" s="15" t="str">
        <f>VLOOKUP(G5,DiretoriaDepart.Coord.!$A$1:$C$72,3,FALSE)</f>
        <v>Inovação e Comunicação Científica</v>
      </c>
      <c r="G5" s="17" t="s">
        <v>477</v>
      </c>
      <c r="H5" s="15"/>
      <c r="I5" s="17" t="s">
        <v>478</v>
      </c>
      <c r="J5" s="17" t="s">
        <v>446</v>
      </c>
      <c r="K5" s="17">
        <v>3.0</v>
      </c>
      <c r="L5" s="17" t="s">
        <v>479</v>
      </c>
      <c r="M5" s="17" t="s">
        <v>471</v>
      </c>
      <c r="N5" s="17">
        <v>300.0</v>
      </c>
      <c r="O5" s="17" t="s">
        <v>472</v>
      </c>
      <c r="P5" s="17" t="s">
        <v>473</v>
      </c>
      <c r="Q5" s="20">
        <v>45845.333333333336</v>
      </c>
      <c r="R5" s="20">
        <v>45847.708333333336</v>
      </c>
      <c r="S5" s="17" t="s">
        <v>464</v>
      </c>
      <c r="T5" s="17" t="s">
        <v>452</v>
      </c>
      <c r="U5" s="21" t="s">
        <v>480</v>
      </c>
      <c r="V5" s="21" t="s">
        <v>481</v>
      </c>
      <c r="W5" s="22">
        <v>5.0</v>
      </c>
      <c r="X5" s="22">
        <v>5.0</v>
      </c>
      <c r="Y5" s="23">
        <v>500.0</v>
      </c>
      <c r="Z5" s="23">
        <v>1100.0</v>
      </c>
      <c r="AA5" s="24">
        <v>4000.0</v>
      </c>
      <c r="AB5" s="24">
        <v>0.0</v>
      </c>
      <c r="AC5" s="24">
        <v>300.0</v>
      </c>
      <c r="AD5" s="23">
        <v>0.0</v>
      </c>
      <c r="AE5" s="24">
        <v>0.0</v>
      </c>
      <c r="AF5" s="17" t="s">
        <v>451</v>
      </c>
      <c r="AG5" s="17">
        <v>0.0</v>
      </c>
      <c r="AH5" s="17" t="s">
        <v>451</v>
      </c>
      <c r="AI5" s="25">
        <f>IF(AF5="Sim",INT((R5-Q5+1))*K5*VLOOKUP(P5,'Tabelas Auxiliares'!$A$1:$C$400,3,FALSE),0)</f>
        <v>0</v>
      </c>
      <c r="AJ5" s="25">
        <f t="shared" si="2"/>
        <v>0</v>
      </c>
      <c r="AK5" s="25">
        <f>IFS(
  O5="Acre",((W5*0.15)+(X5*0.7))*VLOOKUP(P5,'MunicípiosEstados'!$A$2:$B$23,2,FALSE),
  O5="Alagoas",((W5*0.15)+(X5*0.7))*VLOOKUP(P5,'MunicípiosEstados'!$C$2:$D$103,2,FALSE),
  O5="Amapá",((W5*0.15)+(X5*0.7))*VLOOKUP(P5,'MunicípiosEstados'!$E$2:$F$17,2,FALSE),
  O5="Amazonas",((W5*0.15)+(X5*0.7))*VLOOKUP(P5,'MunicípiosEstados'!$G$2:$H$63,2,FALSE),
  O5="Bahia",((W5*0.15)+(X5*0.7))*VLOOKUP(P5,'MunicípiosEstados'!$I$2:$J$418,2,FALSE),
  O5="Ceará",((W5*0.15)+(X5*0.7))*VLOOKUP(P5,'MunicípiosEstados'!$K$2:$L$185,2,FALSE),
  O5="Distrito Federal",((W5*0.15)+(X5*0.7))*VLOOKUP(P5,'MunicípiosEstados'!$M$2:$N$2,2,FALSE),
  O5="Espírito Santo",((W5*0.15)+(X5*0.7))*VLOOKUP(P5,'MunicípiosEstados'!$O$2:$P$79,2,FALSE),
  O5="Goiás",((W5*0.15)+(X5*0.7))*VLOOKUP(P5,'MunicípiosEstados'!$Q$2:$R$247,2,FALSE),
  O5="Maranhão",((W5*0.15)+(X5*0.7))*VLOOKUP(P5,'MunicípiosEstados'!$S$2:$T$218,2,FALSE),
  O5="Mato Grosso",((W5*0.15)+(X5*0.7))*VLOOKUP(P5,'MunicípiosEstados'!$U$2:$V$143,2,FALSE),
  O5="Mato Grosso do Sul",((W5*0.15)+(X5*0.7))*VLOOKUP(P5,'MunicípiosEstados'!$W$2:$X$80,2,FALSE),
  O5="Minas Gerais",((W5*0.15)+(X5*0.7))*VLOOKUP(P5,'MunicípiosEstados'!$Y$2:$Z$854,2,FALSE),
  O5="Pará",((W5*0.15)+(X5*0.7))*VLOOKUP(P5,'MunicípiosEstados'!$AA$2:$AB$145,2,FALSE),
  O5="Paraíba",((W5*0.15)+(X5*0.7))*VLOOKUP(P5,'MunicípiosEstados'!$AC$2:$AD$224,2,FALSE),
  O5="Paraná",((W5*0.15)+(X5*0.7))*VLOOKUP(P5,'MunicípiosEstados'!$AE$2:$AF$400,2,FALSE),
  O5="Pernambuco",((W5*0.15)+(X5*0.7))*VLOOKUP(P5,'MunicípiosEstados'!$AG$2:$AH$186,2,FALSE),
  O5="Piauí",((W5*0.15)+(X5*0.7))*VLOOKUP(P5,'MunicípiosEstados'!$AI$2:$AJ$225,2,FALSE),
  O5="Rio Grande do Norte",((W5*0.15)+(X5*0.7))*VLOOKUP(P5,'MunicípiosEstados'!$AK$2:$AL$168,2,FALSE),
  O5="Rio Grande do Sul",((W5*0.15)+(X5*0.7))*VLOOKUP(P5,'MunicípiosEstados'!$AM$2:$AN$498,2,FALSE),
  O5="Rio de Janeiro",((W5*0.15)+(X5*0.7))*VLOOKUP(P5,'MunicípiosEstados'!$AO$2:$AP$93,2,FALSE),
  O5="Rondônia",((W5*0.15)+(X5*0.7))*VLOOKUP(P5,'MunicípiosEstados'!$AQ$2:$AR$53,2,FALSE),
  O5="Roraima",((W5*0.15)+(X5*0.7))*VLOOKUP(P5,'MunicípiosEstados'!$AS$2:$AT$16,2,FALSE),
  O5="Santa Catarina",((W5*0.15)+(X5*0.7))*VLOOKUP(P5,'MunicípiosEstados'!$AU$2:$AV$296,2,FALSE),
  O5="São Paulo",((W5*0.15)+(X5*0.7))*VLOOKUP(P5,'MunicípiosEstados'!$AW$2:$AX$646,2,FALSE),
  O5="Sergipe",((W5*0.15)+(X5*0.7))*VLOOKUP(P5,'MunicípiosEstados'!$AY$2:$AZ$76,2,FALSE),
  O5="Tocantins",((W5*0.15)+(X5*0.7))*VLOOKUP(P5,'MunicípiosEstados'!$BA$2:$BB$140,2,FALSE),
  O5="Exterior",((W5*0.15)+(X5*0.7))*VLOOKUP(P5,'MunicípiosEstados'!$BC$2:$BE$221,3,FALSE),TRUE,0
)
</f>
        <v>1989.51</v>
      </c>
      <c r="AL5" s="25">
        <f t="shared" si="3"/>
        <v>7889.51</v>
      </c>
      <c r="AM5" s="25"/>
      <c r="AN5" s="29" t="s">
        <v>482</v>
      </c>
    </row>
    <row r="6" ht="22.5" hidden="1" customHeight="1">
      <c r="A6" s="15">
        <f t="shared" si="1"/>
        <v>5</v>
      </c>
      <c r="B6" s="16">
        <v>45993.38925460648</v>
      </c>
      <c r="C6" s="17" t="s">
        <v>455</v>
      </c>
      <c r="D6" s="27" t="s">
        <v>456</v>
      </c>
      <c r="E6" s="15" t="str">
        <f>VLOOKUP(G6,DiretoriaDepart.Coord.!$A$1:$C$72,2,FALSE)</f>
        <v>Pesquisa e Inovação</v>
      </c>
      <c r="F6" s="15" t="str">
        <f>VLOOKUP(G6,DiretoriaDepart.Coord.!$A$1:$C$72,3,FALSE)</f>
        <v>Inovação e Comunicação Científica</v>
      </c>
      <c r="G6" s="17" t="s">
        <v>457</v>
      </c>
      <c r="H6" s="15"/>
      <c r="I6" s="17" t="s">
        <v>469</v>
      </c>
      <c r="J6" s="17" t="s">
        <v>446</v>
      </c>
      <c r="K6" s="17">
        <v>2.0</v>
      </c>
      <c r="L6" s="19" t="s">
        <v>483</v>
      </c>
      <c r="M6" s="17" t="s">
        <v>471</v>
      </c>
      <c r="N6" s="17">
        <v>0.0</v>
      </c>
      <c r="O6" s="17" t="s">
        <v>472</v>
      </c>
      <c r="P6" s="17" t="s">
        <v>473</v>
      </c>
      <c r="Q6" s="20">
        <v>45845.333333333336</v>
      </c>
      <c r="R6" s="20">
        <v>45847.708333333336</v>
      </c>
      <c r="S6" s="17" t="s">
        <v>464</v>
      </c>
      <c r="T6" s="17" t="s">
        <v>452</v>
      </c>
      <c r="U6" s="28" t="s">
        <v>484</v>
      </c>
      <c r="V6" s="21" t="s">
        <v>485</v>
      </c>
      <c r="W6" s="22">
        <v>18.0</v>
      </c>
      <c r="X6" s="22">
        <v>8.0</v>
      </c>
      <c r="Y6" s="23">
        <v>1600.0</v>
      </c>
      <c r="Z6" s="23">
        <v>500.0</v>
      </c>
      <c r="AA6" s="24">
        <v>7500.0</v>
      </c>
      <c r="AB6" s="24">
        <v>0.0</v>
      </c>
      <c r="AC6" s="24">
        <v>2000.0</v>
      </c>
      <c r="AD6" s="23">
        <v>0.0</v>
      </c>
      <c r="AE6" s="24">
        <v>0.0</v>
      </c>
      <c r="AF6" s="17" t="s">
        <v>451</v>
      </c>
      <c r="AG6" s="17">
        <v>0.0</v>
      </c>
      <c r="AH6" s="17" t="s">
        <v>451</v>
      </c>
      <c r="AI6" s="25">
        <f>IF(AF6="Sim",INT((R6-Q6+1))*K6*VLOOKUP(P6,'Tabelas Auxiliares'!$A$1:$C$400,3,FALSE),0)</f>
        <v>0</v>
      </c>
      <c r="AJ6" s="25">
        <f t="shared" si="2"/>
        <v>0</v>
      </c>
      <c r="AK6" s="25">
        <f>IFS(
  O6="Acre",((W6*0.15)+(X6*0.7))*VLOOKUP(P6,'MunicípiosEstados'!$A$2:$B$23,2,FALSE),
  O6="Alagoas",((W6*0.15)+(X6*0.7))*VLOOKUP(P6,'MunicípiosEstados'!$C$2:$D$103,2,FALSE),
  O6="Amapá",((W6*0.15)+(X6*0.7))*VLOOKUP(P6,'MunicípiosEstados'!$E$2:$F$17,2,FALSE),
  O6="Amazonas",((W6*0.15)+(X6*0.7))*VLOOKUP(P6,'MunicípiosEstados'!$G$2:$H$63,2,FALSE),
  O6="Bahia",((W6*0.15)+(X6*0.7))*VLOOKUP(P6,'MunicípiosEstados'!$I$2:$J$418,2,FALSE),
  O6="Ceará",((W6*0.15)+(X6*0.7))*VLOOKUP(P6,'MunicípiosEstados'!$K$2:$L$185,2,FALSE),
  O6="Distrito Federal",((W6*0.15)+(X6*0.7))*VLOOKUP(P6,'MunicípiosEstados'!$M$2:$N$2,2,FALSE),
  O6="Espírito Santo",((W6*0.15)+(X6*0.7))*VLOOKUP(P6,'MunicípiosEstados'!$O$2:$P$79,2,FALSE),
  O6="Goiás",((W6*0.15)+(X6*0.7))*VLOOKUP(P6,'MunicípiosEstados'!$Q$2:$R$247,2,FALSE),
  O6="Maranhão",((W6*0.15)+(X6*0.7))*VLOOKUP(P6,'MunicípiosEstados'!$S$2:$T$218,2,FALSE),
  O6="Mato Grosso",((W6*0.15)+(X6*0.7))*VLOOKUP(P6,'MunicípiosEstados'!$U$2:$V$143,2,FALSE),
  O6="Mato Grosso do Sul",((W6*0.15)+(X6*0.7))*VLOOKUP(P6,'MunicípiosEstados'!$W$2:$X$80,2,FALSE),
  O6="Minas Gerais",((W6*0.15)+(X6*0.7))*VLOOKUP(P6,'MunicípiosEstados'!$Y$2:$Z$854,2,FALSE),
  O6="Pará",((W6*0.15)+(X6*0.7))*VLOOKUP(P6,'MunicípiosEstados'!$AA$2:$AB$145,2,FALSE),
  O6="Paraíba",((W6*0.15)+(X6*0.7))*VLOOKUP(P6,'MunicípiosEstados'!$AC$2:$AD$224,2,FALSE),
  O6="Paraná",((W6*0.15)+(X6*0.7))*VLOOKUP(P6,'MunicípiosEstados'!$AE$2:$AF$400,2,FALSE),
  O6="Pernambuco",((W6*0.15)+(X6*0.7))*VLOOKUP(P6,'MunicípiosEstados'!$AG$2:$AH$186,2,FALSE),
  O6="Piauí",((W6*0.15)+(X6*0.7))*VLOOKUP(P6,'MunicípiosEstados'!$AI$2:$AJ$225,2,FALSE),
  O6="Rio Grande do Norte",((W6*0.15)+(X6*0.7))*VLOOKUP(P6,'MunicípiosEstados'!$AK$2:$AL$168,2,FALSE),
  O6="Rio Grande do Sul",((W6*0.15)+(X6*0.7))*VLOOKUP(P6,'MunicípiosEstados'!$AM$2:$AN$498,2,FALSE),
  O6="Rio de Janeiro",((W6*0.15)+(X6*0.7))*VLOOKUP(P6,'MunicípiosEstados'!$AO$2:$AP$93,2,FALSE),
  O6="Rondônia",((W6*0.15)+(X6*0.7))*VLOOKUP(P6,'MunicípiosEstados'!$AQ$2:$AR$53,2,FALSE),
  O6="Roraima",((W6*0.15)+(X6*0.7))*VLOOKUP(P6,'MunicípiosEstados'!$AS$2:$AT$16,2,FALSE),
  O6="Santa Catarina",((W6*0.15)+(X6*0.7))*VLOOKUP(P6,'MunicípiosEstados'!$AU$2:$AV$296,2,FALSE),
  O6="São Paulo",((W6*0.15)+(X6*0.7))*VLOOKUP(P6,'MunicípiosEstados'!$AW$2:$AX$646,2,FALSE),
  O6="Sergipe",((W6*0.15)+(X6*0.7))*VLOOKUP(P6,'MunicípiosEstados'!$AY$2:$AZ$76,2,FALSE),
  O6="Tocantins",((W6*0.15)+(X6*0.7))*VLOOKUP(P6,'MunicípiosEstados'!$BA$2:$BB$140,2,FALSE),
  O6="Exterior",((W6*0.15)+(X6*0.7))*VLOOKUP(P6,'MunicípiosEstados'!$BC$2:$BE$221,3,FALSE),TRUE,0
)
</f>
        <v>3885.396</v>
      </c>
      <c r="AL6" s="25">
        <f t="shared" si="3"/>
        <v>15485.396</v>
      </c>
      <c r="AN6" s="29" t="s">
        <v>486</v>
      </c>
    </row>
    <row r="7" ht="22.5" hidden="1" customHeight="1">
      <c r="A7" s="15">
        <f t="shared" si="1"/>
        <v>6</v>
      </c>
      <c r="B7" s="16">
        <v>45995.431363275464</v>
      </c>
      <c r="C7" s="17" t="s">
        <v>487</v>
      </c>
      <c r="D7" s="27" t="s">
        <v>443</v>
      </c>
      <c r="E7" s="15" t="str">
        <f>VLOOKUP(G7,DiretoriaDepart.Coord.!$A$1:$C$72,2,FALSE)</f>
        <v>Extensão Rural</v>
      </c>
      <c r="F7" s="15" t="str">
        <f>VLOOKUP(G7,DiretoriaDepart.Coord.!$A$1:$C$72,3,FALSE)</f>
        <v>Projetos e Cadeias Produtivas</v>
      </c>
      <c r="G7" s="17" t="s">
        <v>488</v>
      </c>
      <c r="H7" s="15"/>
      <c r="I7" s="17" t="s">
        <v>489</v>
      </c>
      <c r="J7" s="17" t="s">
        <v>490</v>
      </c>
      <c r="K7" s="17">
        <v>10.0</v>
      </c>
      <c r="L7" s="15"/>
      <c r="M7" s="17" t="s">
        <v>491</v>
      </c>
      <c r="N7" s="17">
        <v>500.0</v>
      </c>
      <c r="O7" s="17" t="s">
        <v>472</v>
      </c>
      <c r="P7" s="17" t="s">
        <v>473</v>
      </c>
      <c r="Q7" s="20">
        <v>45859.333333333336</v>
      </c>
      <c r="R7" s="20">
        <v>45862.708333333336</v>
      </c>
      <c r="S7" s="17" t="s">
        <v>464</v>
      </c>
      <c r="T7" s="17" t="s">
        <v>452</v>
      </c>
      <c r="U7" s="21" t="s">
        <v>492</v>
      </c>
      <c r="V7" s="21" t="s">
        <v>493</v>
      </c>
      <c r="W7" s="22">
        <v>110.0</v>
      </c>
      <c r="X7" s="22">
        <v>50.0</v>
      </c>
      <c r="Y7" s="23">
        <v>15000.0</v>
      </c>
      <c r="Z7" s="23">
        <v>0.0</v>
      </c>
      <c r="AA7" s="24">
        <v>30000.0</v>
      </c>
      <c r="AB7" s="24">
        <v>0.0</v>
      </c>
      <c r="AC7" s="24">
        <v>2000.0</v>
      </c>
      <c r="AD7" s="23">
        <v>0.0</v>
      </c>
      <c r="AE7" s="24">
        <v>0.0</v>
      </c>
      <c r="AF7" s="17" t="s">
        <v>451</v>
      </c>
      <c r="AG7" s="17">
        <v>5000.0</v>
      </c>
      <c r="AH7" s="17" t="s">
        <v>451</v>
      </c>
      <c r="AI7" s="25">
        <f>IF(AF7="Sim",INT((R7-Q7+1))*K7*VLOOKUP(P7,'Tabelas Auxiliares'!$A$1:$C$400,3,FALSE),0)</f>
        <v>0</v>
      </c>
      <c r="AJ7" s="25">
        <f t="shared" si="2"/>
        <v>3500</v>
      </c>
      <c r="AK7" s="25">
        <f>IFS(
  O7="Acre",((W7*0.15)+(X7*0.7))*VLOOKUP(P7,'MunicípiosEstados'!$A$2:$B$23,2,FALSE),
  O7="Alagoas",((W7*0.15)+(X7*0.7))*VLOOKUP(P7,'MunicípiosEstados'!$C$2:$D$103,2,FALSE),
  O7="Amapá",((W7*0.15)+(X7*0.7))*VLOOKUP(P7,'MunicípiosEstados'!$E$2:$F$17,2,FALSE),
  O7="Amazonas",((W7*0.15)+(X7*0.7))*VLOOKUP(P7,'MunicípiosEstados'!$G$2:$H$63,2,FALSE),
  O7="Bahia",((W7*0.15)+(X7*0.7))*VLOOKUP(P7,'MunicípiosEstados'!$I$2:$J$418,2,FALSE),
  O7="Ceará",((W7*0.15)+(X7*0.7))*VLOOKUP(P7,'MunicípiosEstados'!$K$2:$L$185,2,FALSE),
  O7="Distrito Federal",((W7*0.15)+(X7*0.7))*VLOOKUP(P7,'MunicípiosEstados'!$M$2:$N$2,2,FALSE),
  O7="Espírito Santo",((W7*0.15)+(X7*0.7))*VLOOKUP(P7,'MunicípiosEstados'!$O$2:$P$79,2,FALSE),
  O7="Goiás",((W7*0.15)+(X7*0.7))*VLOOKUP(P7,'MunicípiosEstados'!$Q$2:$R$247,2,FALSE),
  O7="Maranhão",((W7*0.15)+(X7*0.7))*VLOOKUP(P7,'MunicípiosEstados'!$S$2:$T$218,2,FALSE),
  O7="Mato Grosso",((W7*0.15)+(X7*0.7))*VLOOKUP(P7,'MunicípiosEstados'!$U$2:$V$143,2,FALSE),
  O7="Mato Grosso do Sul",((W7*0.15)+(X7*0.7))*VLOOKUP(P7,'MunicípiosEstados'!$W$2:$X$80,2,FALSE),
  O7="Minas Gerais",((W7*0.15)+(X7*0.7))*VLOOKUP(P7,'MunicípiosEstados'!$Y$2:$Z$854,2,FALSE),
  O7="Pará",((W7*0.15)+(X7*0.7))*VLOOKUP(P7,'MunicípiosEstados'!$AA$2:$AB$145,2,FALSE),
  O7="Paraíba",((W7*0.15)+(X7*0.7))*VLOOKUP(P7,'MunicípiosEstados'!$AC$2:$AD$224,2,FALSE),
  O7="Paraná",((W7*0.15)+(X7*0.7))*VLOOKUP(P7,'MunicípiosEstados'!$AE$2:$AF$400,2,FALSE),
  O7="Pernambuco",((W7*0.15)+(X7*0.7))*VLOOKUP(P7,'MunicípiosEstados'!$AG$2:$AH$186,2,FALSE),
  O7="Piauí",((W7*0.15)+(X7*0.7))*VLOOKUP(P7,'MunicípiosEstados'!$AI$2:$AJ$225,2,FALSE),
  O7="Rio Grande do Norte",((W7*0.15)+(X7*0.7))*VLOOKUP(P7,'MunicípiosEstados'!$AK$2:$AL$168,2,FALSE),
  O7="Rio Grande do Sul",((W7*0.15)+(X7*0.7))*VLOOKUP(P7,'MunicípiosEstados'!$AM$2:$AN$498,2,FALSE),
  O7="Rio de Janeiro",((W7*0.15)+(X7*0.7))*VLOOKUP(P7,'MunicípiosEstados'!$AO$2:$AP$93,2,FALSE),
  O7="Rondônia",((W7*0.15)+(X7*0.7))*VLOOKUP(P7,'MunicípiosEstados'!$AQ$2:$AR$53,2,FALSE),
  O7="Roraima",((W7*0.15)+(X7*0.7))*VLOOKUP(P7,'MunicípiosEstados'!$AS$2:$AT$16,2,FALSE),
  O7="Santa Catarina",((W7*0.15)+(X7*0.7))*VLOOKUP(P7,'MunicípiosEstados'!$AU$2:$AV$296,2,FALSE),
  O7="São Paulo",((W7*0.15)+(X7*0.7))*VLOOKUP(P7,'MunicípiosEstados'!$AW$2:$AX$646,2,FALSE),
  O7="Sergipe",((W7*0.15)+(X7*0.7))*VLOOKUP(P7,'MunicípiosEstados'!$AY$2:$AZ$76,2,FALSE),
  O7="Tocantins",((W7*0.15)+(X7*0.7))*VLOOKUP(P7,'MunicípiosEstados'!$BA$2:$BB$140,2,FALSE),
  O7="Exterior",((W7*0.15)+(X7*0.7))*VLOOKUP(P7,'MunicípiosEstados'!$BC$2:$BE$221,3,FALSE),TRUE,0
)
</f>
        <v>24108.18</v>
      </c>
      <c r="AL7" s="25">
        <f t="shared" si="3"/>
        <v>74608.18</v>
      </c>
      <c r="AN7" s="31"/>
    </row>
    <row r="8" ht="22.5" hidden="1" customHeight="1">
      <c r="A8" s="15">
        <f t="shared" si="1"/>
        <v>7</v>
      </c>
      <c r="B8" s="16">
        <v>45996.649647743056</v>
      </c>
      <c r="C8" s="17" t="s">
        <v>494</v>
      </c>
      <c r="D8" s="27" t="s">
        <v>443</v>
      </c>
      <c r="E8" s="15" t="str">
        <f>VLOOKUP(G8,DiretoriaDepart.Coord.!$A$1:$C$72,2,FALSE)</f>
        <v>Pesquisa e Inovação</v>
      </c>
      <c r="F8" s="15" t="str">
        <f>VLOOKUP(G8,DiretoriaDepart.Coord.!$A$1:$C$72,3,FALSE)</f>
        <v>Inovação e Comunicação Científica</v>
      </c>
      <c r="G8" s="17" t="s">
        <v>495</v>
      </c>
      <c r="H8" s="15"/>
      <c r="I8" s="17" t="s">
        <v>469</v>
      </c>
      <c r="J8" s="17" t="s">
        <v>446</v>
      </c>
      <c r="K8" s="17">
        <v>5.0</v>
      </c>
      <c r="L8" s="17" t="s">
        <v>496</v>
      </c>
      <c r="M8" s="17" t="s">
        <v>497</v>
      </c>
      <c r="N8" s="17">
        <v>1000.0</v>
      </c>
      <c r="O8" s="17" t="s">
        <v>472</v>
      </c>
      <c r="P8" s="17" t="s">
        <v>473</v>
      </c>
      <c r="Q8" s="20">
        <v>45845.333333333336</v>
      </c>
      <c r="R8" s="20">
        <v>45847.708333333336</v>
      </c>
      <c r="S8" s="17" t="s">
        <v>464</v>
      </c>
      <c r="T8" s="17" t="s">
        <v>452</v>
      </c>
      <c r="U8" s="21" t="s">
        <v>498</v>
      </c>
      <c r="V8" s="21" t="s">
        <v>499</v>
      </c>
      <c r="W8" s="22">
        <v>8.0</v>
      </c>
      <c r="X8" s="22">
        <v>4.0</v>
      </c>
      <c r="Y8" s="23">
        <v>800.0</v>
      </c>
      <c r="Z8" s="23">
        <v>150.0</v>
      </c>
      <c r="AA8" s="24">
        <v>3000.0</v>
      </c>
      <c r="AB8" s="24">
        <v>400.0</v>
      </c>
      <c r="AC8" s="24">
        <v>200.0</v>
      </c>
      <c r="AD8" s="23">
        <v>0.0</v>
      </c>
      <c r="AE8" s="24">
        <v>0.0</v>
      </c>
      <c r="AF8" s="17" t="s">
        <v>451</v>
      </c>
      <c r="AG8" s="17">
        <v>0.0</v>
      </c>
      <c r="AH8" s="17" t="s">
        <v>464</v>
      </c>
      <c r="AI8" s="25">
        <f>IF(AF8="Sim",INT((R8-Q8+1))*K8*VLOOKUP(P8,'Tabelas Auxiliares'!$A$1:$C$400,3,FALSE),0)</f>
        <v>0</v>
      </c>
      <c r="AJ8" s="25">
        <f t="shared" si="2"/>
        <v>0</v>
      </c>
      <c r="AK8" s="25">
        <f>IFS(
  O8="Acre",((W8*0.15)+(X8*0.7))*VLOOKUP(P8,'MunicípiosEstados'!$A$2:$B$23,2,FALSE),
  O8="Alagoas",((W8*0.15)+(X8*0.7))*VLOOKUP(P8,'MunicípiosEstados'!$C$2:$D$103,2,FALSE),
  O8="Amapá",((W8*0.15)+(X8*0.7))*VLOOKUP(P8,'MunicípiosEstados'!$E$2:$F$17,2,FALSE),
  O8="Amazonas",((W8*0.15)+(X8*0.7))*VLOOKUP(P8,'MunicípiosEstados'!$G$2:$H$63,2,FALSE),
  O8="Bahia",((W8*0.15)+(X8*0.7))*VLOOKUP(P8,'MunicípiosEstados'!$I$2:$J$418,2,FALSE),
  O8="Ceará",((W8*0.15)+(X8*0.7))*VLOOKUP(P8,'MunicípiosEstados'!$K$2:$L$185,2,FALSE),
  O8="Distrito Federal",((W8*0.15)+(X8*0.7))*VLOOKUP(P8,'MunicípiosEstados'!$M$2:$N$2,2,FALSE),
  O8="Espírito Santo",((W8*0.15)+(X8*0.7))*VLOOKUP(P8,'MunicípiosEstados'!$O$2:$P$79,2,FALSE),
  O8="Goiás",((W8*0.15)+(X8*0.7))*VLOOKUP(P8,'MunicípiosEstados'!$Q$2:$R$247,2,FALSE),
  O8="Maranhão",((W8*0.15)+(X8*0.7))*VLOOKUP(P8,'MunicípiosEstados'!$S$2:$T$218,2,FALSE),
  O8="Mato Grosso",((W8*0.15)+(X8*0.7))*VLOOKUP(P8,'MunicípiosEstados'!$U$2:$V$143,2,FALSE),
  O8="Mato Grosso do Sul",((W8*0.15)+(X8*0.7))*VLOOKUP(P8,'MunicípiosEstados'!$W$2:$X$80,2,FALSE),
  O8="Minas Gerais",((W8*0.15)+(X8*0.7))*VLOOKUP(P8,'MunicípiosEstados'!$Y$2:$Z$854,2,FALSE),
  O8="Pará",((W8*0.15)+(X8*0.7))*VLOOKUP(P8,'MunicípiosEstados'!$AA$2:$AB$145,2,FALSE),
  O8="Paraíba",((W8*0.15)+(X8*0.7))*VLOOKUP(P8,'MunicípiosEstados'!$AC$2:$AD$224,2,FALSE),
  O8="Paraná",((W8*0.15)+(X8*0.7))*VLOOKUP(P8,'MunicípiosEstados'!$AE$2:$AF$400,2,FALSE),
  O8="Pernambuco",((W8*0.15)+(X8*0.7))*VLOOKUP(P8,'MunicípiosEstados'!$AG$2:$AH$186,2,FALSE),
  O8="Piauí",((W8*0.15)+(X8*0.7))*VLOOKUP(P8,'MunicípiosEstados'!$AI$2:$AJ$225,2,FALSE),
  O8="Rio Grande do Norte",((W8*0.15)+(X8*0.7))*VLOOKUP(P8,'MunicípiosEstados'!$AK$2:$AL$168,2,FALSE),
  O8="Rio Grande do Sul",((W8*0.15)+(X8*0.7))*VLOOKUP(P8,'MunicípiosEstados'!$AM$2:$AN$498,2,FALSE),
  O8="Rio de Janeiro",((W8*0.15)+(X8*0.7))*VLOOKUP(P8,'MunicípiosEstados'!$AO$2:$AP$93,2,FALSE),
  O8="Rondônia",((W8*0.15)+(X8*0.7))*VLOOKUP(P8,'MunicípiosEstados'!$AQ$2:$AR$53,2,FALSE),
  O8="Roraima",((W8*0.15)+(X8*0.7))*VLOOKUP(P8,'MunicípiosEstados'!$AS$2:$AT$16,2,FALSE),
  O8="Santa Catarina",((W8*0.15)+(X8*0.7))*VLOOKUP(P8,'MunicípiosEstados'!$AU$2:$AV$296,2,FALSE),
  O8="São Paulo",((W8*0.15)+(X8*0.7))*VLOOKUP(P8,'MunicípiosEstados'!$AW$2:$AX$646,2,FALSE),
  O8="Sergipe",((W8*0.15)+(X8*0.7))*VLOOKUP(P8,'MunicípiosEstados'!$AY$2:$AZ$76,2,FALSE),
  O8="Tocantins",((W8*0.15)+(X8*0.7))*VLOOKUP(P8,'MunicípiosEstados'!$BA$2:$BB$140,2,FALSE),
  O8="Exterior",((W8*0.15)+(X8*0.7))*VLOOKUP(P8,'MunicípiosEstados'!$BC$2:$BE$221,3,FALSE),TRUE,0
)
</f>
        <v>1872.48</v>
      </c>
      <c r="AL8" s="25">
        <f t="shared" si="3"/>
        <v>6422.48</v>
      </c>
      <c r="AN8" s="26"/>
    </row>
    <row r="9" ht="22.5" hidden="1" customHeight="1">
      <c r="A9" s="15">
        <f t="shared" si="1"/>
        <v>8</v>
      </c>
      <c r="B9" s="16">
        <v>45999.450012546295</v>
      </c>
      <c r="C9" s="17" t="s">
        <v>500</v>
      </c>
      <c r="D9" s="18" t="s">
        <v>443</v>
      </c>
      <c r="E9" s="15" t="str">
        <f>VLOOKUP(G9,DiretoriaDepart.Coord.!$A$1:$C$72,2,FALSE)</f>
        <v>Pesquisa e Inovação</v>
      </c>
      <c r="F9" s="15" t="str">
        <f>VLOOKUP(G9,DiretoriaDepart.Coord.!$A$1:$C$72,3,FALSE)</f>
        <v>Pesquisa e Capacitação</v>
      </c>
      <c r="G9" s="17" t="s">
        <v>501</v>
      </c>
      <c r="H9" s="15"/>
      <c r="I9" s="17" t="s">
        <v>502</v>
      </c>
      <c r="J9" s="17" t="s">
        <v>490</v>
      </c>
      <c r="K9" s="17">
        <v>1.0</v>
      </c>
      <c r="L9" s="17" t="s">
        <v>503</v>
      </c>
      <c r="M9" s="17" t="s">
        <v>504</v>
      </c>
      <c r="N9" s="17">
        <v>500.0</v>
      </c>
      <c r="O9" s="17" t="s">
        <v>472</v>
      </c>
      <c r="P9" s="17" t="s">
        <v>473</v>
      </c>
      <c r="Q9" s="20">
        <v>45815.333333333336</v>
      </c>
      <c r="R9" s="20">
        <v>45817.708333333336</v>
      </c>
      <c r="S9" s="17" t="s">
        <v>464</v>
      </c>
      <c r="T9" s="17" t="s">
        <v>452</v>
      </c>
      <c r="U9" s="21" t="s">
        <v>474</v>
      </c>
      <c r="V9" s="21" t="s">
        <v>505</v>
      </c>
      <c r="W9" s="22">
        <v>10.0</v>
      </c>
      <c r="X9" s="22">
        <v>5.0</v>
      </c>
      <c r="Y9" s="23">
        <v>1200.0</v>
      </c>
      <c r="Z9" s="23">
        <v>0.0</v>
      </c>
      <c r="AA9" s="24">
        <v>4000.0</v>
      </c>
      <c r="AB9" s="24">
        <v>0.0</v>
      </c>
      <c r="AC9" s="24">
        <v>400.0</v>
      </c>
      <c r="AD9" s="23">
        <v>0.0</v>
      </c>
      <c r="AE9" s="24">
        <v>0.0</v>
      </c>
      <c r="AF9" s="17" t="s">
        <v>451</v>
      </c>
      <c r="AG9" s="17">
        <v>0.0</v>
      </c>
      <c r="AH9" s="17" t="s">
        <v>464</v>
      </c>
      <c r="AI9" s="25">
        <f>IF(AF9="Sim",INT((R9-Q9+1))*K9*VLOOKUP(P9,'Tabelas Auxiliares'!$A$1:$C$400,3,FALSE),0)</f>
        <v>0</v>
      </c>
      <c r="AJ9" s="25">
        <f t="shared" si="2"/>
        <v>0</v>
      </c>
      <c r="AK9" s="25">
        <f>IFS(
  O9="Acre",((W9*0.15)+(X9*0.7))*VLOOKUP(P9,'MunicípiosEstados'!$A$2:$B$23,2,FALSE),
  O9="Alagoas",((W9*0.15)+(X9*0.7))*VLOOKUP(P9,'MunicípiosEstados'!$C$2:$D$103,2,FALSE),
  O9="Amapá",((W9*0.15)+(X9*0.7))*VLOOKUP(P9,'MunicípiosEstados'!$E$2:$F$17,2,FALSE),
  O9="Amazonas",((W9*0.15)+(X9*0.7))*VLOOKUP(P9,'MunicípiosEstados'!$G$2:$H$63,2,FALSE),
  O9="Bahia",((W9*0.15)+(X9*0.7))*VLOOKUP(P9,'MunicípiosEstados'!$I$2:$J$418,2,FALSE),
  O9="Ceará",((W9*0.15)+(X9*0.7))*VLOOKUP(P9,'MunicípiosEstados'!$K$2:$L$185,2,FALSE),
  O9="Distrito Federal",((W9*0.15)+(X9*0.7))*VLOOKUP(P9,'MunicípiosEstados'!$M$2:$N$2,2,FALSE),
  O9="Espírito Santo",((W9*0.15)+(X9*0.7))*VLOOKUP(P9,'MunicípiosEstados'!$O$2:$P$79,2,FALSE),
  O9="Goiás",((W9*0.15)+(X9*0.7))*VLOOKUP(P9,'MunicípiosEstados'!$Q$2:$R$247,2,FALSE),
  O9="Maranhão",((W9*0.15)+(X9*0.7))*VLOOKUP(P9,'MunicípiosEstados'!$S$2:$T$218,2,FALSE),
  O9="Mato Grosso",((W9*0.15)+(X9*0.7))*VLOOKUP(P9,'MunicípiosEstados'!$U$2:$V$143,2,FALSE),
  O9="Mato Grosso do Sul",((W9*0.15)+(X9*0.7))*VLOOKUP(P9,'MunicípiosEstados'!$W$2:$X$80,2,FALSE),
  O9="Minas Gerais",((W9*0.15)+(X9*0.7))*VLOOKUP(P9,'MunicípiosEstados'!$Y$2:$Z$854,2,FALSE),
  O9="Pará",((W9*0.15)+(X9*0.7))*VLOOKUP(P9,'MunicípiosEstados'!$AA$2:$AB$145,2,FALSE),
  O9="Paraíba",((W9*0.15)+(X9*0.7))*VLOOKUP(P9,'MunicípiosEstados'!$AC$2:$AD$224,2,FALSE),
  O9="Paraná",((W9*0.15)+(X9*0.7))*VLOOKUP(P9,'MunicípiosEstados'!$AE$2:$AF$400,2,FALSE),
  O9="Pernambuco",((W9*0.15)+(X9*0.7))*VLOOKUP(P9,'MunicípiosEstados'!$AG$2:$AH$186,2,FALSE),
  O9="Piauí",((W9*0.15)+(X9*0.7))*VLOOKUP(P9,'MunicípiosEstados'!$AI$2:$AJ$225,2,FALSE),
  O9="Rio Grande do Norte",((W9*0.15)+(X9*0.7))*VLOOKUP(P9,'MunicípiosEstados'!$AK$2:$AL$168,2,FALSE),
  O9="Rio Grande do Sul",((W9*0.15)+(X9*0.7))*VLOOKUP(P9,'MunicípiosEstados'!$AM$2:$AN$498,2,FALSE),
  O9="Rio de Janeiro",((W9*0.15)+(X9*0.7))*VLOOKUP(P9,'MunicípiosEstados'!$AO$2:$AP$93,2,FALSE),
  O9="Rondônia",((W9*0.15)+(X9*0.7))*VLOOKUP(P9,'MunicípiosEstados'!$AQ$2:$AR$53,2,FALSE),
  O9="Roraima",((W9*0.15)+(X9*0.7))*VLOOKUP(P9,'MunicípiosEstados'!$AS$2:$AT$16,2,FALSE),
  O9="Santa Catarina",((W9*0.15)+(X9*0.7))*VLOOKUP(P9,'MunicípiosEstados'!$AU$2:$AV$296,2,FALSE),
  O9="São Paulo",((W9*0.15)+(X9*0.7))*VLOOKUP(P9,'MunicípiosEstados'!$AW$2:$AX$646,2,FALSE),
  O9="Sergipe",((W9*0.15)+(X9*0.7))*VLOOKUP(P9,'MunicípiosEstados'!$AY$2:$AZ$76,2,FALSE),
  O9="Tocantins",((W9*0.15)+(X9*0.7))*VLOOKUP(P9,'MunicípiosEstados'!$BA$2:$BB$140,2,FALSE),
  O9="Exterior",((W9*0.15)+(X9*0.7))*VLOOKUP(P9,'MunicípiosEstados'!$BC$2:$BE$221,3,FALSE),TRUE,0
)
</f>
        <v>2340.6</v>
      </c>
      <c r="AL9" s="25">
        <f t="shared" si="3"/>
        <v>7940.6</v>
      </c>
      <c r="AN9" s="26"/>
    </row>
    <row r="10" ht="22.5" hidden="1" customHeight="1">
      <c r="A10" s="15">
        <f t="shared" si="1"/>
        <v>9</v>
      </c>
      <c r="B10" s="16">
        <v>45999.62937271991</v>
      </c>
      <c r="C10" s="17" t="s">
        <v>506</v>
      </c>
      <c r="D10" s="18" t="s">
        <v>507</v>
      </c>
      <c r="E10" s="15" t="str">
        <f>VLOOKUP(G10,DiretoriaDepart.Coord.!$A$1:$C$72,2,FALSE)</f>
        <v>Pesquisa e Inovação</v>
      </c>
      <c r="F10" s="15" t="str">
        <f>VLOOKUP(G10,DiretoriaDepart.Coord.!$A$1:$C$72,3,FALSE)</f>
        <v>Inovação e Comunicação Científica</v>
      </c>
      <c r="G10" s="17" t="s">
        <v>477</v>
      </c>
      <c r="H10" s="15"/>
      <c r="I10" s="17" t="s">
        <v>469</v>
      </c>
      <c r="J10" s="17" t="s">
        <v>446</v>
      </c>
      <c r="K10" s="17">
        <v>1.0</v>
      </c>
      <c r="L10" s="17">
        <v>1.0</v>
      </c>
      <c r="M10" s="17" t="s">
        <v>508</v>
      </c>
      <c r="N10" s="17">
        <v>0.0</v>
      </c>
      <c r="O10" s="17" t="s">
        <v>472</v>
      </c>
      <c r="P10" s="17" t="s">
        <v>473</v>
      </c>
      <c r="Q10" s="20">
        <v>45845.333333333336</v>
      </c>
      <c r="R10" s="20">
        <v>45847.708333333336</v>
      </c>
      <c r="S10" s="17" t="s">
        <v>451</v>
      </c>
      <c r="T10" s="17" t="s">
        <v>452</v>
      </c>
      <c r="U10" s="21" t="s">
        <v>509</v>
      </c>
      <c r="V10" s="21" t="s">
        <v>510</v>
      </c>
      <c r="W10" s="22">
        <v>8.0</v>
      </c>
      <c r="X10" s="22">
        <v>5.0</v>
      </c>
      <c r="Y10" s="23">
        <v>500.0</v>
      </c>
      <c r="Z10" s="23">
        <v>100.0</v>
      </c>
      <c r="AA10" s="24">
        <v>2500.0</v>
      </c>
      <c r="AB10" s="24">
        <v>0.0</v>
      </c>
      <c r="AC10" s="24">
        <v>300.0</v>
      </c>
      <c r="AD10" s="23">
        <v>0.0</v>
      </c>
      <c r="AE10" s="24">
        <v>0.0</v>
      </c>
      <c r="AF10" s="17" t="s">
        <v>451</v>
      </c>
      <c r="AG10" s="17">
        <v>0.0</v>
      </c>
      <c r="AH10" s="17" t="s">
        <v>451</v>
      </c>
      <c r="AI10" s="25">
        <f>IF(AF10="Sim",INT((R10-Q10+1))*K10*VLOOKUP(P10,'Tabelas Auxiliares'!$A$1:$C$400,3,FALSE),0)</f>
        <v>0</v>
      </c>
      <c r="AJ10" s="25">
        <f t="shared" si="2"/>
        <v>0</v>
      </c>
      <c r="AK10" s="25">
        <f>IFS(
  O10="Acre",((W10*0.15)+(X10*0.7))*VLOOKUP(P10,'MunicípiosEstados'!$A$2:$B$23,2,FALSE),
  O10="Alagoas",((W10*0.15)+(X10*0.7))*VLOOKUP(P10,'MunicípiosEstados'!$C$2:$D$103,2,FALSE),
  O10="Amapá",((W10*0.15)+(X10*0.7))*VLOOKUP(P10,'MunicípiosEstados'!$E$2:$F$17,2,FALSE),
  O10="Amazonas",((W10*0.15)+(X10*0.7))*VLOOKUP(P10,'MunicípiosEstados'!$G$2:$H$63,2,FALSE),
  O10="Bahia",((W10*0.15)+(X10*0.7))*VLOOKUP(P10,'MunicípiosEstados'!$I$2:$J$418,2,FALSE),
  O10="Ceará",((W10*0.15)+(X10*0.7))*VLOOKUP(P10,'MunicípiosEstados'!$K$2:$L$185,2,FALSE),
  O10="Distrito Federal",((W10*0.15)+(X10*0.7))*VLOOKUP(P10,'MunicípiosEstados'!$M$2:$N$2,2,FALSE),
  O10="Espírito Santo",((W10*0.15)+(X10*0.7))*VLOOKUP(P10,'MunicípiosEstados'!$O$2:$P$79,2,FALSE),
  O10="Goiás",((W10*0.15)+(X10*0.7))*VLOOKUP(P10,'MunicípiosEstados'!$Q$2:$R$247,2,FALSE),
  O10="Maranhão",((W10*0.15)+(X10*0.7))*VLOOKUP(P10,'MunicípiosEstados'!$S$2:$T$218,2,FALSE),
  O10="Mato Grosso",((W10*0.15)+(X10*0.7))*VLOOKUP(P10,'MunicípiosEstados'!$U$2:$V$143,2,FALSE),
  O10="Mato Grosso do Sul",((W10*0.15)+(X10*0.7))*VLOOKUP(P10,'MunicípiosEstados'!$W$2:$X$80,2,FALSE),
  O10="Minas Gerais",((W10*0.15)+(X10*0.7))*VLOOKUP(P10,'MunicípiosEstados'!$Y$2:$Z$854,2,FALSE),
  O10="Pará",((W10*0.15)+(X10*0.7))*VLOOKUP(P10,'MunicípiosEstados'!$AA$2:$AB$145,2,FALSE),
  O10="Paraíba",((W10*0.15)+(X10*0.7))*VLOOKUP(P10,'MunicípiosEstados'!$AC$2:$AD$224,2,FALSE),
  O10="Paraná",((W10*0.15)+(X10*0.7))*VLOOKUP(P10,'MunicípiosEstados'!$AE$2:$AF$400,2,FALSE),
  O10="Pernambuco",((W10*0.15)+(X10*0.7))*VLOOKUP(P10,'MunicípiosEstados'!$AG$2:$AH$186,2,FALSE),
  O10="Piauí",((W10*0.15)+(X10*0.7))*VLOOKUP(P10,'MunicípiosEstados'!$AI$2:$AJ$225,2,FALSE),
  O10="Rio Grande do Norte",((W10*0.15)+(X10*0.7))*VLOOKUP(P10,'MunicípiosEstados'!$AK$2:$AL$168,2,FALSE),
  O10="Rio Grande do Sul",((W10*0.15)+(X10*0.7))*VLOOKUP(P10,'MunicípiosEstados'!$AM$2:$AN$498,2,FALSE),
  O10="Rio de Janeiro",((W10*0.15)+(X10*0.7))*VLOOKUP(P10,'MunicípiosEstados'!$AO$2:$AP$93,2,FALSE),
  O10="Rondônia",((W10*0.15)+(X10*0.7))*VLOOKUP(P10,'MunicípiosEstados'!$AQ$2:$AR$53,2,FALSE),
  O10="Roraima",((W10*0.15)+(X10*0.7))*VLOOKUP(P10,'MunicípiosEstados'!$AS$2:$AT$16,2,FALSE),
  O10="Santa Catarina",((W10*0.15)+(X10*0.7))*VLOOKUP(P10,'MunicípiosEstados'!$AU$2:$AV$296,2,FALSE),
  O10="São Paulo",((W10*0.15)+(X10*0.7))*VLOOKUP(P10,'MunicípiosEstados'!$AW$2:$AX$646,2,FALSE),
  O10="Sergipe",((W10*0.15)+(X10*0.7))*VLOOKUP(P10,'MunicípiosEstados'!$AY$2:$AZ$76,2,FALSE),
  O10="Tocantins",((W10*0.15)+(X10*0.7))*VLOOKUP(P10,'MunicípiosEstados'!$BA$2:$BB$140,2,FALSE),
  O10="Exterior",((W10*0.15)+(X10*0.7))*VLOOKUP(P10,'MunicípiosEstados'!$BC$2:$BE$221,3,FALSE),TRUE,0
)
</f>
        <v>2200.164</v>
      </c>
      <c r="AL10" s="25">
        <f t="shared" si="3"/>
        <v>5600.164</v>
      </c>
      <c r="AN10" s="29" t="s">
        <v>511</v>
      </c>
    </row>
    <row r="11" ht="22.5" hidden="1" customHeight="1">
      <c r="A11" s="15">
        <f t="shared" si="1"/>
        <v>10</v>
      </c>
      <c r="B11" s="16">
        <v>45999.78505847222</v>
      </c>
      <c r="C11" s="17" t="s">
        <v>512</v>
      </c>
      <c r="D11" s="18" t="s">
        <v>443</v>
      </c>
      <c r="E11" s="15" t="str">
        <f>VLOOKUP(G11,DiretoriaDepart.Coord.!$A$1:$C$72,2,FALSE)</f>
        <v>Extensão Rural</v>
      </c>
      <c r="F11" s="15" t="str">
        <f>VLOOKUP(G11,DiretoriaDepart.Coord.!$A$1:$C$72,3,FALSE)</f>
        <v>Políticas Públicas</v>
      </c>
      <c r="G11" s="17" t="s">
        <v>513</v>
      </c>
      <c r="H11" s="15"/>
      <c r="I11" s="17" t="s">
        <v>514</v>
      </c>
      <c r="J11" s="17" t="s">
        <v>515</v>
      </c>
      <c r="K11" s="17">
        <v>5.0</v>
      </c>
      <c r="L11" s="17" t="s">
        <v>516</v>
      </c>
      <c r="M11" s="17" t="s">
        <v>517</v>
      </c>
      <c r="N11" s="17">
        <v>30.0</v>
      </c>
      <c r="O11" s="17" t="s">
        <v>518</v>
      </c>
      <c r="P11" s="17" t="s">
        <v>519</v>
      </c>
      <c r="Q11" s="20">
        <v>45719.333333333336</v>
      </c>
      <c r="R11" s="20">
        <v>45721.708333333336</v>
      </c>
      <c r="S11" s="17" t="s">
        <v>451</v>
      </c>
      <c r="T11" s="17" t="s">
        <v>452</v>
      </c>
      <c r="U11" s="28" t="s">
        <v>520</v>
      </c>
      <c r="V11" s="21" t="s">
        <v>521</v>
      </c>
      <c r="W11" s="22">
        <v>45.0</v>
      </c>
      <c r="X11" s="22">
        <v>15.0</v>
      </c>
      <c r="Y11" s="23">
        <v>1500.0</v>
      </c>
      <c r="Z11" s="23">
        <v>0.0</v>
      </c>
      <c r="AA11" s="24">
        <v>7000.0</v>
      </c>
      <c r="AB11" s="24">
        <v>0.0</v>
      </c>
      <c r="AC11" s="24">
        <v>800.0</v>
      </c>
      <c r="AD11" s="23">
        <v>0.0</v>
      </c>
      <c r="AE11" s="24">
        <v>0.0</v>
      </c>
      <c r="AF11" s="17" t="s">
        <v>451</v>
      </c>
      <c r="AG11" s="17">
        <v>1200.0</v>
      </c>
      <c r="AH11" s="17" t="s">
        <v>451</v>
      </c>
      <c r="AI11" s="25">
        <f>IF(AF11="Sim",INT((R11-Q11+1))*K11*VLOOKUP(P11,'Tabelas Auxiliares'!$A$1:$C$400,3,FALSE),0)</f>
        <v>0</v>
      </c>
      <c r="AJ11" s="25">
        <f t="shared" si="2"/>
        <v>840</v>
      </c>
      <c r="AK11" s="25">
        <f>IFS(
  O11="Acre",((W11*0.15)+(X11*0.7))*VLOOKUP(P11,'MunicípiosEstados'!$A$2:$B$23,2,FALSE),
  O11="Alagoas",((W11*0.15)+(X11*0.7))*VLOOKUP(P11,'MunicípiosEstados'!$C$2:$D$103,2,FALSE),
  O11="Amapá",((W11*0.15)+(X11*0.7))*VLOOKUP(P11,'MunicípiosEstados'!$E$2:$F$17,2,FALSE),
  O11="Amazonas",((W11*0.15)+(X11*0.7))*VLOOKUP(P11,'MunicípiosEstados'!$G$2:$H$63,2,FALSE),
  O11="Bahia",((W11*0.15)+(X11*0.7))*VLOOKUP(P11,'MunicípiosEstados'!$I$2:$J$418,2,FALSE),
  O11="Ceará",((W11*0.15)+(X11*0.7))*VLOOKUP(P11,'MunicípiosEstados'!$K$2:$L$185,2,FALSE),
  O11="Distrito Federal",((W11*0.15)+(X11*0.7))*VLOOKUP(P11,'MunicípiosEstados'!$M$2:$N$2,2,FALSE),
  O11="Espírito Santo",((W11*0.15)+(X11*0.7))*VLOOKUP(P11,'MunicípiosEstados'!$O$2:$P$79,2,FALSE),
  O11="Goiás",((W11*0.15)+(X11*0.7))*VLOOKUP(P11,'MunicípiosEstados'!$Q$2:$R$247,2,FALSE),
  O11="Maranhão",((W11*0.15)+(X11*0.7))*VLOOKUP(P11,'MunicípiosEstados'!$S$2:$T$218,2,FALSE),
  O11="Mato Grosso",((W11*0.15)+(X11*0.7))*VLOOKUP(P11,'MunicípiosEstados'!$U$2:$V$143,2,FALSE),
  O11="Mato Grosso do Sul",((W11*0.15)+(X11*0.7))*VLOOKUP(P11,'MunicípiosEstados'!$W$2:$X$80,2,FALSE),
  O11="Minas Gerais",((W11*0.15)+(X11*0.7))*VLOOKUP(P11,'MunicípiosEstados'!$Y$2:$Z$854,2,FALSE),
  O11="Pará",((W11*0.15)+(X11*0.7))*VLOOKUP(P11,'MunicípiosEstados'!$AA$2:$AB$145,2,FALSE),
  O11="Paraíba",((W11*0.15)+(X11*0.7))*VLOOKUP(P11,'MunicípiosEstados'!$AC$2:$AD$224,2,FALSE),
  O11="Paraná",((W11*0.15)+(X11*0.7))*VLOOKUP(P11,'MunicípiosEstados'!$AE$2:$AF$400,2,FALSE),
  O11="Pernambuco",((W11*0.15)+(X11*0.7))*VLOOKUP(P11,'MunicípiosEstados'!$AG$2:$AH$186,2,FALSE),
  O11="Piauí",((W11*0.15)+(X11*0.7))*VLOOKUP(P11,'MunicípiosEstados'!$AI$2:$AJ$225,2,FALSE),
  O11="Rio Grande do Norte",((W11*0.15)+(X11*0.7))*VLOOKUP(P11,'MunicípiosEstados'!$AK$2:$AL$168,2,FALSE),
  O11="Rio Grande do Sul",((W11*0.15)+(X11*0.7))*VLOOKUP(P11,'MunicípiosEstados'!$AM$2:$AN$498,2,FALSE),
  O11="Rio de Janeiro",((W11*0.15)+(X11*0.7))*VLOOKUP(P11,'MunicípiosEstados'!$AO$2:$AP$93,2,FALSE),
  O11="Rondônia",((W11*0.15)+(X11*0.7))*VLOOKUP(P11,'MunicípiosEstados'!$AQ$2:$AR$53,2,FALSE),
  O11="Roraima",((W11*0.15)+(X11*0.7))*VLOOKUP(P11,'MunicípiosEstados'!$AS$2:$AT$16,2,FALSE),
  O11="Santa Catarina",((W11*0.15)+(X11*0.7))*VLOOKUP(P11,'MunicípiosEstados'!$AU$2:$AV$296,2,FALSE),
  O11="São Paulo",((W11*0.15)+(X11*0.7))*VLOOKUP(P11,'MunicípiosEstados'!$AW$2:$AX$646,2,FALSE),
  O11="Sergipe",((W11*0.15)+(X11*0.7))*VLOOKUP(P11,'MunicípiosEstados'!$AY$2:$AZ$76,2,FALSE),
  O11="Tocantins",((W11*0.15)+(X11*0.7))*VLOOKUP(P11,'MunicípiosEstados'!$BA$2:$BB$140,2,FALSE),
  O11="Exterior",((W11*0.15)+(X11*0.7))*VLOOKUP(P11,'MunicípiosEstados'!$BC$2:$BE$221,3,FALSE),TRUE,0
)
</f>
        <v>5011.9875</v>
      </c>
      <c r="AL11" s="25">
        <f t="shared" si="3"/>
        <v>15151.9875</v>
      </c>
      <c r="AN11" s="31"/>
    </row>
    <row r="12" ht="22.5" hidden="1" customHeight="1">
      <c r="A12" s="15">
        <f t="shared" si="1"/>
        <v>11</v>
      </c>
      <c r="B12" s="16">
        <v>45978.62259428241</v>
      </c>
      <c r="C12" s="17" t="s">
        <v>522</v>
      </c>
      <c r="D12" s="27" t="s">
        <v>443</v>
      </c>
      <c r="E12" s="15" t="str">
        <f>VLOOKUP(G12,DiretoriaDepart.Coord.!$A$1:$C$72,2,FALSE)</f>
        <v>Pesquisa e Inovação</v>
      </c>
      <c r="F12" s="15" t="str">
        <f>VLOOKUP(G12,DiretoriaDepart.Coord.!$A$1:$C$72,3,FALSE)</f>
        <v>Pesquisa e Capacitação</v>
      </c>
      <c r="G12" s="17" t="s">
        <v>523</v>
      </c>
      <c r="H12" s="15"/>
      <c r="I12" s="17" t="s">
        <v>524</v>
      </c>
      <c r="J12" s="17" t="s">
        <v>490</v>
      </c>
      <c r="K12" s="17">
        <v>1.0</v>
      </c>
      <c r="L12" s="17" t="s">
        <v>525</v>
      </c>
      <c r="M12" s="17" t="s">
        <v>526</v>
      </c>
      <c r="N12" s="17">
        <v>350.0</v>
      </c>
      <c r="O12" s="17" t="s">
        <v>527</v>
      </c>
      <c r="P12" s="17" t="s">
        <v>528</v>
      </c>
      <c r="Q12" s="20">
        <v>45759.333333333336</v>
      </c>
      <c r="R12" s="20">
        <v>45763.75</v>
      </c>
      <c r="S12" s="17" t="s">
        <v>464</v>
      </c>
      <c r="T12" s="17" t="s">
        <v>452</v>
      </c>
      <c r="U12" s="30" t="s">
        <v>529</v>
      </c>
      <c r="V12" s="30" t="s">
        <v>530</v>
      </c>
      <c r="W12" s="22">
        <v>12.0</v>
      </c>
      <c r="X12" s="22">
        <v>6.0</v>
      </c>
      <c r="Y12" s="23">
        <v>4000.0</v>
      </c>
      <c r="Z12" s="23">
        <v>200.0</v>
      </c>
      <c r="AA12" s="24">
        <v>0.0</v>
      </c>
      <c r="AB12" s="24">
        <v>0.0</v>
      </c>
      <c r="AC12" s="24">
        <v>100.0</v>
      </c>
      <c r="AD12" s="23">
        <v>0.0</v>
      </c>
      <c r="AE12" s="24">
        <v>0.0</v>
      </c>
      <c r="AF12" s="17" t="s">
        <v>451</v>
      </c>
      <c r="AG12" s="17">
        <v>0.0</v>
      </c>
      <c r="AH12" s="17" t="s">
        <v>451</v>
      </c>
      <c r="AI12" s="25">
        <f>IF(AF12="Sim",INT((R12-Q12+1))*K12*VLOOKUP(P12,'Tabelas Auxiliares'!$A$1:$C$400,3,FALSE),0)</f>
        <v>0</v>
      </c>
      <c r="AJ12" s="25">
        <f t="shared" si="2"/>
        <v>0</v>
      </c>
      <c r="AK12" s="25">
        <f>IFS(
  O12="Acre",((W12*0.15)+(X12*0.7))*VLOOKUP(P12,'MunicípiosEstados'!$A$2:$B$23,2,FALSE),
  O12="Alagoas",((W12*0.15)+(X12*0.7))*VLOOKUP(P12,'MunicípiosEstados'!$C$2:$D$103,2,FALSE),
  O12="Amapá",((W12*0.15)+(X12*0.7))*VLOOKUP(P12,'MunicípiosEstados'!$E$2:$F$17,2,FALSE),
  O12="Amazonas",((W12*0.15)+(X12*0.7))*VLOOKUP(P12,'MunicípiosEstados'!$G$2:$H$63,2,FALSE),
  O12="Bahia",((W12*0.15)+(X12*0.7))*VLOOKUP(P12,'MunicípiosEstados'!$I$2:$J$418,2,FALSE),
  O12="Ceará",((W12*0.15)+(X12*0.7))*VLOOKUP(P12,'MunicípiosEstados'!$K$2:$L$185,2,FALSE),
  O12="Distrito Federal",((W12*0.15)+(X12*0.7))*VLOOKUP(P12,'MunicípiosEstados'!$M$2:$N$2,2,FALSE),
  O12="Espírito Santo",((W12*0.15)+(X12*0.7))*VLOOKUP(P12,'MunicípiosEstados'!$O$2:$P$79,2,FALSE),
  O12="Goiás",((W12*0.15)+(X12*0.7))*VLOOKUP(P12,'MunicípiosEstados'!$Q$2:$R$247,2,FALSE),
  O12="Maranhão",((W12*0.15)+(X12*0.7))*VLOOKUP(P12,'MunicípiosEstados'!$S$2:$T$218,2,FALSE),
  O12="Mato Grosso",((W12*0.15)+(X12*0.7))*VLOOKUP(P12,'MunicípiosEstados'!$U$2:$V$143,2,FALSE),
  O12="Mato Grosso do Sul",((W12*0.15)+(X12*0.7))*VLOOKUP(P12,'MunicípiosEstados'!$W$2:$X$80,2,FALSE),
  O12="Minas Gerais",((W12*0.15)+(X12*0.7))*VLOOKUP(P12,'MunicípiosEstados'!$Y$2:$Z$854,2,FALSE),
  O12="Pará",((W12*0.15)+(X12*0.7))*VLOOKUP(P12,'MunicípiosEstados'!$AA$2:$AB$145,2,FALSE),
  O12="Paraíba",((W12*0.15)+(X12*0.7))*VLOOKUP(P12,'MunicípiosEstados'!$AC$2:$AD$224,2,FALSE),
  O12="Paraná",((W12*0.15)+(X12*0.7))*VLOOKUP(P12,'MunicípiosEstados'!$AE$2:$AF$400,2,FALSE),
  O12="Pernambuco",((W12*0.15)+(X12*0.7))*VLOOKUP(P12,'MunicípiosEstados'!$AG$2:$AH$186,2,FALSE),
  O12="Piauí",((W12*0.15)+(X12*0.7))*VLOOKUP(P12,'MunicípiosEstados'!$AI$2:$AJ$225,2,FALSE),
  O12="Rio Grande do Norte",((W12*0.15)+(X12*0.7))*VLOOKUP(P12,'MunicípiosEstados'!$AK$2:$AL$168,2,FALSE),
  O12="Rio Grande do Sul",((W12*0.15)+(X12*0.7))*VLOOKUP(P12,'MunicípiosEstados'!$AM$2:$AN$498,2,FALSE),
  O12="Rio de Janeiro",((W12*0.15)+(X12*0.7))*VLOOKUP(P12,'MunicípiosEstados'!$AO$2:$AP$93,2,FALSE),
  O12="Rondônia",((W12*0.15)+(X12*0.7))*VLOOKUP(P12,'MunicípiosEstados'!$AQ$2:$AR$53,2,FALSE),
  O12="Roraima",((W12*0.15)+(X12*0.7))*VLOOKUP(P12,'MunicípiosEstados'!$AS$2:$AT$16,2,FALSE),
  O12="Santa Catarina",((W12*0.15)+(X12*0.7))*VLOOKUP(P12,'MunicípiosEstados'!$AU$2:$AV$296,2,FALSE),
  O12="São Paulo",((W12*0.15)+(X12*0.7))*VLOOKUP(P12,'MunicípiosEstados'!$AW$2:$AX$646,2,FALSE),
  O12="Sergipe",((W12*0.15)+(X12*0.7))*VLOOKUP(P12,'MunicípiosEstados'!$AY$2:$AZ$76,2,FALSE),
  O12="Tocantins",((W12*0.15)+(X12*0.7))*VLOOKUP(P12,'MunicípiosEstados'!$BA$2:$BB$140,2,FALSE),
  O12="Exterior",((W12*0.15)+(X12*0.7))*VLOOKUP(P12,'MunicípiosEstados'!$BC$2:$BE$221,3,FALSE),TRUE,0
)
</f>
        <v>13164.03</v>
      </c>
      <c r="AL12" s="25">
        <f t="shared" si="3"/>
        <v>17464.03</v>
      </c>
      <c r="AM12" s="25"/>
      <c r="AN12" s="26"/>
    </row>
    <row r="13" ht="22.5" hidden="1" customHeight="1">
      <c r="A13" s="15">
        <f t="shared" si="1"/>
        <v>12</v>
      </c>
      <c r="B13" s="16">
        <v>45978.670347638894</v>
      </c>
      <c r="C13" s="17" t="s">
        <v>531</v>
      </c>
      <c r="D13" s="27" t="s">
        <v>443</v>
      </c>
      <c r="E13" s="15" t="str">
        <f>VLOOKUP(G13,DiretoriaDepart.Coord.!$A$1:$C$72,2,FALSE)</f>
        <v>Pesquisa e Inovação</v>
      </c>
      <c r="F13" s="15" t="str">
        <f>VLOOKUP(G13,DiretoriaDepart.Coord.!$A$1:$C$72,3,FALSE)</f>
        <v>Pesquisa e Capacitação</v>
      </c>
      <c r="G13" s="17" t="s">
        <v>523</v>
      </c>
      <c r="H13" s="15"/>
      <c r="I13" s="17" t="s">
        <v>532</v>
      </c>
      <c r="J13" s="17" t="s">
        <v>490</v>
      </c>
      <c r="K13" s="17">
        <v>1.0</v>
      </c>
      <c r="L13" s="15"/>
      <c r="M13" s="17" t="s">
        <v>533</v>
      </c>
      <c r="N13" s="17">
        <v>500.0</v>
      </c>
      <c r="O13" s="17" t="s">
        <v>527</v>
      </c>
      <c r="P13" s="17" t="s">
        <v>528</v>
      </c>
      <c r="Q13" s="20">
        <v>45759.333333333336</v>
      </c>
      <c r="R13" s="20">
        <v>45763.708333333336</v>
      </c>
      <c r="S13" s="17" t="s">
        <v>464</v>
      </c>
      <c r="T13" s="17" t="s">
        <v>452</v>
      </c>
      <c r="U13" s="30" t="s">
        <v>534</v>
      </c>
      <c r="V13" s="30" t="s">
        <v>535</v>
      </c>
      <c r="W13" s="22">
        <v>0.0</v>
      </c>
      <c r="X13" s="22">
        <v>0.0</v>
      </c>
      <c r="Y13" s="23">
        <v>4500.0</v>
      </c>
      <c r="Z13" s="23">
        <v>0.0</v>
      </c>
      <c r="AA13" s="24">
        <v>0.0</v>
      </c>
      <c r="AB13" s="24">
        <v>0.0</v>
      </c>
      <c r="AC13" s="24">
        <v>0.0</v>
      </c>
      <c r="AD13" s="23">
        <v>0.0</v>
      </c>
      <c r="AE13" s="24">
        <v>0.0</v>
      </c>
      <c r="AF13" s="17" t="s">
        <v>451</v>
      </c>
      <c r="AG13" s="17">
        <v>0.0</v>
      </c>
      <c r="AH13" s="17" t="s">
        <v>451</v>
      </c>
      <c r="AI13" s="25">
        <f>IF(AF13="Sim",INT((R13-Q13+1))*K13*VLOOKUP(P13,'Tabelas Auxiliares'!$A$1:$C$400,3,FALSE),0)</f>
        <v>0</v>
      </c>
      <c r="AJ13" s="25">
        <f t="shared" si="2"/>
        <v>0</v>
      </c>
      <c r="AK13" s="25">
        <f>IFS(
  O13="Acre",((W13*0.15)+(X13*0.7))*VLOOKUP(P13,'MunicípiosEstados'!$A$2:$B$23,2,FALSE),
  O13="Alagoas",((W13*0.15)+(X13*0.7))*VLOOKUP(P13,'MunicípiosEstados'!$C$2:$D$103,2,FALSE),
  O13="Amapá",((W13*0.15)+(X13*0.7))*VLOOKUP(P13,'MunicípiosEstados'!$E$2:$F$17,2,FALSE),
  O13="Amazonas",((W13*0.15)+(X13*0.7))*VLOOKUP(P13,'MunicípiosEstados'!$G$2:$H$63,2,FALSE),
  O13="Bahia",((W13*0.15)+(X13*0.7))*VLOOKUP(P13,'MunicípiosEstados'!$I$2:$J$418,2,FALSE),
  O13="Ceará",((W13*0.15)+(X13*0.7))*VLOOKUP(P13,'MunicípiosEstados'!$K$2:$L$185,2,FALSE),
  O13="Distrito Federal",((W13*0.15)+(X13*0.7))*VLOOKUP(P13,'MunicípiosEstados'!$M$2:$N$2,2,FALSE),
  O13="Espírito Santo",((W13*0.15)+(X13*0.7))*VLOOKUP(P13,'MunicípiosEstados'!$O$2:$P$79,2,FALSE),
  O13="Goiás",((W13*0.15)+(X13*0.7))*VLOOKUP(P13,'MunicípiosEstados'!$Q$2:$R$247,2,FALSE),
  O13="Maranhão",((W13*0.15)+(X13*0.7))*VLOOKUP(P13,'MunicípiosEstados'!$S$2:$T$218,2,FALSE),
  O13="Mato Grosso",((W13*0.15)+(X13*0.7))*VLOOKUP(P13,'MunicípiosEstados'!$U$2:$V$143,2,FALSE),
  O13="Mato Grosso do Sul",((W13*0.15)+(X13*0.7))*VLOOKUP(P13,'MunicípiosEstados'!$W$2:$X$80,2,FALSE),
  O13="Minas Gerais",((W13*0.15)+(X13*0.7))*VLOOKUP(P13,'MunicípiosEstados'!$Y$2:$Z$854,2,FALSE),
  O13="Pará",((W13*0.15)+(X13*0.7))*VLOOKUP(P13,'MunicípiosEstados'!$AA$2:$AB$145,2,FALSE),
  O13="Paraíba",((W13*0.15)+(X13*0.7))*VLOOKUP(P13,'MunicípiosEstados'!$AC$2:$AD$224,2,FALSE),
  O13="Paraná",((W13*0.15)+(X13*0.7))*VLOOKUP(P13,'MunicípiosEstados'!$AE$2:$AF$400,2,FALSE),
  O13="Pernambuco",((W13*0.15)+(X13*0.7))*VLOOKUP(P13,'MunicípiosEstados'!$AG$2:$AH$186,2,FALSE),
  O13="Piauí",((W13*0.15)+(X13*0.7))*VLOOKUP(P13,'MunicípiosEstados'!$AI$2:$AJ$225,2,FALSE),
  O13="Rio Grande do Norte",((W13*0.15)+(X13*0.7))*VLOOKUP(P13,'MunicípiosEstados'!$AK$2:$AL$168,2,FALSE),
  O13="Rio Grande do Sul",((W13*0.15)+(X13*0.7))*VLOOKUP(P13,'MunicípiosEstados'!$AM$2:$AN$498,2,FALSE),
  O13="Rio de Janeiro",((W13*0.15)+(X13*0.7))*VLOOKUP(P13,'MunicípiosEstados'!$AO$2:$AP$93,2,FALSE),
  O13="Rondônia",((W13*0.15)+(X13*0.7))*VLOOKUP(P13,'MunicípiosEstados'!$AQ$2:$AR$53,2,FALSE),
  O13="Roraima",((W13*0.15)+(X13*0.7))*VLOOKUP(P13,'MunicípiosEstados'!$AS$2:$AT$16,2,FALSE),
  O13="Santa Catarina",((W13*0.15)+(X13*0.7))*VLOOKUP(P13,'MunicípiosEstados'!$AU$2:$AV$296,2,FALSE),
  O13="São Paulo",((W13*0.15)+(X13*0.7))*VLOOKUP(P13,'MunicípiosEstados'!$AW$2:$AX$646,2,FALSE),
  O13="Sergipe",((W13*0.15)+(X13*0.7))*VLOOKUP(P13,'MunicípiosEstados'!$AY$2:$AZ$76,2,FALSE),
  O13="Tocantins",((W13*0.15)+(X13*0.7))*VLOOKUP(P13,'MunicípiosEstados'!$BA$2:$BB$140,2,FALSE),
  O13="Exterior",((W13*0.15)+(X13*0.7))*VLOOKUP(P13,'MunicípiosEstados'!$BC$2:$BE$221,3,FALSE),TRUE,0
)
</f>
        <v>0</v>
      </c>
      <c r="AL13" s="25">
        <f t="shared" si="3"/>
        <v>4500</v>
      </c>
      <c r="AM13" s="25"/>
      <c r="AN13" s="26"/>
    </row>
    <row r="14" ht="22.5" hidden="1" customHeight="1">
      <c r="A14" s="15">
        <f t="shared" si="1"/>
        <v>13</v>
      </c>
      <c r="B14" s="16">
        <v>45979.49033211806</v>
      </c>
      <c r="C14" s="17" t="s">
        <v>536</v>
      </c>
      <c r="D14" s="27" t="s">
        <v>443</v>
      </c>
      <c r="E14" s="15" t="str">
        <f>VLOOKUP(G14,DiretoriaDepart.Coord.!$A$1:$C$72,2,FALSE)</f>
        <v>Pesquisa e Inovação</v>
      </c>
      <c r="F14" s="15" t="str">
        <f>VLOOKUP(G14,DiretoriaDepart.Coord.!$A$1:$C$72,3,FALSE)</f>
        <v>Inovação e Comunicação Científica</v>
      </c>
      <c r="G14" s="17" t="s">
        <v>537</v>
      </c>
      <c r="H14" s="15"/>
      <c r="I14" s="17" t="s">
        <v>538</v>
      </c>
      <c r="J14" s="17" t="s">
        <v>490</v>
      </c>
      <c r="K14" s="17">
        <v>1.0</v>
      </c>
      <c r="L14" s="17" t="s">
        <v>539</v>
      </c>
      <c r="M14" s="17" t="s">
        <v>540</v>
      </c>
      <c r="N14" s="17">
        <v>4000.0</v>
      </c>
      <c r="O14" s="17" t="s">
        <v>527</v>
      </c>
      <c r="P14" s="17" t="s">
        <v>528</v>
      </c>
      <c r="Q14" s="20">
        <v>45795.333333333336</v>
      </c>
      <c r="R14" s="20">
        <v>45797.75</v>
      </c>
      <c r="S14" s="17" t="s">
        <v>464</v>
      </c>
      <c r="T14" s="17" t="s">
        <v>452</v>
      </c>
      <c r="U14" s="30" t="s">
        <v>541</v>
      </c>
      <c r="V14" s="30" t="s">
        <v>542</v>
      </c>
      <c r="W14" s="22">
        <v>5.0</v>
      </c>
      <c r="X14" s="22">
        <v>5.0</v>
      </c>
      <c r="Y14" s="23">
        <v>6170.0</v>
      </c>
      <c r="Z14" s="23">
        <v>180.0</v>
      </c>
      <c r="AA14" s="24">
        <v>5772.0</v>
      </c>
      <c r="AB14" s="24">
        <v>200.0</v>
      </c>
      <c r="AC14" s="24">
        <v>500.0</v>
      </c>
      <c r="AD14" s="23">
        <v>0.0</v>
      </c>
      <c r="AE14" s="24">
        <v>0.0</v>
      </c>
      <c r="AF14" s="17" t="s">
        <v>451</v>
      </c>
      <c r="AG14" s="17">
        <v>0.0</v>
      </c>
      <c r="AH14" s="17" t="s">
        <v>451</v>
      </c>
      <c r="AI14" s="25">
        <f>IF(AF14="Sim",INT((R14-Q14+1))*K14*VLOOKUP(P14,'Tabelas Auxiliares'!$A$1:$C$400,3,FALSE),0)</f>
        <v>0</v>
      </c>
      <c r="AJ14" s="25">
        <f t="shared" si="2"/>
        <v>0</v>
      </c>
      <c r="AK14" s="25">
        <f>IFS(
  O14="Acre",((W14*0.15)+(X14*0.7))*VLOOKUP(P14,'MunicípiosEstados'!$A$2:$B$23,2,FALSE),
  O14="Alagoas",((W14*0.15)+(X14*0.7))*VLOOKUP(P14,'MunicípiosEstados'!$C$2:$D$103,2,FALSE),
  O14="Amapá",((W14*0.15)+(X14*0.7))*VLOOKUP(P14,'MunicípiosEstados'!$E$2:$F$17,2,FALSE),
  O14="Amazonas",((W14*0.15)+(X14*0.7))*VLOOKUP(P14,'MunicípiosEstados'!$G$2:$H$63,2,FALSE),
  O14="Bahia",((W14*0.15)+(X14*0.7))*VLOOKUP(P14,'MunicípiosEstados'!$I$2:$J$418,2,FALSE),
  O14="Ceará",((W14*0.15)+(X14*0.7))*VLOOKUP(P14,'MunicípiosEstados'!$K$2:$L$185,2,FALSE),
  O14="Distrito Federal",((W14*0.15)+(X14*0.7))*VLOOKUP(P14,'MunicípiosEstados'!$M$2:$N$2,2,FALSE),
  O14="Espírito Santo",((W14*0.15)+(X14*0.7))*VLOOKUP(P14,'MunicípiosEstados'!$O$2:$P$79,2,FALSE),
  O14="Goiás",((W14*0.15)+(X14*0.7))*VLOOKUP(P14,'MunicípiosEstados'!$Q$2:$R$247,2,FALSE),
  O14="Maranhão",((W14*0.15)+(X14*0.7))*VLOOKUP(P14,'MunicípiosEstados'!$S$2:$T$218,2,FALSE),
  O14="Mato Grosso",((W14*0.15)+(X14*0.7))*VLOOKUP(P14,'MunicípiosEstados'!$U$2:$V$143,2,FALSE),
  O14="Mato Grosso do Sul",((W14*0.15)+(X14*0.7))*VLOOKUP(P14,'MunicípiosEstados'!$W$2:$X$80,2,FALSE),
  O14="Minas Gerais",((W14*0.15)+(X14*0.7))*VLOOKUP(P14,'MunicípiosEstados'!$Y$2:$Z$854,2,FALSE),
  O14="Pará",((W14*0.15)+(X14*0.7))*VLOOKUP(P14,'MunicípiosEstados'!$AA$2:$AB$145,2,FALSE),
  O14="Paraíba",((W14*0.15)+(X14*0.7))*VLOOKUP(P14,'MunicípiosEstados'!$AC$2:$AD$224,2,FALSE),
  O14="Paraná",((W14*0.15)+(X14*0.7))*VLOOKUP(P14,'MunicípiosEstados'!$AE$2:$AF$400,2,FALSE),
  O14="Pernambuco",((W14*0.15)+(X14*0.7))*VLOOKUP(P14,'MunicípiosEstados'!$AG$2:$AH$186,2,FALSE),
  O14="Piauí",((W14*0.15)+(X14*0.7))*VLOOKUP(P14,'MunicípiosEstados'!$AI$2:$AJ$225,2,FALSE),
  O14="Rio Grande do Norte",((W14*0.15)+(X14*0.7))*VLOOKUP(P14,'MunicípiosEstados'!$AK$2:$AL$168,2,FALSE),
  O14="Rio Grande do Sul",((W14*0.15)+(X14*0.7))*VLOOKUP(P14,'MunicípiosEstados'!$AM$2:$AN$498,2,FALSE),
  O14="Rio de Janeiro",((W14*0.15)+(X14*0.7))*VLOOKUP(P14,'MunicípiosEstados'!$AO$2:$AP$93,2,FALSE),
  O14="Rondônia",((W14*0.15)+(X14*0.7))*VLOOKUP(P14,'MunicípiosEstados'!$AQ$2:$AR$53,2,FALSE),
  O14="Roraima",((W14*0.15)+(X14*0.7))*VLOOKUP(P14,'MunicípiosEstados'!$AS$2:$AT$16,2,FALSE),
  O14="Santa Catarina",((W14*0.15)+(X14*0.7))*VLOOKUP(P14,'MunicípiosEstados'!$AU$2:$AV$296,2,FALSE),
  O14="São Paulo",((W14*0.15)+(X14*0.7))*VLOOKUP(P14,'MunicípiosEstados'!$AW$2:$AX$646,2,FALSE),
  O14="Sergipe",((W14*0.15)+(X14*0.7))*VLOOKUP(P14,'MunicípiosEstados'!$AY$2:$AZ$76,2,FALSE),
  O14="Tocantins",((W14*0.15)+(X14*0.7))*VLOOKUP(P14,'MunicípiosEstados'!$BA$2:$BB$140,2,FALSE),
  O14="Exterior",((W14*0.15)+(X14*0.7))*VLOOKUP(P14,'MunicípiosEstados'!$BC$2:$BE$221,3,FALSE),TRUE,0
)
</f>
        <v>9324.52125</v>
      </c>
      <c r="AL14" s="25">
        <f t="shared" si="3"/>
        <v>22146.52125</v>
      </c>
      <c r="AM14" s="25"/>
      <c r="AN14" s="26"/>
    </row>
    <row r="15" ht="22.5" hidden="1" customHeight="1">
      <c r="A15" s="15">
        <f t="shared" si="1"/>
        <v>14</v>
      </c>
      <c r="B15" s="16">
        <v>45987.42710231482</v>
      </c>
      <c r="C15" s="17" t="s">
        <v>543</v>
      </c>
      <c r="D15" s="27" t="s">
        <v>443</v>
      </c>
      <c r="E15" s="15" t="str">
        <f>VLOOKUP(G15,DiretoriaDepart.Coord.!$A$1:$C$72,2,FALSE)</f>
        <v>Pesquisa e Inovação</v>
      </c>
      <c r="F15" s="15" t="str">
        <f>VLOOKUP(G15,DiretoriaDepart.Coord.!$A$1:$C$72,3,FALSE)</f>
        <v>Inovação e Comunicação Científica</v>
      </c>
      <c r="G15" s="17" t="s">
        <v>537</v>
      </c>
      <c r="H15" s="15"/>
      <c r="I15" s="17" t="s">
        <v>544</v>
      </c>
      <c r="J15" s="17" t="s">
        <v>545</v>
      </c>
      <c r="K15" s="17">
        <v>1.0</v>
      </c>
      <c r="L15" s="17" t="s">
        <v>546</v>
      </c>
      <c r="M15" s="17" t="s">
        <v>547</v>
      </c>
      <c r="N15" s="32">
        <v>1000.0</v>
      </c>
      <c r="O15" s="17" t="s">
        <v>527</v>
      </c>
      <c r="P15" s="17" t="s">
        <v>548</v>
      </c>
      <c r="Q15" s="20">
        <v>45830.333333333336</v>
      </c>
      <c r="R15" s="20">
        <v>45834.833333333336</v>
      </c>
      <c r="S15" s="17" t="s">
        <v>464</v>
      </c>
      <c r="T15" s="17" t="s">
        <v>452</v>
      </c>
      <c r="U15" s="21" t="s">
        <v>549</v>
      </c>
      <c r="V15" s="21" t="s">
        <v>550</v>
      </c>
      <c r="W15" s="22">
        <v>7.0</v>
      </c>
      <c r="X15" s="22">
        <v>6.0</v>
      </c>
      <c r="Y15" s="23">
        <v>7500.0</v>
      </c>
      <c r="Z15" s="23">
        <v>100.0</v>
      </c>
      <c r="AA15" s="24">
        <v>10638.0</v>
      </c>
      <c r="AB15" s="24">
        <v>0.0</v>
      </c>
      <c r="AC15" s="24">
        <v>1000.0</v>
      </c>
      <c r="AD15" s="23">
        <v>0.0</v>
      </c>
      <c r="AE15" s="24">
        <v>0.0</v>
      </c>
      <c r="AF15" s="17" t="s">
        <v>451</v>
      </c>
      <c r="AG15" s="17">
        <v>0.0</v>
      </c>
      <c r="AH15" s="17" t="s">
        <v>451</v>
      </c>
      <c r="AI15" s="25">
        <f>IF(AF15="Sim",INT((R15-Q15+1))*K15*VLOOKUP(P15,'Tabelas Auxiliares'!$A$1:$C$400,3,FALSE),0)</f>
        <v>0</v>
      </c>
      <c r="AJ15" s="25">
        <f t="shared" si="2"/>
        <v>0</v>
      </c>
      <c r="AK15" s="25">
        <f>IFS(
  O15="Acre",((W15*0.15)+(X15*0.7))*VLOOKUP(P15,'MunicípiosEstados'!$A$2:$B$23,2,FALSE),
  O15="Alagoas",((W15*0.15)+(X15*0.7))*VLOOKUP(P15,'MunicípiosEstados'!$C$2:$D$103,2,FALSE),
  O15="Amapá",((W15*0.15)+(X15*0.7))*VLOOKUP(P15,'MunicípiosEstados'!$E$2:$F$17,2,FALSE),
  O15="Amazonas",((W15*0.15)+(X15*0.7))*VLOOKUP(P15,'MunicípiosEstados'!$G$2:$H$63,2,FALSE),
  O15="Bahia",((W15*0.15)+(X15*0.7))*VLOOKUP(P15,'MunicípiosEstados'!$I$2:$J$418,2,FALSE),
  O15="Ceará",((W15*0.15)+(X15*0.7))*VLOOKUP(P15,'MunicípiosEstados'!$K$2:$L$185,2,FALSE),
  O15="Distrito Federal",((W15*0.15)+(X15*0.7))*VLOOKUP(P15,'MunicípiosEstados'!$M$2:$N$2,2,FALSE),
  O15="Espírito Santo",((W15*0.15)+(X15*0.7))*VLOOKUP(P15,'MunicípiosEstados'!$O$2:$P$79,2,FALSE),
  O15="Goiás",((W15*0.15)+(X15*0.7))*VLOOKUP(P15,'MunicípiosEstados'!$Q$2:$R$247,2,FALSE),
  O15="Maranhão",((W15*0.15)+(X15*0.7))*VLOOKUP(P15,'MunicípiosEstados'!$S$2:$T$218,2,FALSE),
  O15="Mato Grosso",((W15*0.15)+(X15*0.7))*VLOOKUP(P15,'MunicípiosEstados'!$U$2:$V$143,2,FALSE),
  O15="Mato Grosso do Sul",((W15*0.15)+(X15*0.7))*VLOOKUP(P15,'MunicípiosEstados'!$W$2:$X$80,2,FALSE),
  O15="Minas Gerais",((W15*0.15)+(X15*0.7))*VLOOKUP(P15,'MunicípiosEstados'!$Y$2:$Z$854,2,FALSE),
  O15="Pará",((W15*0.15)+(X15*0.7))*VLOOKUP(P15,'MunicípiosEstados'!$AA$2:$AB$145,2,FALSE),
  O15="Paraíba",((W15*0.15)+(X15*0.7))*VLOOKUP(P15,'MunicípiosEstados'!$AC$2:$AD$224,2,FALSE),
  O15="Paraná",((W15*0.15)+(X15*0.7))*VLOOKUP(P15,'MunicípiosEstados'!$AE$2:$AF$400,2,FALSE),
  O15="Pernambuco",((W15*0.15)+(X15*0.7))*VLOOKUP(P15,'MunicípiosEstados'!$AG$2:$AH$186,2,FALSE),
  O15="Piauí",((W15*0.15)+(X15*0.7))*VLOOKUP(P15,'MunicípiosEstados'!$AI$2:$AJ$225,2,FALSE),
  O15="Rio Grande do Norte",((W15*0.15)+(X15*0.7))*VLOOKUP(P15,'MunicípiosEstados'!$AK$2:$AL$168,2,FALSE),
  O15="Rio Grande do Sul",((W15*0.15)+(X15*0.7))*VLOOKUP(P15,'MunicípiosEstados'!$AM$2:$AN$498,2,FALSE),
  O15="Rio de Janeiro",((W15*0.15)+(X15*0.7))*VLOOKUP(P15,'MunicípiosEstados'!$AO$2:$AP$93,2,FALSE),
  O15="Rondônia",((W15*0.15)+(X15*0.7))*VLOOKUP(P15,'MunicípiosEstados'!$AQ$2:$AR$53,2,FALSE),
  O15="Roraima",((W15*0.15)+(X15*0.7))*VLOOKUP(P15,'MunicípiosEstados'!$AS$2:$AT$16,2,FALSE),
  O15="Santa Catarina",((W15*0.15)+(X15*0.7))*VLOOKUP(P15,'MunicípiosEstados'!$AU$2:$AV$296,2,FALSE),
  O15="São Paulo",((W15*0.15)+(X15*0.7))*VLOOKUP(P15,'MunicípiosEstados'!$AW$2:$AX$646,2,FALSE),
  O15="Sergipe",((W15*0.15)+(X15*0.7))*VLOOKUP(P15,'MunicípiosEstados'!$AY$2:$AZ$76,2,FALSE),
  O15="Tocantins",((W15*0.15)+(X15*0.7))*VLOOKUP(P15,'MunicípiosEstados'!$BA$2:$BB$140,2,FALSE),
  O15="Exterior",((W15*0.15)+(X15*0.7))*VLOOKUP(P15,'MunicípiosEstados'!$BC$2:$BE$221,3,FALSE),TRUE,0
)
</f>
        <v>13175.6625</v>
      </c>
      <c r="AL15" s="25">
        <f t="shared" si="3"/>
        <v>32413.6625</v>
      </c>
      <c r="AM15" s="25"/>
      <c r="AN15" s="26"/>
    </row>
    <row r="16" ht="22.5" hidden="1" customHeight="1">
      <c r="A16" s="15">
        <f t="shared" si="1"/>
        <v>15</v>
      </c>
      <c r="B16" s="16">
        <v>45987.47838644676</v>
      </c>
      <c r="C16" s="17" t="s">
        <v>551</v>
      </c>
      <c r="D16" s="27" t="s">
        <v>507</v>
      </c>
      <c r="E16" s="15" t="str">
        <f>VLOOKUP(G16,DiretoriaDepart.Coord.!$A$1:$C$72,2,FALSE)</f>
        <v>Pesquisa e Inovação</v>
      </c>
      <c r="F16" s="15" t="str">
        <f>VLOOKUP(G16,DiretoriaDepart.Coord.!$A$1:$C$72,3,FALSE)</f>
        <v>Inovação e Comunicação Científica</v>
      </c>
      <c r="G16" s="17" t="s">
        <v>552</v>
      </c>
      <c r="H16" s="15"/>
      <c r="I16" s="17" t="s">
        <v>553</v>
      </c>
      <c r="J16" s="17" t="s">
        <v>490</v>
      </c>
      <c r="K16" s="17">
        <v>2.0</v>
      </c>
      <c r="L16" s="15"/>
      <c r="M16" s="17" t="s">
        <v>461</v>
      </c>
      <c r="N16" s="17">
        <v>0.0</v>
      </c>
      <c r="O16" s="17" t="s">
        <v>527</v>
      </c>
      <c r="P16" s="17" t="s">
        <v>554</v>
      </c>
      <c r="Q16" s="20">
        <v>45844.333333333336</v>
      </c>
      <c r="R16" s="20">
        <v>45848.75</v>
      </c>
      <c r="S16" s="17" t="s">
        <v>451</v>
      </c>
      <c r="T16" s="17" t="s">
        <v>452</v>
      </c>
      <c r="U16" s="21" t="s">
        <v>555</v>
      </c>
      <c r="V16" s="21" t="s">
        <v>556</v>
      </c>
      <c r="W16" s="22">
        <v>26.0</v>
      </c>
      <c r="X16" s="22">
        <v>14.0</v>
      </c>
      <c r="Y16" s="23">
        <v>700.0</v>
      </c>
      <c r="Z16" s="23">
        <v>100.0</v>
      </c>
      <c r="AA16" s="24">
        <v>5200.0</v>
      </c>
      <c r="AB16" s="24">
        <v>0.0</v>
      </c>
      <c r="AC16" s="24">
        <v>400.0</v>
      </c>
      <c r="AD16" s="23">
        <v>0.0</v>
      </c>
      <c r="AE16" s="24">
        <v>0.0</v>
      </c>
      <c r="AF16" s="17" t="s">
        <v>451</v>
      </c>
      <c r="AG16" s="17">
        <v>0.0</v>
      </c>
      <c r="AH16" s="17" t="s">
        <v>451</v>
      </c>
      <c r="AI16" s="25">
        <f>IF(AF16="Sim",INT((R16-Q16+1))*K16*VLOOKUP(P16,'Tabelas Auxiliares'!$A$1:$C$400,3,FALSE),0)</f>
        <v>0</v>
      </c>
      <c r="AJ16" s="25">
        <f t="shared" si="2"/>
        <v>0</v>
      </c>
      <c r="AK16" s="25">
        <f>IFS(
  O16="Acre",((W16*0.15)+(X16*0.7))*VLOOKUP(P16,'MunicípiosEstados'!$A$2:$B$23,2,FALSE),
  O16="Alagoas",((W16*0.15)+(X16*0.7))*VLOOKUP(P16,'MunicípiosEstados'!$C$2:$D$103,2,FALSE),
  O16="Amapá",((W16*0.15)+(X16*0.7))*VLOOKUP(P16,'MunicípiosEstados'!$E$2:$F$17,2,FALSE),
  O16="Amazonas",((W16*0.15)+(X16*0.7))*VLOOKUP(P16,'MunicípiosEstados'!$G$2:$H$63,2,FALSE),
  O16="Bahia",((W16*0.15)+(X16*0.7))*VLOOKUP(P16,'MunicípiosEstados'!$I$2:$J$418,2,FALSE),
  O16="Ceará",((W16*0.15)+(X16*0.7))*VLOOKUP(P16,'MunicípiosEstados'!$K$2:$L$185,2,FALSE),
  O16="Distrito Federal",((W16*0.15)+(X16*0.7))*VLOOKUP(P16,'MunicípiosEstados'!$M$2:$N$2,2,FALSE),
  O16="Espírito Santo",((W16*0.15)+(X16*0.7))*VLOOKUP(P16,'MunicípiosEstados'!$O$2:$P$79,2,FALSE),
  O16="Goiás",((W16*0.15)+(X16*0.7))*VLOOKUP(P16,'MunicípiosEstados'!$Q$2:$R$247,2,FALSE),
  O16="Maranhão",((W16*0.15)+(X16*0.7))*VLOOKUP(P16,'MunicípiosEstados'!$S$2:$T$218,2,FALSE),
  O16="Mato Grosso",((W16*0.15)+(X16*0.7))*VLOOKUP(P16,'MunicípiosEstados'!$U$2:$V$143,2,FALSE),
  O16="Mato Grosso do Sul",((W16*0.15)+(X16*0.7))*VLOOKUP(P16,'MunicípiosEstados'!$W$2:$X$80,2,FALSE),
  O16="Minas Gerais",((W16*0.15)+(X16*0.7))*VLOOKUP(P16,'MunicípiosEstados'!$Y$2:$Z$854,2,FALSE),
  O16="Pará",((W16*0.15)+(X16*0.7))*VLOOKUP(P16,'MunicípiosEstados'!$AA$2:$AB$145,2,FALSE),
  O16="Paraíba",((W16*0.15)+(X16*0.7))*VLOOKUP(P16,'MunicípiosEstados'!$AC$2:$AD$224,2,FALSE),
  O16="Paraná",((W16*0.15)+(X16*0.7))*VLOOKUP(P16,'MunicípiosEstados'!$AE$2:$AF$400,2,FALSE),
  O16="Pernambuco",((W16*0.15)+(X16*0.7))*VLOOKUP(P16,'MunicípiosEstados'!$AG$2:$AH$186,2,FALSE),
  O16="Piauí",((W16*0.15)+(X16*0.7))*VLOOKUP(P16,'MunicípiosEstados'!$AI$2:$AJ$225,2,FALSE),
  O16="Rio Grande do Norte",((W16*0.15)+(X16*0.7))*VLOOKUP(P16,'MunicípiosEstados'!$AK$2:$AL$168,2,FALSE),
  O16="Rio Grande do Sul",((W16*0.15)+(X16*0.7))*VLOOKUP(P16,'MunicípiosEstados'!$AM$2:$AN$498,2,FALSE),
  O16="Rio de Janeiro",((W16*0.15)+(X16*0.7))*VLOOKUP(P16,'MunicípiosEstados'!$AO$2:$AP$93,2,FALSE),
  O16="Rondônia",((W16*0.15)+(X16*0.7))*VLOOKUP(P16,'MunicípiosEstados'!$AQ$2:$AR$53,2,FALSE),
  O16="Roraima",((W16*0.15)+(X16*0.7))*VLOOKUP(P16,'MunicípiosEstados'!$AS$2:$AT$16,2,FALSE),
  O16="Santa Catarina",((W16*0.15)+(X16*0.7))*VLOOKUP(P16,'MunicípiosEstados'!$AU$2:$AV$296,2,FALSE),
  O16="São Paulo",((W16*0.15)+(X16*0.7))*VLOOKUP(P16,'MunicípiosEstados'!$AW$2:$AX$646,2,FALSE),
  O16="Sergipe",((W16*0.15)+(X16*0.7))*VLOOKUP(P16,'MunicípiosEstados'!$AY$2:$AZ$76,2,FALSE),
  O16="Tocantins",((W16*0.15)+(X16*0.7))*VLOOKUP(P16,'MunicípiosEstados'!$BA$2:$BB$140,2,FALSE),
  O16="Exterior",((W16*0.15)+(X16*0.7))*VLOOKUP(P16,'MunicípiosEstados'!$BC$2:$BE$221,3,FALSE),TRUE,0
)
</f>
        <v>22235.0315</v>
      </c>
      <c r="AL16" s="25">
        <f t="shared" si="3"/>
        <v>28635.0315</v>
      </c>
      <c r="AM16" s="25"/>
      <c r="AN16" s="29" t="s">
        <v>557</v>
      </c>
    </row>
    <row r="17" ht="22.5" hidden="1" customHeight="1">
      <c r="A17" s="15">
        <f t="shared" si="1"/>
        <v>16</v>
      </c>
      <c r="B17" s="16">
        <v>45990.05596777778</v>
      </c>
      <c r="C17" s="17" t="s">
        <v>558</v>
      </c>
      <c r="D17" s="27" t="s">
        <v>507</v>
      </c>
      <c r="E17" s="15" t="str">
        <f>VLOOKUP(G17,DiretoriaDepart.Coord.!$A$1:$C$72,2,FALSE)</f>
        <v>Pesquisa e Inovação</v>
      </c>
      <c r="F17" s="15" t="str">
        <f>VLOOKUP(G17,DiretoriaDepart.Coord.!$A$1:$C$72,3,FALSE)</f>
        <v>Inovação e Comunicação Científica</v>
      </c>
      <c r="G17" s="17" t="s">
        <v>477</v>
      </c>
      <c r="H17" s="15"/>
      <c r="I17" s="17" t="s">
        <v>559</v>
      </c>
      <c r="J17" s="17" t="s">
        <v>490</v>
      </c>
      <c r="K17" s="17">
        <v>1.0</v>
      </c>
      <c r="L17" s="17" t="s">
        <v>560</v>
      </c>
      <c r="M17" s="17" t="s">
        <v>461</v>
      </c>
      <c r="N17" s="17">
        <v>0.0</v>
      </c>
      <c r="O17" s="17" t="s">
        <v>527</v>
      </c>
      <c r="P17" s="17" t="s">
        <v>528</v>
      </c>
      <c r="Q17" s="20">
        <v>45907.333333333336</v>
      </c>
      <c r="R17" s="20">
        <v>45911.708333333336</v>
      </c>
      <c r="S17" s="17" t="s">
        <v>464</v>
      </c>
      <c r="T17" s="17" t="s">
        <v>452</v>
      </c>
      <c r="U17" s="21" t="s">
        <v>561</v>
      </c>
      <c r="V17" s="21" t="s">
        <v>562</v>
      </c>
      <c r="W17" s="22">
        <v>16.0</v>
      </c>
      <c r="X17" s="22">
        <v>8.0</v>
      </c>
      <c r="Y17" s="23">
        <v>1500.0</v>
      </c>
      <c r="Z17" s="23">
        <v>0.0</v>
      </c>
      <c r="AA17" s="24">
        <v>10000.0</v>
      </c>
      <c r="AB17" s="24">
        <v>0.0</v>
      </c>
      <c r="AC17" s="24">
        <v>0.0</v>
      </c>
      <c r="AD17" s="23">
        <v>0.0</v>
      </c>
      <c r="AE17" s="24">
        <v>0.0</v>
      </c>
      <c r="AF17" s="17" t="s">
        <v>451</v>
      </c>
      <c r="AG17" s="17">
        <v>0.0</v>
      </c>
      <c r="AH17" s="17" t="s">
        <v>451</v>
      </c>
      <c r="AI17" s="25">
        <f>IF(AF17="Sim",INT((R17-Q17+1))*K17*VLOOKUP(P17,'Tabelas Auxiliares'!$A$1:$C$400,3,FALSE),0)</f>
        <v>0</v>
      </c>
      <c r="AJ17" s="25">
        <f t="shared" si="2"/>
        <v>0</v>
      </c>
      <c r="AK17" s="25">
        <f>IFS(
  O17="Acre",((W17*0.15)+(X17*0.7))*VLOOKUP(P17,'MunicípiosEstados'!$A$2:$B$23,2,FALSE),
  O17="Alagoas",((W17*0.15)+(X17*0.7))*VLOOKUP(P17,'MunicípiosEstados'!$C$2:$D$103,2,FALSE),
  O17="Amapá",((W17*0.15)+(X17*0.7))*VLOOKUP(P17,'MunicípiosEstados'!$E$2:$F$17,2,FALSE),
  O17="Amazonas",((W17*0.15)+(X17*0.7))*VLOOKUP(P17,'MunicípiosEstados'!$G$2:$H$63,2,FALSE),
  O17="Bahia",((W17*0.15)+(X17*0.7))*VLOOKUP(P17,'MunicípiosEstados'!$I$2:$J$418,2,FALSE),
  O17="Ceará",((W17*0.15)+(X17*0.7))*VLOOKUP(P17,'MunicípiosEstados'!$K$2:$L$185,2,FALSE),
  O17="Distrito Federal",((W17*0.15)+(X17*0.7))*VLOOKUP(P17,'MunicípiosEstados'!$M$2:$N$2,2,FALSE),
  O17="Espírito Santo",((W17*0.15)+(X17*0.7))*VLOOKUP(P17,'MunicípiosEstados'!$O$2:$P$79,2,FALSE),
  O17="Goiás",((W17*0.15)+(X17*0.7))*VLOOKUP(P17,'MunicípiosEstados'!$Q$2:$R$247,2,FALSE),
  O17="Maranhão",((W17*0.15)+(X17*0.7))*VLOOKUP(P17,'MunicípiosEstados'!$S$2:$T$218,2,FALSE),
  O17="Mato Grosso",((W17*0.15)+(X17*0.7))*VLOOKUP(P17,'MunicípiosEstados'!$U$2:$V$143,2,FALSE),
  O17="Mato Grosso do Sul",((W17*0.15)+(X17*0.7))*VLOOKUP(P17,'MunicípiosEstados'!$W$2:$X$80,2,FALSE),
  O17="Minas Gerais",((W17*0.15)+(X17*0.7))*VLOOKUP(P17,'MunicípiosEstados'!$Y$2:$Z$854,2,FALSE),
  O17="Pará",((W17*0.15)+(X17*0.7))*VLOOKUP(P17,'MunicípiosEstados'!$AA$2:$AB$145,2,FALSE),
  O17="Paraíba",((W17*0.15)+(X17*0.7))*VLOOKUP(P17,'MunicípiosEstados'!$AC$2:$AD$224,2,FALSE),
  O17="Paraná",((W17*0.15)+(X17*0.7))*VLOOKUP(P17,'MunicípiosEstados'!$AE$2:$AF$400,2,FALSE),
  O17="Pernambuco",((W17*0.15)+(X17*0.7))*VLOOKUP(P17,'MunicípiosEstados'!$AG$2:$AH$186,2,FALSE),
  O17="Piauí",((W17*0.15)+(X17*0.7))*VLOOKUP(P17,'MunicípiosEstados'!$AI$2:$AJ$225,2,FALSE),
  O17="Rio Grande do Norte",((W17*0.15)+(X17*0.7))*VLOOKUP(P17,'MunicípiosEstados'!$AK$2:$AL$168,2,FALSE),
  O17="Rio Grande do Sul",((W17*0.15)+(X17*0.7))*VLOOKUP(P17,'MunicípiosEstados'!$AM$2:$AN$498,2,FALSE),
  O17="Rio de Janeiro",((W17*0.15)+(X17*0.7))*VLOOKUP(P17,'MunicípiosEstados'!$AO$2:$AP$93,2,FALSE),
  O17="Rondônia",((W17*0.15)+(X17*0.7))*VLOOKUP(P17,'MunicípiosEstados'!$AQ$2:$AR$53,2,FALSE),
  O17="Roraima",((W17*0.15)+(X17*0.7))*VLOOKUP(P17,'MunicípiosEstados'!$AS$2:$AT$16,2,FALSE),
  O17="Santa Catarina",((W17*0.15)+(X17*0.7))*VLOOKUP(P17,'MunicípiosEstados'!$AU$2:$AV$296,2,FALSE),
  O17="São Paulo",((W17*0.15)+(X17*0.7))*VLOOKUP(P17,'MunicípiosEstados'!$AW$2:$AX$646,2,FALSE),
  O17="Sergipe",((W17*0.15)+(X17*0.7))*VLOOKUP(P17,'MunicípiosEstados'!$AY$2:$AZ$76,2,FALSE),
  O17="Tocantins",((W17*0.15)+(X17*0.7))*VLOOKUP(P17,'MunicípiosEstados'!$BA$2:$BB$140,2,FALSE),
  O17="Exterior",((W17*0.15)+(X17*0.7))*VLOOKUP(P17,'MunicípiosEstados'!$BC$2:$BE$221,3,FALSE),TRUE,0
)
</f>
        <v>17552.04</v>
      </c>
      <c r="AL17" s="25">
        <f t="shared" si="3"/>
        <v>29052.04</v>
      </c>
      <c r="AN17" s="33" t="s">
        <v>563</v>
      </c>
    </row>
    <row r="18" ht="22.5" hidden="1" customHeight="1">
      <c r="A18" s="15">
        <f t="shared" si="1"/>
        <v>17</v>
      </c>
      <c r="B18" s="16">
        <v>45993.40272587963</v>
      </c>
      <c r="C18" s="17" t="s">
        <v>455</v>
      </c>
      <c r="D18" s="27" t="s">
        <v>507</v>
      </c>
      <c r="E18" s="15" t="str">
        <f>VLOOKUP(G18,DiretoriaDepart.Coord.!$A$1:$C$72,2,FALSE)</f>
        <v>Pesquisa e Inovação</v>
      </c>
      <c r="F18" s="15" t="str">
        <f>VLOOKUP(G18,DiretoriaDepart.Coord.!$A$1:$C$72,3,FALSE)</f>
        <v>Inovação e Comunicação Científica</v>
      </c>
      <c r="G18" s="17" t="s">
        <v>457</v>
      </c>
      <c r="H18" s="15"/>
      <c r="I18" s="17" t="s">
        <v>559</v>
      </c>
      <c r="J18" s="17" t="s">
        <v>490</v>
      </c>
      <c r="K18" s="17">
        <v>1.0</v>
      </c>
      <c r="L18" s="17" t="s">
        <v>564</v>
      </c>
      <c r="M18" s="17" t="s">
        <v>461</v>
      </c>
      <c r="N18" s="17">
        <v>0.0</v>
      </c>
      <c r="O18" s="17" t="s">
        <v>527</v>
      </c>
      <c r="P18" s="17" t="s">
        <v>528</v>
      </c>
      <c r="Q18" s="20">
        <v>45907.333333333336</v>
      </c>
      <c r="R18" s="20">
        <v>45911.708333333336</v>
      </c>
      <c r="S18" s="17" t="s">
        <v>464</v>
      </c>
      <c r="T18" s="17" t="s">
        <v>452</v>
      </c>
      <c r="U18" s="28" t="s">
        <v>565</v>
      </c>
      <c r="V18" s="21" t="s">
        <v>566</v>
      </c>
      <c r="W18" s="22">
        <v>16.0</v>
      </c>
      <c r="X18" s="22">
        <v>7.0</v>
      </c>
      <c r="Y18" s="23">
        <v>1000.0</v>
      </c>
      <c r="Z18" s="23">
        <v>0.0</v>
      </c>
      <c r="AA18" s="24">
        <v>10000.0</v>
      </c>
      <c r="AB18" s="24">
        <v>0.0</v>
      </c>
      <c r="AC18" s="24">
        <v>500.0</v>
      </c>
      <c r="AD18" s="23">
        <v>0.0</v>
      </c>
      <c r="AE18" s="24">
        <v>0.0</v>
      </c>
      <c r="AF18" s="17" t="s">
        <v>451</v>
      </c>
      <c r="AG18" s="17">
        <v>0.0</v>
      </c>
      <c r="AH18" s="17" t="s">
        <v>451</v>
      </c>
      <c r="AI18" s="25">
        <f>IF(AF18="Sim",INT((R18-Q18+1))*K18*VLOOKUP(P18,'Tabelas Auxiliares'!$A$1:$C$400,3,FALSE),0)</f>
        <v>0</v>
      </c>
      <c r="AJ18" s="25">
        <f t="shared" si="2"/>
        <v>0</v>
      </c>
      <c r="AK18" s="25">
        <f>IFS(
  O18="Acre",((W18*0.15)+(X18*0.7))*VLOOKUP(P18,'MunicípiosEstados'!$A$2:$B$23,2,FALSE),
  O18="Alagoas",((W18*0.15)+(X18*0.7))*VLOOKUP(P18,'MunicípiosEstados'!$C$2:$D$103,2,FALSE),
  O18="Amapá",((W18*0.15)+(X18*0.7))*VLOOKUP(P18,'MunicípiosEstados'!$E$2:$F$17,2,FALSE),
  O18="Amazonas",((W18*0.15)+(X18*0.7))*VLOOKUP(P18,'MunicípiosEstados'!$G$2:$H$63,2,FALSE),
  O18="Bahia",((W18*0.15)+(X18*0.7))*VLOOKUP(P18,'MunicípiosEstados'!$I$2:$J$418,2,FALSE),
  O18="Ceará",((W18*0.15)+(X18*0.7))*VLOOKUP(P18,'MunicípiosEstados'!$K$2:$L$185,2,FALSE),
  O18="Distrito Federal",((W18*0.15)+(X18*0.7))*VLOOKUP(P18,'MunicípiosEstados'!$M$2:$N$2,2,FALSE),
  O18="Espírito Santo",((W18*0.15)+(X18*0.7))*VLOOKUP(P18,'MunicípiosEstados'!$O$2:$P$79,2,FALSE),
  O18="Goiás",((W18*0.15)+(X18*0.7))*VLOOKUP(P18,'MunicípiosEstados'!$Q$2:$R$247,2,FALSE),
  O18="Maranhão",((W18*0.15)+(X18*0.7))*VLOOKUP(P18,'MunicípiosEstados'!$S$2:$T$218,2,FALSE),
  O18="Mato Grosso",((W18*0.15)+(X18*0.7))*VLOOKUP(P18,'MunicípiosEstados'!$U$2:$V$143,2,FALSE),
  O18="Mato Grosso do Sul",((W18*0.15)+(X18*0.7))*VLOOKUP(P18,'MunicípiosEstados'!$W$2:$X$80,2,FALSE),
  O18="Minas Gerais",((W18*0.15)+(X18*0.7))*VLOOKUP(P18,'MunicípiosEstados'!$Y$2:$Z$854,2,FALSE),
  O18="Pará",((W18*0.15)+(X18*0.7))*VLOOKUP(P18,'MunicípiosEstados'!$AA$2:$AB$145,2,FALSE),
  O18="Paraíba",((W18*0.15)+(X18*0.7))*VLOOKUP(P18,'MunicípiosEstados'!$AC$2:$AD$224,2,FALSE),
  O18="Paraná",((W18*0.15)+(X18*0.7))*VLOOKUP(P18,'MunicípiosEstados'!$AE$2:$AF$400,2,FALSE),
  O18="Pernambuco",((W18*0.15)+(X18*0.7))*VLOOKUP(P18,'MunicípiosEstados'!$AG$2:$AH$186,2,FALSE),
  O18="Piauí",((W18*0.15)+(X18*0.7))*VLOOKUP(P18,'MunicípiosEstados'!$AI$2:$AJ$225,2,FALSE),
  O18="Rio Grande do Norte",((W18*0.15)+(X18*0.7))*VLOOKUP(P18,'MunicípiosEstados'!$AK$2:$AL$168,2,FALSE),
  O18="Rio Grande do Sul",((W18*0.15)+(X18*0.7))*VLOOKUP(P18,'MunicípiosEstados'!$AM$2:$AN$498,2,FALSE),
  O18="Rio de Janeiro",((W18*0.15)+(X18*0.7))*VLOOKUP(P18,'MunicípiosEstados'!$AO$2:$AP$93,2,FALSE),
  O18="Rondônia",((W18*0.15)+(X18*0.7))*VLOOKUP(P18,'MunicípiosEstados'!$AQ$2:$AR$53,2,FALSE),
  O18="Roraima",((W18*0.15)+(X18*0.7))*VLOOKUP(P18,'MunicípiosEstados'!$AS$2:$AT$16,2,FALSE),
  O18="Santa Catarina",((W18*0.15)+(X18*0.7))*VLOOKUP(P18,'MunicípiosEstados'!$AU$2:$AV$296,2,FALSE),
  O18="São Paulo",((W18*0.15)+(X18*0.7))*VLOOKUP(P18,'MunicípiosEstados'!$AW$2:$AX$646,2,FALSE),
  O18="Sergipe",((W18*0.15)+(X18*0.7))*VLOOKUP(P18,'MunicípiosEstados'!$AY$2:$AZ$76,2,FALSE),
  O18="Tocantins",((W18*0.15)+(X18*0.7))*VLOOKUP(P18,'MunicípiosEstados'!$BA$2:$BB$140,2,FALSE),
  O18="Exterior",((W18*0.15)+(X18*0.7))*VLOOKUP(P18,'MunicípiosEstados'!$BC$2:$BE$221,3,FALSE),TRUE,0
)
</f>
        <v>16016.2365</v>
      </c>
      <c r="AL18" s="25">
        <f t="shared" si="3"/>
        <v>27516.2365</v>
      </c>
      <c r="AN18" s="21" t="s">
        <v>567</v>
      </c>
    </row>
    <row r="19" ht="22.5" hidden="1" customHeight="1">
      <c r="A19" s="15">
        <f t="shared" si="1"/>
        <v>18</v>
      </c>
      <c r="B19" s="16">
        <v>45993.411447245366</v>
      </c>
      <c r="C19" s="17" t="s">
        <v>455</v>
      </c>
      <c r="D19" s="27" t="s">
        <v>456</v>
      </c>
      <c r="E19" s="15" t="str">
        <f>VLOOKUP(G19,DiretoriaDepart.Coord.!$A$1:$C$72,2,FALSE)</f>
        <v>Pesquisa e Inovação</v>
      </c>
      <c r="F19" s="15" t="str">
        <f>VLOOKUP(G19,DiretoriaDepart.Coord.!$A$1:$C$72,3,FALSE)</f>
        <v>Inovação e Comunicação Científica</v>
      </c>
      <c r="G19" s="17" t="s">
        <v>457</v>
      </c>
      <c r="H19" s="15"/>
      <c r="I19" s="17" t="s">
        <v>568</v>
      </c>
      <c r="J19" s="17" t="s">
        <v>490</v>
      </c>
      <c r="K19" s="17">
        <v>1.0</v>
      </c>
      <c r="L19" s="17" t="s">
        <v>569</v>
      </c>
      <c r="M19" s="17" t="s">
        <v>461</v>
      </c>
      <c r="N19" s="17">
        <v>0.0</v>
      </c>
      <c r="O19" s="17" t="s">
        <v>527</v>
      </c>
      <c r="P19" s="17" t="s">
        <v>570</v>
      </c>
      <c r="Q19" s="20">
        <v>45961.333333333336</v>
      </c>
      <c r="R19" s="20">
        <v>45966.708333333336</v>
      </c>
      <c r="S19" s="17" t="s">
        <v>464</v>
      </c>
      <c r="T19" s="17" t="s">
        <v>452</v>
      </c>
      <c r="U19" s="28" t="s">
        <v>571</v>
      </c>
      <c r="V19" s="21" t="s">
        <v>572</v>
      </c>
      <c r="W19" s="22">
        <v>0.0</v>
      </c>
      <c r="X19" s="22">
        <v>0.0</v>
      </c>
      <c r="Y19" s="23">
        <v>0.0</v>
      </c>
      <c r="Z19" s="23">
        <v>0.0</v>
      </c>
      <c r="AA19" s="24">
        <v>0.0</v>
      </c>
      <c r="AB19" s="24">
        <v>0.0</v>
      </c>
      <c r="AC19" s="24">
        <v>0.0</v>
      </c>
      <c r="AD19" s="23">
        <v>0.0</v>
      </c>
      <c r="AE19" s="24">
        <v>0.0</v>
      </c>
      <c r="AF19" s="17" t="s">
        <v>451</v>
      </c>
      <c r="AG19" s="17">
        <v>0.0</v>
      </c>
      <c r="AH19" s="17" t="s">
        <v>451</v>
      </c>
      <c r="AI19" s="25">
        <f>IF(AF19="Sim",INT((R19-Q19+1))*K19*VLOOKUP(P19,'Tabelas Auxiliares'!$A$1:$C$400,3,FALSE),0)</f>
        <v>0</v>
      </c>
      <c r="AJ19" s="25">
        <f t="shared" si="2"/>
        <v>0</v>
      </c>
      <c r="AK19" s="25">
        <f>IFS(
  O19="Acre",((W19*0.15)+(X19*0.7))*VLOOKUP(P19,'MunicípiosEstados'!$A$2:$B$23,2,FALSE),
  O19="Alagoas",((W19*0.15)+(X19*0.7))*VLOOKUP(P19,'MunicípiosEstados'!$C$2:$D$103,2,FALSE),
  O19="Amapá",((W19*0.15)+(X19*0.7))*VLOOKUP(P19,'MunicípiosEstados'!$E$2:$F$17,2,FALSE),
  O19="Amazonas",((W19*0.15)+(X19*0.7))*VLOOKUP(P19,'MunicípiosEstados'!$G$2:$H$63,2,FALSE),
  O19="Bahia",((W19*0.15)+(X19*0.7))*VLOOKUP(P19,'MunicípiosEstados'!$I$2:$J$418,2,FALSE),
  O19="Ceará",((W19*0.15)+(X19*0.7))*VLOOKUP(P19,'MunicípiosEstados'!$K$2:$L$185,2,FALSE),
  O19="Distrito Federal",((W19*0.15)+(X19*0.7))*VLOOKUP(P19,'MunicípiosEstados'!$M$2:$N$2,2,FALSE),
  O19="Espírito Santo",((W19*0.15)+(X19*0.7))*VLOOKUP(P19,'MunicípiosEstados'!$O$2:$P$79,2,FALSE),
  O19="Goiás",((W19*0.15)+(X19*0.7))*VLOOKUP(P19,'MunicípiosEstados'!$Q$2:$R$247,2,FALSE),
  O19="Maranhão",((W19*0.15)+(X19*0.7))*VLOOKUP(P19,'MunicípiosEstados'!$S$2:$T$218,2,FALSE),
  O19="Mato Grosso",((W19*0.15)+(X19*0.7))*VLOOKUP(P19,'MunicípiosEstados'!$U$2:$V$143,2,FALSE),
  O19="Mato Grosso do Sul",((W19*0.15)+(X19*0.7))*VLOOKUP(P19,'MunicípiosEstados'!$W$2:$X$80,2,FALSE),
  O19="Minas Gerais",((W19*0.15)+(X19*0.7))*VLOOKUP(P19,'MunicípiosEstados'!$Y$2:$Z$854,2,FALSE),
  O19="Pará",((W19*0.15)+(X19*0.7))*VLOOKUP(P19,'MunicípiosEstados'!$AA$2:$AB$145,2,FALSE),
  O19="Paraíba",((W19*0.15)+(X19*0.7))*VLOOKUP(P19,'MunicípiosEstados'!$AC$2:$AD$224,2,FALSE),
  O19="Paraná",((W19*0.15)+(X19*0.7))*VLOOKUP(P19,'MunicípiosEstados'!$AE$2:$AF$400,2,FALSE),
  O19="Pernambuco",((W19*0.15)+(X19*0.7))*VLOOKUP(P19,'MunicípiosEstados'!$AG$2:$AH$186,2,FALSE),
  O19="Piauí",((W19*0.15)+(X19*0.7))*VLOOKUP(P19,'MunicípiosEstados'!$AI$2:$AJ$225,2,FALSE),
  O19="Rio Grande do Norte",((W19*0.15)+(X19*0.7))*VLOOKUP(P19,'MunicípiosEstados'!$AK$2:$AL$168,2,FALSE),
  O19="Rio Grande do Sul",((W19*0.15)+(X19*0.7))*VLOOKUP(P19,'MunicípiosEstados'!$AM$2:$AN$498,2,FALSE),
  O19="Rio de Janeiro",((W19*0.15)+(X19*0.7))*VLOOKUP(P19,'MunicípiosEstados'!$AO$2:$AP$93,2,FALSE),
  O19="Rondônia",((W19*0.15)+(X19*0.7))*VLOOKUP(P19,'MunicípiosEstados'!$AQ$2:$AR$53,2,FALSE),
  O19="Roraima",((W19*0.15)+(X19*0.7))*VLOOKUP(P19,'MunicípiosEstados'!$AS$2:$AT$16,2,FALSE),
  O19="Santa Catarina",((W19*0.15)+(X19*0.7))*VLOOKUP(P19,'MunicípiosEstados'!$AU$2:$AV$296,2,FALSE),
  O19="São Paulo",((W19*0.15)+(X19*0.7))*VLOOKUP(P19,'MunicípiosEstados'!$AW$2:$AX$646,2,FALSE),
  O19="Sergipe",((W19*0.15)+(X19*0.7))*VLOOKUP(P19,'MunicípiosEstados'!$AY$2:$AZ$76,2,FALSE),
  O19="Tocantins",((W19*0.15)+(X19*0.7))*VLOOKUP(P19,'MunicípiosEstados'!$BA$2:$BB$140,2,FALSE),
  O19="Exterior",((W19*0.15)+(X19*0.7))*VLOOKUP(P19,'MunicípiosEstados'!$BC$2:$BE$221,3,FALSE),TRUE,0
)
</f>
        <v>0</v>
      </c>
      <c r="AL19" s="25">
        <f t="shared" si="3"/>
        <v>0</v>
      </c>
      <c r="AN19" s="21" t="s">
        <v>573</v>
      </c>
    </row>
    <row r="20" ht="22.5" hidden="1" customHeight="1">
      <c r="A20" s="15">
        <f t="shared" si="1"/>
        <v>19</v>
      </c>
      <c r="B20" s="16">
        <v>45994.66566554398</v>
      </c>
      <c r="C20" s="17" t="s">
        <v>574</v>
      </c>
      <c r="D20" s="27" t="s">
        <v>443</v>
      </c>
      <c r="E20" s="15" t="str">
        <f>VLOOKUP(G20,DiretoriaDepart.Coord.!$A$1:$C$72,2,FALSE)</f>
        <v>Pesquisa e Inovação</v>
      </c>
      <c r="F20" s="15" t="str">
        <f>VLOOKUP(G20,DiretoriaDepart.Coord.!$A$1:$C$72,3,FALSE)</f>
        <v>Inovação e Comunicação Científica</v>
      </c>
      <c r="G20" s="17" t="s">
        <v>477</v>
      </c>
      <c r="H20" s="15"/>
      <c r="I20" s="17" t="s">
        <v>575</v>
      </c>
      <c r="J20" s="17" t="s">
        <v>576</v>
      </c>
      <c r="K20" s="17">
        <v>2.0</v>
      </c>
      <c r="L20" s="15"/>
      <c r="M20" s="17" t="s">
        <v>577</v>
      </c>
      <c r="N20" s="17">
        <v>5.0</v>
      </c>
      <c r="O20" s="17" t="s">
        <v>527</v>
      </c>
      <c r="P20" s="17" t="s">
        <v>578</v>
      </c>
      <c r="Q20" s="20">
        <v>45793.333333333336</v>
      </c>
      <c r="R20" s="20">
        <v>45807.75</v>
      </c>
      <c r="S20" s="17" t="s">
        <v>451</v>
      </c>
      <c r="T20" s="17" t="s">
        <v>452</v>
      </c>
      <c r="U20" s="21" t="s">
        <v>579</v>
      </c>
      <c r="V20" s="21" t="s">
        <v>580</v>
      </c>
      <c r="W20" s="22">
        <v>0.0</v>
      </c>
      <c r="X20" s="22">
        <v>0.0</v>
      </c>
      <c r="Y20" s="23">
        <v>0.0</v>
      </c>
      <c r="Z20" s="23">
        <v>0.0</v>
      </c>
      <c r="AA20" s="24">
        <v>0.0</v>
      </c>
      <c r="AB20" s="24">
        <v>0.0</v>
      </c>
      <c r="AC20" s="24">
        <v>0.0</v>
      </c>
      <c r="AD20" s="23">
        <v>0.0</v>
      </c>
      <c r="AE20" s="24">
        <v>0.0</v>
      </c>
      <c r="AF20" s="17" t="s">
        <v>451</v>
      </c>
      <c r="AG20" s="34" t="s">
        <v>581</v>
      </c>
      <c r="AH20" s="17" t="s">
        <v>451</v>
      </c>
      <c r="AI20" s="25">
        <f>IF(AF20="Sim",INT((R20-Q20+1))*K20*VLOOKUP(P20,'Tabelas Auxiliares'!$A$1:$C$400,3,FALSE),0)</f>
        <v>0</v>
      </c>
      <c r="AJ20" s="25">
        <f t="shared" si="2"/>
        <v>0</v>
      </c>
      <c r="AK20" s="25">
        <f>IFS(
  O20="Acre",((W20*0.15)+(X20*0.7))*VLOOKUP(P20,'MunicípiosEstados'!$A$2:$B$23,2,FALSE),
  O20="Alagoas",((W20*0.15)+(X20*0.7))*VLOOKUP(P20,'MunicípiosEstados'!$C$2:$D$103,2,FALSE),
  O20="Amapá",((W20*0.15)+(X20*0.7))*VLOOKUP(P20,'MunicípiosEstados'!$E$2:$F$17,2,FALSE),
  O20="Amazonas",((W20*0.15)+(X20*0.7))*VLOOKUP(P20,'MunicípiosEstados'!$G$2:$H$63,2,FALSE),
  O20="Bahia",((W20*0.15)+(X20*0.7))*VLOOKUP(P20,'MunicípiosEstados'!$I$2:$J$418,2,FALSE),
  O20="Ceará",((W20*0.15)+(X20*0.7))*VLOOKUP(P20,'MunicípiosEstados'!$K$2:$L$185,2,FALSE),
  O20="Distrito Federal",((W20*0.15)+(X20*0.7))*VLOOKUP(P20,'MunicípiosEstados'!$M$2:$N$2,2,FALSE),
  O20="Espírito Santo",((W20*0.15)+(X20*0.7))*VLOOKUP(P20,'MunicípiosEstados'!$O$2:$P$79,2,FALSE),
  O20="Goiás",((W20*0.15)+(X20*0.7))*VLOOKUP(P20,'MunicípiosEstados'!$Q$2:$R$247,2,FALSE),
  O20="Maranhão",((W20*0.15)+(X20*0.7))*VLOOKUP(P20,'MunicípiosEstados'!$S$2:$T$218,2,FALSE),
  O20="Mato Grosso",((W20*0.15)+(X20*0.7))*VLOOKUP(P20,'MunicípiosEstados'!$U$2:$V$143,2,FALSE),
  O20="Mato Grosso do Sul",((W20*0.15)+(X20*0.7))*VLOOKUP(P20,'MunicípiosEstados'!$W$2:$X$80,2,FALSE),
  O20="Minas Gerais",((W20*0.15)+(X20*0.7))*VLOOKUP(P20,'MunicípiosEstados'!$Y$2:$Z$854,2,FALSE),
  O20="Pará",((W20*0.15)+(X20*0.7))*VLOOKUP(P20,'MunicípiosEstados'!$AA$2:$AB$145,2,FALSE),
  O20="Paraíba",((W20*0.15)+(X20*0.7))*VLOOKUP(P20,'MunicípiosEstados'!$AC$2:$AD$224,2,FALSE),
  O20="Paraná",((W20*0.15)+(X20*0.7))*VLOOKUP(P20,'MunicípiosEstados'!$AE$2:$AF$400,2,FALSE),
  O20="Pernambuco",((W20*0.15)+(X20*0.7))*VLOOKUP(P20,'MunicípiosEstados'!$AG$2:$AH$186,2,FALSE),
  O20="Piauí",((W20*0.15)+(X20*0.7))*VLOOKUP(P20,'MunicípiosEstados'!$AI$2:$AJ$225,2,FALSE),
  O20="Rio Grande do Norte",((W20*0.15)+(X20*0.7))*VLOOKUP(P20,'MunicípiosEstados'!$AK$2:$AL$168,2,FALSE),
  O20="Rio Grande do Sul",((W20*0.15)+(X20*0.7))*VLOOKUP(P20,'MunicípiosEstados'!$AM$2:$AN$498,2,FALSE),
  O20="Rio de Janeiro",((W20*0.15)+(X20*0.7))*VLOOKUP(P20,'MunicípiosEstados'!$AO$2:$AP$93,2,FALSE),
  O20="Rondônia",((W20*0.15)+(X20*0.7))*VLOOKUP(P20,'MunicípiosEstados'!$AQ$2:$AR$53,2,FALSE),
  O20="Roraima",((W20*0.15)+(X20*0.7))*VLOOKUP(P20,'MunicípiosEstados'!$AS$2:$AT$16,2,FALSE),
  O20="Santa Catarina",((W20*0.15)+(X20*0.7))*VLOOKUP(P20,'MunicípiosEstados'!$AU$2:$AV$296,2,FALSE),
  O20="São Paulo",((W20*0.15)+(X20*0.7))*VLOOKUP(P20,'MunicípiosEstados'!$AW$2:$AX$646,2,FALSE),
  O20="Sergipe",((W20*0.15)+(X20*0.7))*VLOOKUP(P20,'MunicípiosEstados'!$AY$2:$AZ$76,2,FALSE),
  O20="Tocantins",((W20*0.15)+(X20*0.7))*VLOOKUP(P20,'MunicípiosEstados'!$BA$2:$BB$140,2,FALSE),
  O20="Exterior",((W20*0.15)+(X20*0.7))*VLOOKUP(P20,'MunicípiosEstados'!$BC$2:$BE$221,3,FALSE),TRUE,0
)
</f>
        <v>0</v>
      </c>
      <c r="AL20" s="25">
        <f t="shared" si="3"/>
        <v>0</v>
      </c>
      <c r="AN20" s="35"/>
    </row>
    <row r="21" ht="22.5" hidden="1" customHeight="1">
      <c r="A21" s="15">
        <f t="shared" si="1"/>
        <v>20</v>
      </c>
      <c r="B21" s="16">
        <v>45999.659385625</v>
      </c>
      <c r="C21" s="17" t="s">
        <v>442</v>
      </c>
      <c r="D21" s="18" t="s">
        <v>443</v>
      </c>
      <c r="E21" s="15" t="str">
        <f>VLOOKUP(G21,DiretoriaDepart.Coord.!$A$1:$C$72,2,FALSE)</f>
        <v>Pesquisa e Inovação</v>
      </c>
      <c r="F21" s="15" t="str">
        <f>VLOOKUP(G21,DiretoriaDepart.Coord.!$A$1:$C$72,3,FALSE)</f>
        <v>Pesquisa e Capacitação</v>
      </c>
      <c r="G21" s="17" t="s">
        <v>444</v>
      </c>
      <c r="H21" s="15"/>
      <c r="I21" s="17" t="s">
        <v>582</v>
      </c>
      <c r="J21" s="17" t="s">
        <v>576</v>
      </c>
      <c r="K21" s="17">
        <v>3.0</v>
      </c>
      <c r="L21" s="17" t="s">
        <v>583</v>
      </c>
      <c r="M21" s="17" t="s">
        <v>584</v>
      </c>
      <c r="N21" s="17">
        <v>1.0</v>
      </c>
      <c r="O21" s="17" t="s">
        <v>527</v>
      </c>
      <c r="P21" s="17" t="s">
        <v>585</v>
      </c>
      <c r="Q21" s="20">
        <v>45795.333333333336</v>
      </c>
      <c r="R21" s="20">
        <v>45802.708333333336</v>
      </c>
      <c r="S21" s="17" t="s">
        <v>451</v>
      </c>
      <c r="T21" s="17" t="s">
        <v>452</v>
      </c>
      <c r="U21" s="21" t="s">
        <v>586</v>
      </c>
      <c r="V21" s="21" t="s">
        <v>587</v>
      </c>
      <c r="W21" s="22">
        <v>21.0</v>
      </c>
      <c r="X21" s="22">
        <v>7.0</v>
      </c>
      <c r="Y21" s="23">
        <v>0.0</v>
      </c>
      <c r="Z21" s="23">
        <v>0.0</v>
      </c>
      <c r="AA21" s="24">
        <v>27000.0</v>
      </c>
      <c r="AB21" s="24">
        <v>2250.0</v>
      </c>
      <c r="AC21" s="24">
        <v>1500.0</v>
      </c>
      <c r="AD21" s="23">
        <v>0.0</v>
      </c>
      <c r="AE21" s="24">
        <v>0.0</v>
      </c>
      <c r="AF21" s="17" t="s">
        <v>451</v>
      </c>
      <c r="AG21" s="17">
        <v>0.0</v>
      </c>
      <c r="AH21" s="17" t="s">
        <v>464</v>
      </c>
      <c r="AI21" s="25">
        <f>IF(AF21="Sim",INT((R21-Q21+1))*K21*VLOOKUP(P21,'Tabelas Auxiliares'!$A$1:$C$400,3,FALSE),0)</f>
        <v>0</v>
      </c>
      <c r="AJ21" s="25">
        <f t="shared" si="2"/>
        <v>0</v>
      </c>
      <c r="AK21" s="25">
        <f>IFS(
  O21="Acre",((W21*0.15)+(X21*0.7))*VLOOKUP(P21,'MunicípiosEstados'!$A$2:$B$23,2,FALSE),
  O21="Alagoas",((W21*0.15)+(X21*0.7))*VLOOKUP(P21,'MunicípiosEstados'!$C$2:$D$103,2,FALSE),
  O21="Amapá",((W21*0.15)+(X21*0.7))*VLOOKUP(P21,'MunicípiosEstados'!$E$2:$F$17,2,FALSE),
  O21="Amazonas",((W21*0.15)+(X21*0.7))*VLOOKUP(P21,'MunicípiosEstados'!$G$2:$H$63,2,FALSE),
  O21="Bahia",((W21*0.15)+(X21*0.7))*VLOOKUP(P21,'MunicípiosEstados'!$I$2:$J$418,2,FALSE),
  O21="Ceará",((W21*0.15)+(X21*0.7))*VLOOKUP(P21,'MunicípiosEstados'!$K$2:$L$185,2,FALSE),
  O21="Distrito Federal",((W21*0.15)+(X21*0.7))*VLOOKUP(P21,'MunicípiosEstados'!$M$2:$N$2,2,FALSE),
  O21="Espírito Santo",((W21*0.15)+(X21*0.7))*VLOOKUP(P21,'MunicípiosEstados'!$O$2:$P$79,2,FALSE),
  O21="Goiás",((W21*0.15)+(X21*0.7))*VLOOKUP(P21,'MunicípiosEstados'!$Q$2:$R$247,2,FALSE),
  O21="Maranhão",((W21*0.15)+(X21*0.7))*VLOOKUP(P21,'MunicípiosEstados'!$S$2:$T$218,2,FALSE),
  O21="Mato Grosso",((W21*0.15)+(X21*0.7))*VLOOKUP(P21,'MunicípiosEstados'!$U$2:$V$143,2,FALSE),
  O21="Mato Grosso do Sul",((W21*0.15)+(X21*0.7))*VLOOKUP(P21,'MunicípiosEstados'!$W$2:$X$80,2,FALSE),
  O21="Minas Gerais",((W21*0.15)+(X21*0.7))*VLOOKUP(P21,'MunicípiosEstados'!$Y$2:$Z$854,2,FALSE),
  O21="Pará",((W21*0.15)+(X21*0.7))*VLOOKUP(P21,'MunicípiosEstados'!$AA$2:$AB$145,2,FALSE),
  O21="Paraíba",((W21*0.15)+(X21*0.7))*VLOOKUP(P21,'MunicípiosEstados'!$AC$2:$AD$224,2,FALSE),
  O21="Paraná",((W21*0.15)+(X21*0.7))*VLOOKUP(P21,'MunicípiosEstados'!$AE$2:$AF$400,2,FALSE),
  O21="Pernambuco",((W21*0.15)+(X21*0.7))*VLOOKUP(P21,'MunicípiosEstados'!$AG$2:$AH$186,2,FALSE),
  O21="Piauí",((W21*0.15)+(X21*0.7))*VLOOKUP(P21,'MunicípiosEstados'!$AI$2:$AJ$225,2,FALSE),
  O21="Rio Grande do Norte",((W21*0.15)+(X21*0.7))*VLOOKUP(P21,'MunicípiosEstados'!$AK$2:$AL$168,2,FALSE),
  O21="Rio Grande do Sul",((W21*0.15)+(X21*0.7))*VLOOKUP(P21,'MunicípiosEstados'!$AM$2:$AN$498,2,FALSE),
  O21="Rio de Janeiro",((W21*0.15)+(X21*0.7))*VLOOKUP(P21,'MunicípiosEstados'!$AO$2:$AP$93,2,FALSE),
  O21="Rondônia",((W21*0.15)+(X21*0.7))*VLOOKUP(P21,'MunicípiosEstados'!$AQ$2:$AR$53,2,FALSE),
  O21="Roraima",((W21*0.15)+(X21*0.7))*VLOOKUP(P21,'MunicípiosEstados'!$AS$2:$AT$16,2,FALSE),
  O21="Santa Catarina",((W21*0.15)+(X21*0.7))*VLOOKUP(P21,'MunicípiosEstados'!$AU$2:$AV$296,2,FALSE),
  O21="São Paulo",((W21*0.15)+(X21*0.7))*VLOOKUP(P21,'MunicípiosEstados'!$AW$2:$AX$646,2,FALSE),
  O21="Sergipe",((W21*0.15)+(X21*0.7))*VLOOKUP(P21,'MunicípiosEstados'!$AY$2:$AZ$76,2,FALSE),
  O21="Tocantins",((W21*0.15)+(X21*0.7))*VLOOKUP(P21,'MunicípiosEstados'!$BA$2:$BB$140,2,FALSE),
  O21="Exterior",((W21*0.15)+(X21*0.7))*VLOOKUP(P21,'MunicípiosEstados'!$BC$2:$BE$221,3,FALSE),TRUE,0
)
</f>
        <v>17661.74025</v>
      </c>
      <c r="AL21" s="25">
        <f t="shared" si="3"/>
        <v>48411.74025</v>
      </c>
      <c r="AN21" s="35"/>
    </row>
    <row r="22" ht="22.5" hidden="1" customHeight="1">
      <c r="A22" s="15">
        <f t="shared" si="1"/>
        <v>21</v>
      </c>
      <c r="B22" s="16">
        <v>45999.66933392361</v>
      </c>
      <c r="C22" s="17" t="s">
        <v>442</v>
      </c>
      <c r="D22" s="18" t="s">
        <v>443</v>
      </c>
      <c r="E22" s="15" t="str">
        <f>VLOOKUP(G22,DiretoriaDepart.Coord.!$A$1:$C$72,2,FALSE)</f>
        <v>Pesquisa e Inovação</v>
      </c>
      <c r="F22" s="15" t="str">
        <f>VLOOKUP(G22,DiretoriaDepart.Coord.!$A$1:$C$72,3,FALSE)</f>
        <v>Pesquisa e Capacitação</v>
      </c>
      <c r="G22" s="17" t="s">
        <v>444</v>
      </c>
      <c r="H22" s="15"/>
      <c r="I22" s="17" t="s">
        <v>588</v>
      </c>
      <c r="J22" s="17" t="s">
        <v>490</v>
      </c>
      <c r="K22" s="17">
        <v>1.0</v>
      </c>
      <c r="L22" s="17" t="s">
        <v>589</v>
      </c>
      <c r="M22" s="17" t="s">
        <v>590</v>
      </c>
      <c r="N22" s="17">
        <v>400.0</v>
      </c>
      <c r="O22" s="17" t="s">
        <v>527</v>
      </c>
      <c r="P22" s="17" t="s">
        <v>591</v>
      </c>
      <c r="Q22" s="20">
        <v>45986.333333333336</v>
      </c>
      <c r="R22" s="20">
        <v>45988.75</v>
      </c>
      <c r="S22" s="17" t="s">
        <v>464</v>
      </c>
      <c r="T22" s="17" t="s">
        <v>452</v>
      </c>
      <c r="U22" s="21" t="s">
        <v>592</v>
      </c>
      <c r="V22" s="21" t="s">
        <v>593</v>
      </c>
      <c r="W22" s="22">
        <v>8.0</v>
      </c>
      <c r="X22" s="22">
        <v>4.0</v>
      </c>
      <c r="Y22" s="23">
        <v>600.0</v>
      </c>
      <c r="Z22" s="23">
        <v>0.0</v>
      </c>
      <c r="AA22" s="24">
        <v>2000.0</v>
      </c>
      <c r="AB22" s="24">
        <v>0.0</v>
      </c>
      <c r="AC22" s="24">
        <v>500.0</v>
      </c>
      <c r="AD22" s="23">
        <v>0.0</v>
      </c>
      <c r="AE22" s="24">
        <v>0.0</v>
      </c>
      <c r="AF22" s="17" t="s">
        <v>451</v>
      </c>
      <c r="AG22" s="17">
        <v>0.0</v>
      </c>
      <c r="AH22" s="17" t="s">
        <v>451</v>
      </c>
      <c r="AI22" s="25">
        <f>IF(AF22="Sim",INT((R22-Q22+1))*K22*VLOOKUP(P22,'Tabelas Auxiliares'!$A$1:$C$400,3,FALSE),0)</f>
        <v>0</v>
      </c>
      <c r="AJ22" s="25">
        <f t="shared" si="2"/>
        <v>0</v>
      </c>
      <c r="AK22" s="25">
        <f>IFS(
  O22="Acre",((W22*0.15)+(X22*0.7))*VLOOKUP(P22,'MunicípiosEstados'!$A$2:$B$23,2,FALSE),
  O22="Alagoas",((W22*0.15)+(X22*0.7))*VLOOKUP(P22,'MunicípiosEstados'!$C$2:$D$103,2,FALSE),
  O22="Amapá",((W22*0.15)+(X22*0.7))*VLOOKUP(P22,'MunicípiosEstados'!$E$2:$F$17,2,FALSE),
  O22="Amazonas",((W22*0.15)+(X22*0.7))*VLOOKUP(P22,'MunicípiosEstados'!$G$2:$H$63,2,FALSE),
  O22="Bahia",((W22*0.15)+(X22*0.7))*VLOOKUP(P22,'MunicípiosEstados'!$I$2:$J$418,2,FALSE),
  O22="Ceará",((W22*0.15)+(X22*0.7))*VLOOKUP(P22,'MunicípiosEstados'!$K$2:$L$185,2,FALSE),
  O22="Distrito Federal",((W22*0.15)+(X22*0.7))*VLOOKUP(P22,'MunicípiosEstados'!$M$2:$N$2,2,FALSE),
  O22="Espírito Santo",((W22*0.15)+(X22*0.7))*VLOOKUP(P22,'MunicípiosEstados'!$O$2:$P$79,2,FALSE),
  O22="Goiás",((W22*0.15)+(X22*0.7))*VLOOKUP(P22,'MunicípiosEstados'!$Q$2:$R$247,2,FALSE),
  O22="Maranhão",((W22*0.15)+(X22*0.7))*VLOOKUP(P22,'MunicípiosEstados'!$S$2:$T$218,2,FALSE),
  O22="Mato Grosso",((W22*0.15)+(X22*0.7))*VLOOKUP(P22,'MunicípiosEstados'!$U$2:$V$143,2,FALSE),
  O22="Mato Grosso do Sul",((W22*0.15)+(X22*0.7))*VLOOKUP(P22,'MunicípiosEstados'!$W$2:$X$80,2,FALSE),
  O22="Minas Gerais",((W22*0.15)+(X22*0.7))*VLOOKUP(P22,'MunicípiosEstados'!$Y$2:$Z$854,2,FALSE),
  O22="Pará",((W22*0.15)+(X22*0.7))*VLOOKUP(P22,'MunicípiosEstados'!$AA$2:$AB$145,2,FALSE),
  O22="Paraíba",((W22*0.15)+(X22*0.7))*VLOOKUP(P22,'MunicípiosEstados'!$AC$2:$AD$224,2,FALSE),
  O22="Paraná",((W22*0.15)+(X22*0.7))*VLOOKUP(P22,'MunicípiosEstados'!$AE$2:$AF$400,2,FALSE),
  O22="Pernambuco",((W22*0.15)+(X22*0.7))*VLOOKUP(P22,'MunicípiosEstados'!$AG$2:$AH$186,2,FALSE),
  O22="Piauí",((W22*0.15)+(X22*0.7))*VLOOKUP(P22,'MunicípiosEstados'!$AI$2:$AJ$225,2,FALSE),
  O22="Rio Grande do Norte",((W22*0.15)+(X22*0.7))*VLOOKUP(P22,'MunicípiosEstados'!$AK$2:$AL$168,2,FALSE),
  O22="Rio Grande do Sul",((W22*0.15)+(X22*0.7))*VLOOKUP(P22,'MunicípiosEstados'!$AM$2:$AN$498,2,FALSE),
  O22="Rio de Janeiro",((W22*0.15)+(X22*0.7))*VLOOKUP(P22,'MunicípiosEstados'!$AO$2:$AP$93,2,FALSE),
  O22="Rondônia",((W22*0.15)+(X22*0.7))*VLOOKUP(P22,'MunicípiosEstados'!$AQ$2:$AR$53,2,FALSE),
  O22="Roraima",((W22*0.15)+(X22*0.7))*VLOOKUP(P22,'MunicípiosEstados'!$AS$2:$AT$16,2,FALSE),
  O22="Santa Catarina",((W22*0.15)+(X22*0.7))*VLOOKUP(P22,'MunicípiosEstados'!$AU$2:$AV$296,2,FALSE),
  O22="São Paulo",((W22*0.15)+(X22*0.7))*VLOOKUP(P22,'MunicípiosEstados'!$AW$2:$AX$646,2,FALSE),
  O22="Sergipe",((W22*0.15)+(X22*0.7))*VLOOKUP(P22,'MunicípiosEstados'!$AY$2:$AZ$76,2,FALSE),
  O22="Tocantins",((W22*0.15)+(X22*0.7))*VLOOKUP(P22,'MunicípiosEstados'!$BA$2:$BB$140,2,FALSE),
  O22="Exterior",((W22*0.15)+(X22*0.7))*VLOOKUP(P22,'MunicípiosEstados'!$BC$2:$BE$221,3,FALSE),TRUE,0
)
</f>
        <v>6491.98</v>
      </c>
      <c r="AL22" s="25">
        <f t="shared" si="3"/>
        <v>9591.98</v>
      </c>
      <c r="AN22" s="35"/>
    </row>
    <row r="23" ht="22.5" hidden="1" customHeight="1">
      <c r="A23" s="15">
        <f t="shared" si="1"/>
        <v>22</v>
      </c>
      <c r="B23" s="16">
        <v>45999.68737974537</v>
      </c>
      <c r="C23" s="17" t="s">
        <v>594</v>
      </c>
      <c r="D23" s="18" t="s">
        <v>443</v>
      </c>
      <c r="E23" s="15" t="str">
        <f>VLOOKUP(G23,DiretoriaDepart.Coord.!$A$1:$C$72,2,FALSE)</f>
        <v>Pesquisa e Inovação</v>
      </c>
      <c r="F23" s="15" t="str">
        <f>VLOOKUP(G23,DiretoriaDepart.Coord.!$A$1:$C$72,3,FALSE)</f>
        <v>Inovação e Comunicação Científica</v>
      </c>
      <c r="G23" s="17" t="s">
        <v>552</v>
      </c>
      <c r="H23" s="15"/>
      <c r="I23" s="17" t="s">
        <v>595</v>
      </c>
      <c r="J23" s="17" t="s">
        <v>545</v>
      </c>
      <c r="K23" s="17">
        <v>1.0</v>
      </c>
      <c r="L23" s="17" t="s">
        <v>596</v>
      </c>
      <c r="M23" s="17" t="s">
        <v>461</v>
      </c>
      <c r="N23" s="17">
        <v>1000.0</v>
      </c>
      <c r="O23" s="17" t="s">
        <v>527</v>
      </c>
      <c r="P23" s="17" t="s">
        <v>570</v>
      </c>
      <c r="Q23" s="20">
        <v>45775.333333333336</v>
      </c>
      <c r="R23" s="20">
        <v>45776.833333333336</v>
      </c>
      <c r="S23" s="17" t="s">
        <v>464</v>
      </c>
      <c r="T23" s="17" t="s">
        <v>452</v>
      </c>
      <c r="U23" s="21" t="s">
        <v>597</v>
      </c>
      <c r="V23" s="21" t="s">
        <v>598</v>
      </c>
      <c r="W23" s="22">
        <v>8.0</v>
      </c>
      <c r="X23" s="22">
        <v>5.0</v>
      </c>
      <c r="Y23" s="23">
        <v>7500.0</v>
      </c>
      <c r="Z23" s="23">
        <v>100.0</v>
      </c>
      <c r="AA23" s="24">
        <v>10000.0</v>
      </c>
      <c r="AB23" s="24">
        <v>0.0</v>
      </c>
      <c r="AC23" s="24">
        <v>1000.0</v>
      </c>
      <c r="AD23" s="23">
        <v>0.0</v>
      </c>
      <c r="AE23" s="24">
        <v>0.0</v>
      </c>
      <c r="AF23" s="17" t="s">
        <v>451</v>
      </c>
      <c r="AG23" s="17">
        <v>0.0</v>
      </c>
      <c r="AH23" s="17" t="s">
        <v>451</v>
      </c>
      <c r="AI23" s="25">
        <f>IF(AF23="Sim",INT((R23-Q23+1))*K23*VLOOKUP(P23,'Tabelas Auxiliares'!$A$1:$C$400,3,FALSE),0)</f>
        <v>0</v>
      </c>
      <c r="AJ23" s="25">
        <f t="shared" si="2"/>
        <v>0</v>
      </c>
      <c r="AK23" s="25">
        <f>IFS(
  O23="Acre",((W23*0.15)+(X23*0.7))*VLOOKUP(P23,'MunicípiosEstados'!$A$2:$B$23,2,FALSE),
  O23="Alagoas",((W23*0.15)+(X23*0.7))*VLOOKUP(P23,'MunicípiosEstados'!$C$2:$D$103,2,FALSE),
  O23="Amapá",((W23*0.15)+(X23*0.7))*VLOOKUP(P23,'MunicípiosEstados'!$E$2:$F$17,2,FALSE),
  O23="Amazonas",((W23*0.15)+(X23*0.7))*VLOOKUP(P23,'MunicípiosEstados'!$G$2:$H$63,2,FALSE),
  O23="Bahia",((W23*0.15)+(X23*0.7))*VLOOKUP(P23,'MunicípiosEstados'!$I$2:$J$418,2,FALSE),
  O23="Ceará",((W23*0.15)+(X23*0.7))*VLOOKUP(P23,'MunicípiosEstados'!$K$2:$L$185,2,FALSE),
  O23="Distrito Federal",((W23*0.15)+(X23*0.7))*VLOOKUP(P23,'MunicípiosEstados'!$M$2:$N$2,2,FALSE),
  O23="Espírito Santo",((W23*0.15)+(X23*0.7))*VLOOKUP(P23,'MunicípiosEstados'!$O$2:$P$79,2,FALSE),
  O23="Goiás",((W23*0.15)+(X23*0.7))*VLOOKUP(P23,'MunicípiosEstados'!$Q$2:$R$247,2,FALSE),
  O23="Maranhão",((W23*0.15)+(X23*0.7))*VLOOKUP(P23,'MunicípiosEstados'!$S$2:$T$218,2,FALSE),
  O23="Mato Grosso",((W23*0.15)+(X23*0.7))*VLOOKUP(P23,'MunicípiosEstados'!$U$2:$V$143,2,FALSE),
  O23="Mato Grosso do Sul",((W23*0.15)+(X23*0.7))*VLOOKUP(P23,'MunicípiosEstados'!$W$2:$X$80,2,FALSE),
  O23="Minas Gerais",((W23*0.15)+(X23*0.7))*VLOOKUP(P23,'MunicípiosEstados'!$Y$2:$Z$854,2,FALSE),
  O23="Pará",((W23*0.15)+(X23*0.7))*VLOOKUP(P23,'MunicípiosEstados'!$AA$2:$AB$145,2,FALSE),
  O23="Paraíba",((W23*0.15)+(X23*0.7))*VLOOKUP(P23,'MunicípiosEstados'!$AC$2:$AD$224,2,FALSE),
  O23="Paraná",((W23*0.15)+(X23*0.7))*VLOOKUP(P23,'MunicípiosEstados'!$AE$2:$AF$400,2,FALSE),
  O23="Pernambuco",((W23*0.15)+(X23*0.7))*VLOOKUP(P23,'MunicípiosEstados'!$AG$2:$AH$186,2,FALSE),
  O23="Piauí",((W23*0.15)+(X23*0.7))*VLOOKUP(P23,'MunicípiosEstados'!$AI$2:$AJ$225,2,FALSE),
  O23="Rio Grande do Norte",((W23*0.15)+(X23*0.7))*VLOOKUP(P23,'MunicípiosEstados'!$AK$2:$AL$168,2,FALSE),
  O23="Rio Grande do Sul",((W23*0.15)+(X23*0.7))*VLOOKUP(P23,'MunicípiosEstados'!$AM$2:$AN$498,2,FALSE),
  O23="Rio de Janeiro",((W23*0.15)+(X23*0.7))*VLOOKUP(P23,'MunicípiosEstados'!$AO$2:$AP$93,2,FALSE),
  O23="Rondônia",((W23*0.15)+(X23*0.7))*VLOOKUP(P23,'MunicípiosEstados'!$AQ$2:$AR$53,2,FALSE),
  O23="Roraima",((W23*0.15)+(X23*0.7))*VLOOKUP(P23,'MunicípiosEstados'!$AS$2:$AT$16,2,FALSE),
  O23="Santa Catarina",((W23*0.15)+(X23*0.7))*VLOOKUP(P23,'MunicípiosEstados'!$AU$2:$AV$296,2,FALSE),
  O23="São Paulo",((W23*0.15)+(X23*0.7))*VLOOKUP(P23,'MunicípiosEstados'!$AW$2:$AX$646,2,FALSE),
  O23="Sergipe",((W23*0.15)+(X23*0.7))*VLOOKUP(P23,'MunicípiosEstados'!$AY$2:$AZ$76,2,FALSE),
  O23="Tocantins",((W23*0.15)+(X23*0.7))*VLOOKUP(P23,'MunicípiosEstados'!$BA$2:$BB$140,2,FALSE),
  O23="Exterior",((W23*0.15)+(X23*0.7))*VLOOKUP(P23,'MunicípiosEstados'!$BC$2:$BE$221,3,FALSE),TRUE,0
)
</f>
        <v>9913.992</v>
      </c>
      <c r="AL23" s="25">
        <f t="shared" si="3"/>
        <v>28513.992</v>
      </c>
      <c r="AN23" s="35"/>
    </row>
    <row r="24" ht="22.5" hidden="1" customHeight="1">
      <c r="A24" s="15">
        <f t="shared" si="1"/>
        <v>23</v>
      </c>
      <c r="B24" s="16">
        <v>45986.44604256944</v>
      </c>
      <c r="C24" s="17" t="s">
        <v>599</v>
      </c>
      <c r="D24" s="27" t="s">
        <v>443</v>
      </c>
      <c r="E24" s="15" t="str">
        <f>VLOOKUP(G24,DiretoriaDepart.Coord.!$A$1:$C$72,2,FALSE)</f>
        <v>Pesquisa e Inovação</v>
      </c>
      <c r="F24" s="15" t="str">
        <f>VLOOKUP(G24,DiretoriaDepart.Coord.!$A$1:$C$72,3,FALSE)</f>
        <v>Inovação e Comunicação Científica</v>
      </c>
      <c r="G24" s="17" t="s">
        <v>552</v>
      </c>
      <c r="H24" s="15"/>
      <c r="I24" s="17" t="s">
        <v>600</v>
      </c>
      <c r="J24" s="17" t="s">
        <v>490</v>
      </c>
      <c r="K24" s="17">
        <v>1.0</v>
      </c>
      <c r="L24" s="17" t="s">
        <v>601</v>
      </c>
      <c r="M24" s="17" t="s">
        <v>602</v>
      </c>
      <c r="N24" s="17">
        <v>1.0</v>
      </c>
      <c r="O24" s="17" t="s">
        <v>603</v>
      </c>
      <c r="P24" s="17" t="s">
        <v>604</v>
      </c>
      <c r="Q24" s="20">
        <v>45941.333333333336</v>
      </c>
      <c r="R24" s="20">
        <v>45916.708333333336</v>
      </c>
      <c r="S24" s="17" t="s">
        <v>464</v>
      </c>
      <c r="T24" s="17" t="s">
        <v>452</v>
      </c>
      <c r="U24" s="21" t="s">
        <v>605</v>
      </c>
      <c r="V24" s="21" t="s">
        <v>606</v>
      </c>
      <c r="W24" s="22">
        <v>16.0</v>
      </c>
      <c r="X24" s="22">
        <v>7.0</v>
      </c>
      <c r="Y24" s="23">
        <v>500.0</v>
      </c>
      <c r="Z24" s="23">
        <v>0.0</v>
      </c>
      <c r="AA24" s="24">
        <v>0.0</v>
      </c>
      <c r="AB24" s="24">
        <v>0.0</v>
      </c>
      <c r="AC24" s="24">
        <v>0.0</v>
      </c>
      <c r="AD24" s="23">
        <v>0.0</v>
      </c>
      <c r="AE24" s="24">
        <v>0.0</v>
      </c>
      <c r="AF24" s="17" t="s">
        <v>451</v>
      </c>
      <c r="AG24" s="17">
        <v>1500.0</v>
      </c>
      <c r="AH24" s="17" t="s">
        <v>451</v>
      </c>
      <c r="AI24" s="25">
        <f>IF(AF24="Sim",INT((R24-Q24+1))*K24*VLOOKUP(P24,'Tabelas Auxiliares'!$A$1:$C$400,3,FALSE),0)</f>
        <v>0</v>
      </c>
      <c r="AJ24" s="25">
        <f t="shared" si="2"/>
        <v>1050</v>
      </c>
      <c r="AK24" s="25">
        <f>IFS(
  O24="Acre",((W24*0.15)+(X24*0.7))*VLOOKUP(P24,'MunicípiosEstados'!$A$2:$B$23,2,FALSE),
  O24="Alagoas",((W24*0.15)+(X24*0.7))*VLOOKUP(P24,'MunicípiosEstados'!$C$2:$D$103,2,FALSE),
  O24="Amapá",((W24*0.15)+(X24*0.7))*VLOOKUP(P24,'MunicípiosEstados'!$E$2:$F$17,2,FALSE),
  O24="Amazonas",((W24*0.15)+(X24*0.7))*VLOOKUP(P24,'MunicípiosEstados'!$G$2:$H$63,2,FALSE),
  O24="Bahia",((W24*0.15)+(X24*0.7))*VLOOKUP(P24,'MunicípiosEstados'!$I$2:$J$418,2,FALSE),
  O24="Ceará",((W24*0.15)+(X24*0.7))*VLOOKUP(P24,'MunicípiosEstados'!$K$2:$L$185,2,FALSE),
  O24="Distrito Federal",((W24*0.15)+(X24*0.7))*VLOOKUP(P24,'MunicípiosEstados'!$M$2:$N$2,2,FALSE),
  O24="Espírito Santo",((W24*0.15)+(X24*0.7))*VLOOKUP(P24,'MunicípiosEstados'!$O$2:$P$79,2,FALSE),
  O24="Goiás",((W24*0.15)+(X24*0.7))*VLOOKUP(P24,'MunicípiosEstados'!$Q$2:$R$247,2,FALSE),
  O24="Maranhão",((W24*0.15)+(X24*0.7))*VLOOKUP(P24,'MunicípiosEstados'!$S$2:$T$218,2,FALSE),
  O24="Mato Grosso",((W24*0.15)+(X24*0.7))*VLOOKUP(P24,'MunicípiosEstados'!$U$2:$V$143,2,FALSE),
  O24="Mato Grosso do Sul",((W24*0.15)+(X24*0.7))*VLOOKUP(P24,'MunicípiosEstados'!$W$2:$X$80,2,FALSE),
  O24="Minas Gerais",((W24*0.15)+(X24*0.7))*VLOOKUP(P24,'MunicípiosEstados'!$Y$2:$Z$854,2,FALSE),
  O24="Pará",((W24*0.15)+(X24*0.7))*VLOOKUP(P24,'MunicípiosEstados'!$AA$2:$AB$145,2,FALSE),
  O24="Paraíba",((W24*0.15)+(X24*0.7))*VLOOKUP(P24,'MunicípiosEstados'!$AC$2:$AD$224,2,FALSE),
  O24="Paraná",((W24*0.15)+(X24*0.7))*VLOOKUP(P24,'MunicípiosEstados'!$AE$2:$AF$400,2,FALSE),
  O24="Pernambuco",((W24*0.15)+(X24*0.7))*VLOOKUP(P24,'MunicípiosEstados'!$AG$2:$AH$186,2,FALSE),
  O24="Piauí",((W24*0.15)+(X24*0.7))*VLOOKUP(P24,'MunicípiosEstados'!$AI$2:$AJ$225,2,FALSE),
  O24="Rio Grande do Norte",((W24*0.15)+(X24*0.7))*VLOOKUP(P24,'MunicípiosEstados'!$AK$2:$AL$168,2,FALSE),
  O24="Rio Grande do Sul",((W24*0.15)+(X24*0.7))*VLOOKUP(P24,'MunicípiosEstados'!$AM$2:$AN$498,2,FALSE),
  O24="Rio de Janeiro",((W24*0.15)+(X24*0.7))*VLOOKUP(P24,'MunicípiosEstados'!$AO$2:$AP$93,2,FALSE),
  O24="Rondônia",((W24*0.15)+(X24*0.7))*VLOOKUP(P24,'MunicípiosEstados'!$AQ$2:$AR$53,2,FALSE),
  O24="Roraima",((W24*0.15)+(X24*0.7))*VLOOKUP(P24,'MunicípiosEstados'!$AS$2:$AT$16,2,FALSE),
  O24="Santa Catarina",((W24*0.15)+(X24*0.7))*VLOOKUP(P24,'MunicípiosEstados'!$AU$2:$AV$296,2,FALSE),
  O24="São Paulo",((W24*0.15)+(X24*0.7))*VLOOKUP(P24,'MunicípiosEstados'!$AW$2:$AX$646,2,FALSE),
  O24="Sergipe",((W24*0.15)+(X24*0.7))*VLOOKUP(P24,'MunicípiosEstados'!$AY$2:$AZ$76,2,FALSE),
  O24="Tocantins",((W24*0.15)+(X24*0.7))*VLOOKUP(P24,'MunicípiosEstados'!$BA$2:$BB$140,2,FALSE),
  O24="Exterior",((W24*0.15)+(X24*0.7))*VLOOKUP(P24,'MunicípiosEstados'!$BC$2:$BE$221,3,FALSE),TRUE,0
)
</f>
        <v>2710.198</v>
      </c>
      <c r="AL24" s="25">
        <f t="shared" si="3"/>
        <v>4260.198</v>
      </c>
      <c r="AN24" s="35"/>
    </row>
    <row r="25" ht="22.5" hidden="1" customHeight="1">
      <c r="A25" s="15">
        <f t="shared" si="1"/>
        <v>24</v>
      </c>
      <c r="B25" s="16">
        <v>45973.47742299769</v>
      </c>
      <c r="C25" s="17" t="s">
        <v>607</v>
      </c>
      <c r="D25" s="27" t="s">
        <v>443</v>
      </c>
      <c r="E25" s="15" t="str">
        <f>VLOOKUP(G25,DiretoriaDepart.Coord.!$A$1:$C$72,2,FALSE)</f>
        <v>Extensão Rural</v>
      </c>
      <c r="F25" s="15" t="str">
        <f>VLOOKUP(G25,DiretoriaDepart.Coord.!$A$1:$C$72,3,FALSE)</f>
        <v>Projetos e Cadeias Produtivas</v>
      </c>
      <c r="G25" s="17" t="s">
        <v>608</v>
      </c>
      <c r="H25" s="15"/>
      <c r="I25" s="17" t="s">
        <v>609</v>
      </c>
      <c r="J25" s="17" t="s">
        <v>490</v>
      </c>
      <c r="K25" s="17">
        <v>8.0</v>
      </c>
      <c r="L25" s="15"/>
      <c r="M25" s="17" t="s">
        <v>610</v>
      </c>
      <c r="N25" s="17">
        <v>0.0</v>
      </c>
      <c r="O25" s="17" t="s">
        <v>611</v>
      </c>
      <c r="P25" s="17" t="s">
        <v>612</v>
      </c>
      <c r="Q25" s="20">
        <v>45887.333333333336</v>
      </c>
      <c r="R25" s="20">
        <v>45889.75</v>
      </c>
      <c r="S25" s="17" t="s">
        <v>464</v>
      </c>
      <c r="T25" s="17" t="s">
        <v>452</v>
      </c>
      <c r="U25" s="30" t="s">
        <v>613</v>
      </c>
      <c r="V25" s="30" t="s">
        <v>614</v>
      </c>
      <c r="W25" s="22">
        <v>80.0</v>
      </c>
      <c r="X25" s="22">
        <v>40.0</v>
      </c>
      <c r="Y25" s="23">
        <v>5000.0</v>
      </c>
      <c r="Z25" s="23">
        <v>0.0</v>
      </c>
      <c r="AA25" s="24">
        <v>35000.0</v>
      </c>
      <c r="AB25" s="24">
        <v>0.0</v>
      </c>
      <c r="AC25" s="24">
        <v>3500.0</v>
      </c>
      <c r="AD25" s="23">
        <v>0.0</v>
      </c>
      <c r="AE25" s="24">
        <v>0.0</v>
      </c>
      <c r="AF25" s="17" t="s">
        <v>451</v>
      </c>
      <c r="AG25" s="17">
        <v>2000.0</v>
      </c>
      <c r="AH25" s="17" t="s">
        <v>464</v>
      </c>
      <c r="AI25" s="25">
        <f>IF(AF25="Sim",INT((R25-Q25+1))*K25*VLOOKUP(P25,'Tabelas Auxiliares'!$A$1:$C$400,3,FALSE),0)</f>
        <v>0</v>
      </c>
      <c r="AJ25" s="25">
        <f t="shared" si="2"/>
        <v>1400</v>
      </c>
      <c r="AK25" s="25">
        <f>IFS(
  O25="Acre",((W25*0.15)+(X25*0.7))*VLOOKUP(P25,'MunicípiosEstados'!$A$2:$B$23,2,FALSE),
  O25="Alagoas",((W25*0.15)+(X25*0.7))*VLOOKUP(P25,'MunicípiosEstados'!$C$2:$D$103,2,FALSE),
  O25="Amapá",((W25*0.15)+(X25*0.7))*VLOOKUP(P25,'MunicípiosEstados'!$E$2:$F$17,2,FALSE),
  O25="Amazonas",((W25*0.15)+(X25*0.7))*VLOOKUP(P25,'MunicípiosEstados'!$G$2:$H$63,2,FALSE),
  O25="Bahia",((W25*0.15)+(X25*0.7))*VLOOKUP(P25,'MunicípiosEstados'!$I$2:$J$418,2,FALSE),
  O25="Ceará",((W25*0.15)+(X25*0.7))*VLOOKUP(P25,'MunicípiosEstados'!$K$2:$L$185,2,FALSE),
  O25="Distrito Federal",((W25*0.15)+(X25*0.7))*VLOOKUP(P25,'MunicípiosEstados'!$M$2:$N$2,2,FALSE),
  O25="Espírito Santo",((W25*0.15)+(X25*0.7))*VLOOKUP(P25,'MunicípiosEstados'!$O$2:$P$79,2,FALSE),
  O25="Goiás",((W25*0.15)+(X25*0.7))*VLOOKUP(P25,'MunicípiosEstados'!$Q$2:$R$247,2,FALSE),
  O25="Maranhão",((W25*0.15)+(X25*0.7))*VLOOKUP(P25,'MunicípiosEstados'!$S$2:$T$218,2,FALSE),
  O25="Mato Grosso",((W25*0.15)+(X25*0.7))*VLOOKUP(P25,'MunicípiosEstados'!$U$2:$V$143,2,FALSE),
  O25="Mato Grosso do Sul",((W25*0.15)+(X25*0.7))*VLOOKUP(P25,'MunicípiosEstados'!$W$2:$X$80,2,FALSE),
  O25="Minas Gerais",((W25*0.15)+(X25*0.7))*VLOOKUP(P25,'MunicípiosEstados'!$Y$2:$Z$854,2,FALSE),
  O25="Pará",((W25*0.15)+(X25*0.7))*VLOOKUP(P25,'MunicípiosEstados'!$AA$2:$AB$145,2,FALSE),
  O25="Paraíba",((W25*0.15)+(X25*0.7))*VLOOKUP(P25,'MunicípiosEstados'!$AC$2:$AD$224,2,FALSE),
  O25="Paraná",((W25*0.15)+(X25*0.7))*VLOOKUP(P25,'MunicípiosEstados'!$AE$2:$AF$400,2,FALSE),
  O25="Pernambuco",((W25*0.15)+(X25*0.7))*VLOOKUP(P25,'MunicípiosEstados'!$AG$2:$AH$186,2,FALSE),
  O25="Piauí",((W25*0.15)+(X25*0.7))*VLOOKUP(P25,'MunicípiosEstados'!$AI$2:$AJ$225,2,FALSE),
  O25="Rio Grande do Norte",((W25*0.15)+(X25*0.7))*VLOOKUP(P25,'MunicípiosEstados'!$AK$2:$AL$168,2,FALSE),
  O25="Rio Grande do Sul",((W25*0.15)+(X25*0.7))*VLOOKUP(P25,'MunicípiosEstados'!$AM$2:$AN$498,2,FALSE),
  O25="Rio de Janeiro",((W25*0.15)+(X25*0.7))*VLOOKUP(P25,'MunicípiosEstados'!$AO$2:$AP$93,2,FALSE),
  O25="Rondônia",((W25*0.15)+(X25*0.7))*VLOOKUP(P25,'MunicípiosEstados'!$AQ$2:$AR$53,2,FALSE),
  O25="Roraima",((W25*0.15)+(X25*0.7))*VLOOKUP(P25,'MunicípiosEstados'!$AS$2:$AT$16,2,FALSE),
  O25="Santa Catarina",((W25*0.15)+(X25*0.7))*VLOOKUP(P25,'MunicípiosEstados'!$AU$2:$AV$296,2,FALSE),
  O25="São Paulo",((W25*0.15)+(X25*0.7))*VLOOKUP(P25,'MunicípiosEstados'!$AW$2:$AX$646,2,FALSE),
  O25="Sergipe",((W25*0.15)+(X25*0.7))*VLOOKUP(P25,'MunicípiosEstados'!$AY$2:$AZ$76,2,FALSE),
  O25="Tocantins",((W25*0.15)+(X25*0.7))*VLOOKUP(P25,'MunicípiosEstados'!$BA$2:$BB$140,2,FALSE),
  O25="Exterior",((W25*0.15)+(X25*0.7))*VLOOKUP(P25,'MunicípiosEstados'!$BC$2:$BE$221,3,FALSE),TRUE,0
)
</f>
        <v>11622</v>
      </c>
      <c r="AL25" s="25">
        <f t="shared" si="3"/>
        <v>56522</v>
      </c>
    </row>
    <row r="26" ht="22.5" hidden="1" customHeight="1">
      <c r="A26" s="15">
        <f t="shared" si="1"/>
        <v>25</v>
      </c>
      <c r="B26" s="16">
        <v>45978.63450138889</v>
      </c>
      <c r="C26" s="17" t="s">
        <v>522</v>
      </c>
      <c r="D26" s="27" t="s">
        <v>443</v>
      </c>
      <c r="E26" s="15" t="str">
        <f>VLOOKUP(G26,DiretoriaDepart.Coord.!$A$1:$C$72,2,FALSE)</f>
        <v>Pesquisa e Inovação</v>
      </c>
      <c r="F26" s="15" t="str">
        <f>VLOOKUP(G26,DiretoriaDepart.Coord.!$A$1:$C$72,3,FALSE)</f>
        <v>Pesquisa e Capacitação</v>
      </c>
      <c r="G26" s="17" t="s">
        <v>523</v>
      </c>
      <c r="H26" s="15"/>
      <c r="I26" s="17" t="s">
        <v>615</v>
      </c>
      <c r="J26" s="17" t="s">
        <v>490</v>
      </c>
      <c r="K26" s="17">
        <v>1.0</v>
      </c>
      <c r="L26" s="17" t="s">
        <v>525</v>
      </c>
      <c r="M26" s="17" t="s">
        <v>616</v>
      </c>
      <c r="N26" s="17">
        <v>350.0</v>
      </c>
      <c r="O26" s="17" t="s">
        <v>611</v>
      </c>
      <c r="P26" s="17" t="s">
        <v>617</v>
      </c>
      <c r="Q26" s="20">
        <v>45797.333333333336</v>
      </c>
      <c r="R26" s="20">
        <v>45800.75</v>
      </c>
      <c r="S26" s="17" t="s">
        <v>464</v>
      </c>
      <c r="T26" s="17" t="s">
        <v>452</v>
      </c>
      <c r="U26" s="30" t="s">
        <v>618</v>
      </c>
      <c r="V26" s="30" t="s">
        <v>619</v>
      </c>
      <c r="W26" s="22">
        <v>10.0</v>
      </c>
      <c r="X26" s="22">
        <v>5.0</v>
      </c>
      <c r="Y26" s="23">
        <v>800.0</v>
      </c>
      <c r="Z26" s="23">
        <v>200.0</v>
      </c>
      <c r="AA26" s="24">
        <v>1700.0</v>
      </c>
      <c r="AB26" s="24">
        <v>320.0</v>
      </c>
      <c r="AC26" s="24">
        <v>200.0</v>
      </c>
      <c r="AD26" s="23">
        <v>0.0</v>
      </c>
      <c r="AE26" s="24">
        <v>0.0</v>
      </c>
      <c r="AF26" s="17" t="s">
        <v>451</v>
      </c>
      <c r="AG26" s="17">
        <v>0.0</v>
      </c>
      <c r="AH26" s="17" t="s">
        <v>451</v>
      </c>
      <c r="AI26" s="25">
        <f>IF(AF26="Sim",INT((R26-Q26+1))*K26*VLOOKUP(P26,'Tabelas Auxiliares'!$A$1:$C$400,3,FALSE),0)</f>
        <v>0</v>
      </c>
      <c r="AJ26" s="25">
        <f t="shared" si="2"/>
        <v>0</v>
      </c>
      <c r="AK26" s="25">
        <f>IFS(
  O26="Acre",((W26*0.15)+(X26*0.7))*VLOOKUP(P26,'MunicípiosEstados'!$A$2:$B$23,2,FALSE),
  O26="Alagoas",((W26*0.15)+(X26*0.7))*VLOOKUP(P26,'MunicípiosEstados'!$C$2:$D$103,2,FALSE),
  O26="Amapá",((W26*0.15)+(X26*0.7))*VLOOKUP(P26,'MunicípiosEstados'!$E$2:$F$17,2,FALSE),
  O26="Amazonas",((W26*0.15)+(X26*0.7))*VLOOKUP(P26,'MunicípiosEstados'!$G$2:$H$63,2,FALSE),
  O26="Bahia",((W26*0.15)+(X26*0.7))*VLOOKUP(P26,'MunicípiosEstados'!$I$2:$J$418,2,FALSE),
  O26="Ceará",((W26*0.15)+(X26*0.7))*VLOOKUP(P26,'MunicípiosEstados'!$K$2:$L$185,2,FALSE),
  O26="Distrito Federal",((W26*0.15)+(X26*0.7))*VLOOKUP(P26,'MunicípiosEstados'!$M$2:$N$2,2,FALSE),
  O26="Espírito Santo",((W26*0.15)+(X26*0.7))*VLOOKUP(P26,'MunicípiosEstados'!$O$2:$P$79,2,FALSE),
  O26="Goiás",((W26*0.15)+(X26*0.7))*VLOOKUP(P26,'MunicípiosEstados'!$Q$2:$R$247,2,FALSE),
  O26="Maranhão",((W26*0.15)+(X26*0.7))*VLOOKUP(P26,'MunicípiosEstados'!$S$2:$T$218,2,FALSE),
  O26="Mato Grosso",((W26*0.15)+(X26*0.7))*VLOOKUP(P26,'MunicípiosEstados'!$U$2:$V$143,2,FALSE),
  O26="Mato Grosso do Sul",((W26*0.15)+(X26*0.7))*VLOOKUP(P26,'MunicípiosEstados'!$W$2:$X$80,2,FALSE),
  O26="Minas Gerais",((W26*0.15)+(X26*0.7))*VLOOKUP(P26,'MunicípiosEstados'!$Y$2:$Z$854,2,FALSE),
  O26="Pará",((W26*0.15)+(X26*0.7))*VLOOKUP(P26,'MunicípiosEstados'!$AA$2:$AB$145,2,FALSE),
  O26="Paraíba",((W26*0.15)+(X26*0.7))*VLOOKUP(P26,'MunicípiosEstados'!$AC$2:$AD$224,2,FALSE),
  O26="Paraná",((W26*0.15)+(X26*0.7))*VLOOKUP(P26,'MunicípiosEstados'!$AE$2:$AF$400,2,FALSE),
  O26="Pernambuco",((W26*0.15)+(X26*0.7))*VLOOKUP(P26,'MunicípiosEstados'!$AG$2:$AH$186,2,FALSE),
  O26="Piauí",((W26*0.15)+(X26*0.7))*VLOOKUP(P26,'MunicípiosEstados'!$AI$2:$AJ$225,2,FALSE),
  O26="Rio Grande do Norte",((W26*0.15)+(X26*0.7))*VLOOKUP(P26,'MunicípiosEstados'!$AK$2:$AL$168,2,FALSE),
  O26="Rio Grande do Sul",((W26*0.15)+(X26*0.7))*VLOOKUP(P26,'MunicípiosEstados'!$AM$2:$AN$498,2,FALSE),
  O26="Rio de Janeiro",((W26*0.15)+(X26*0.7))*VLOOKUP(P26,'MunicípiosEstados'!$AO$2:$AP$93,2,FALSE),
  O26="Rondônia",((W26*0.15)+(X26*0.7))*VLOOKUP(P26,'MunicípiosEstados'!$AQ$2:$AR$53,2,FALSE),
  O26="Roraima",((W26*0.15)+(X26*0.7))*VLOOKUP(P26,'MunicípiosEstados'!$AS$2:$AT$16,2,FALSE),
  O26="Santa Catarina",((W26*0.15)+(X26*0.7))*VLOOKUP(P26,'MunicípiosEstados'!$AU$2:$AV$296,2,FALSE),
  O26="São Paulo",((W26*0.15)+(X26*0.7))*VLOOKUP(P26,'MunicípiosEstados'!$AW$2:$AX$646,2,FALSE),
  O26="Sergipe",((W26*0.15)+(X26*0.7))*VLOOKUP(P26,'MunicípiosEstados'!$AY$2:$AZ$76,2,FALSE),
  O26="Tocantins",((W26*0.15)+(X26*0.7))*VLOOKUP(P26,'MunicípiosEstados'!$BA$2:$BB$140,2,FALSE),
  O26="Exterior",((W26*0.15)+(X26*0.7))*VLOOKUP(P26,'MunicípiosEstados'!$BC$2:$BE$221,3,FALSE),TRUE,0
)
</f>
        <v>1452.75</v>
      </c>
      <c r="AL26" s="25">
        <f t="shared" si="3"/>
        <v>4672.75</v>
      </c>
      <c r="AN26" s="35"/>
    </row>
    <row r="27" ht="22.5" hidden="1" customHeight="1">
      <c r="A27" s="15">
        <f t="shared" si="1"/>
        <v>26</v>
      </c>
      <c r="B27" s="16">
        <v>45978.64218653935</v>
      </c>
      <c r="C27" s="17" t="s">
        <v>531</v>
      </c>
      <c r="D27" s="27" t="s">
        <v>443</v>
      </c>
      <c r="E27" s="15" t="str">
        <f>VLOOKUP(G27,DiretoriaDepart.Coord.!$A$1:$C$72,2,FALSE)</f>
        <v>Pesquisa e Inovação</v>
      </c>
      <c r="F27" s="15" t="str">
        <f>VLOOKUP(G27,DiretoriaDepart.Coord.!$A$1:$C$72,3,FALSE)</f>
        <v>Pesquisa e Capacitação</v>
      </c>
      <c r="G27" s="17" t="s">
        <v>523</v>
      </c>
      <c r="H27" s="15"/>
      <c r="I27" s="17" t="s">
        <v>620</v>
      </c>
      <c r="J27" s="17" t="s">
        <v>490</v>
      </c>
      <c r="K27" s="17">
        <v>1.0</v>
      </c>
      <c r="L27" s="15"/>
      <c r="M27" s="17" t="s">
        <v>621</v>
      </c>
      <c r="N27" s="17">
        <v>2000.0</v>
      </c>
      <c r="O27" s="17" t="s">
        <v>611</v>
      </c>
      <c r="P27" s="17" t="s">
        <v>617</v>
      </c>
      <c r="Q27" s="20">
        <v>45797.333333333336</v>
      </c>
      <c r="R27" s="20">
        <v>45800.75</v>
      </c>
      <c r="S27" s="17" t="s">
        <v>464</v>
      </c>
      <c r="T27" s="17" t="s">
        <v>452</v>
      </c>
      <c r="U27" s="30" t="s">
        <v>622</v>
      </c>
      <c r="V27" s="30" t="s">
        <v>623</v>
      </c>
      <c r="W27" s="22">
        <v>7.0</v>
      </c>
      <c r="X27" s="22">
        <v>4.0</v>
      </c>
      <c r="Y27" s="23">
        <v>600.0</v>
      </c>
      <c r="Z27" s="23">
        <v>0.0</v>
      </c>
      <c r="AA27" s="24">
        <v>1700.0</v>
      </c>
      <c r="AB27" s="24">
        <v>316.6</v>
      </c>
      <c r="AC27" s="24">
        <v>200.0</v>
      </c>
      <c r="AD27" s="23">
        <v>0.0</v>
      </c>
      <c r="AE27" s="24">
        <v>0.0</v>
      </c>
      <c r="AF27" s="17" t="s">
        <v>451</v>
      </c>
      <c r="AG27" s="17">
        <v>0.0</v>
      </c>
      <c r="AH27" s="17" t="s">
        <v>451</v>
      </c>
      <c r="AI27" s="25">
        <f>IF(AF27="Sim",INT((R27-Q27+1))*K27*VLOOKUP(P27,'Tabelas Auxiliares'!$A$1:$C$400,3,FALSE),0)</f>
        <v>0</v>
      </c>
      <c r="AJ27" s="25">
        <f t="shared" si="2"/>
        <v>0</v>
      </c>
      <c r="AK27" s="25">
        <f>IFS(
  O27="Acre",((W27*0.15)+(X27*0.7))*VLOOKUP(P27,'MunicípiosEstados'!$A$2:$B$23,2,FALSE),
  O27="Alagoas",((W27*0.15)+(X27*0.7))*VLOOKUP(P27,'MunicípiosEstados'!$C$2:$D$103,2,FALSE),
  O27="Amapá",((W27*0.15)+(X27*0.7))*VLOOKUP(P27,'MunicípiosEstados'!$E$2:$F$17,2,FALSE),
  O27="Amazonas",((W27*0.15)+(X27*0.7))*VLOOKUP(P27,'MunicípiosEstados'!$G$2:$H$63,2,FALSE),
  O27="Bahia",((W27*0.15)+(X27*0.7))*VLOOKUP(P27,'MunicípiosEstados'!$I$2:$J$418,2,FALSE),
  O27="Ceará",((W27*0.15)+(X27*0.7))*VLOOKUP(P27,'MunicípiosEstados'!$K$2:$L$185,2,FALSE),
  O27="Distrito Federal",((W27*0.15)+(X27*0.7))*VLOOKUP(P27,'MunicípiosEstados'!$M$2:$N$2,2,FALSE),
  O27="Espírito Santo",((W27*0.15)+(X27*0.7))*VLOOKUP(P27,'MunicípiosEstados'!$O$2:$P$79,2,FALSE),
  O27="Goiás",((W27*0.15)+(X27*0.7))*VLOOKUP(P27,'MunicípiosEstados'!$Q$2:$R$247,2,FALSE),
  O27="Maranhão",((W27*0.15)+(X27*0.7))*VLOOKUP(P27,'MunicípiosEstados'!$S$2:$T$218,2,FALSE),
  O27="Mato Grosso",((W27*0.15)+(X27*0.7))*VLOOKUP(P27,'MunicípiosEstados'!$U$2:$V$143,2,FALSE),
  O27="Mato Grosso do Sul",((W27*0.15)+(X27*0.7))*VLOOKUP(P27,'MunicípiosEstados'!$W$2:$X$80,2,FALSE),
  O27="Minas Gerais",((W27*0.15)+(X27*0.7))*VLOOKUP(P27,'MunicípiosEstados'!$Y$2:$Z$854,2,FALSE),
  O27="Pará",((W27*0.15)+(X27*0.7))*VLOOKUP(P27,'MunicípiosEstados'!$AA$2:$AB$145,2,FALSE),
  O27="Paraíba",((W27*0.15)+(X27*0.7))*VLOOKUP(P27,'MunicípiosEstados'!$AC$2:$AD$224,2,FALSE),
  O27="Paraná",((W27*0.15)+(X27*0.7))*VLOOKUP(P27,'MunicípiosEstados'!$AE$2:$AF$400,2,FALSE),
  O27="Pernambuco",((W27*0.15)+(X27*0.7))*VLOOKUP(P27,'MunicípiosEstados'!$AG$2:$AH$186,2,FALSE),
  O27="Piauí",((W27*0.15)+(X27*0.7))*VLOOKUP(P27,'MunicípiosEstados'!$AI$2:$AJ$225,2,FALSE),
  O27="Rio Grande do Norte",((W27*0.15)+(X27*0.7))*VLOOKUP(P27,'MunicípiosEstados'!$AK$2:$AL$168,2,FALSE),
  O27="Rio Grande do Sul",((W27*0.15)+(X27*0.7))*VLOOKUP(P27,'MunicípiosEstados'!$AM$2:$AN$498,2,FALSE),
  O27="Rio de Janeiro",((W27*0.15)+(X27*0.7))*VLOOKUP(P27,'MunicípiosEstados'!$AO$2:$AP$93,2,FALSE),
  O27="Rondônia",((W27*0.15)+(X27*0.7))*VLOOKUP(P27,'MunicípiosEstados'!$AQ$2:$AR$53,2,FALSE),
  O27="Roraima",((W27*0.15)+(X27*0.7))*VLOOKUP(P27,'MunicípiosEstados'!$AS$2:$AT$16,2,FALSE),
  O27="Santa Catarina",((W27*0.15)+(X27*0.7))*VLOOKUP(P27,'MunicípiosEstados'!$AU$2:$AV$296,2,FALSE),
  O27="São Paulo",((W27*0.15)+(X27*0.7))*VLOOKUP(P27,'MunicípiosEstados'!$AW$2:$AX$646,2,FALSE),
  O27="Sergipe",((W27*0.15)+(X27*0.7))*VLOOKUP(P27,'MunicípiosEstados'!$AY$2:$AZ$76,2,FALSE),
  O27="Tocantins",((W27*0.15)+(X27*0.7))*VLOOKUP(P27,'MunicípiosEstados'!$BA$2:$BB$140,2,FALSE),
  O27="Exterior",((W27*0.15)+(X27*0.7))*VLOOKUP(P27,'MunicípiosEstados'!$BC$2:$BE$221,3,FALSE),TRUE,0
)
</f>
        <v>1118.6175</v>
      </c>
      <c r="AL27" s="25">
        <f t="shared" si="3"/>
        <v>3935.2175</v>
      </c>
      <c r="AN27" s="35"/>
    </row>
    <row r="28" ht="22.5" hidden="1" customHeight="1">
      <c r="A28" s="15">
        <f t="shared" si="1"/>
        <v>27</v>
      </c>
      <c r="B28" s="16">
        <v>45978.64318466435</v>
      </c>
      <c r="C28" s="17" t="s">
        <v>522</v>
      </c>
      <c r="D28" s="27" t="s">
        <v>443</v>
      </c>
      <c r="E28" s="15" t="str">
        <f>VLOOKUP(G28,DiretoriaDepart.Coord.!$A$1:$C$72,2,FALSE)</f>
        <v>Pesquisa e Inovação</v>
      </c>
      <c r="F28" s="15" t="str">
        <f>VLOOKUP(G28,DiretoriaDepart.Coord.!$A$1:$C$72,3,FALSE)</f>
        <v>Pesquisa e Capacitação</v>
      </c>
      <c r="G28" s="17" t="s">
        <v>523</v>
      </c>
      <c r="H28" s="15"/>
      <c r="I28" s="17" t="s">
        <v>624</v>
      </c>
      <c r="J28" s="17" t="s">
        <v>490</v>
      </c>
      <c r="K28" s="17">
        <v>1.0</v>
      </c>
      <c r="L28" s="17" t="s">
        <v>525</v>
      </c>
      <c r="M28" s="17" t="s">
        <v>625</v>
      </c>
      <c r="N28" s="17">
        <v>500.0</v>
      </c>
      <c r="O28" s="17" t="s">
        <v>611</v>
      </c>
      <c r="P28" s="17" t="s">
        <v>626</v>
      </c>
      <c r="Q28" s="20">
        <v>45865.333333333336</v>
      </c>
      <c r="R28" s="20">
        <v>45869.75</v>
      </c>
      <c r="S28" s="17" t="s">
        <v>464</v>
      </c>
      <c r="T28" s="17" t="s">
        <v>452</v>
      </c>
      <c r="U28" s="30" t="s">
        <v>627</v>
      </c>
      <c r="V28" s="30" t="s">
        <v>628</v>
      </c>
      <c r="W28" s="22">
        <v>10.0</v>
      </c>
      <c r="X28" s="22">
        <v>6.0</v>
      </c>
      <c r="Y28" s="23">
        <v>800.0</v>
      </c>
      <c r="Z28" s="23">
        <v>200.0</v>
      </c>
      <c r="AA28" s="24">
        <v>1500.0</v>
      </c>
      <c r="AB28" s="24">
        <v>130.0</v>
      </c>
      <c r="AC28" s="24">
        <v>100.0</v>
      </c>
      <c r="AD28" s="23">
        <v>0.0</v>
      </c>
      <c r="AE28" s="24">
        <v>0.0</v>
      </c>
      <c r="AF28" s="17" t="s">
        <v>451</v>
      </c>
      <c r="AG28" s="17">
        <v>0.0</v>
      </c>
      <c r="AH28" s="17" t="s">
        <v>451</v>
      </c>
      <c r="AI28" s="25">
        <f>IF(AF28="Sim",INT((R28-Q28+1))*K28*VLOOKUP(P28,'Tabelas Auxiliares'!$A$1:$C$400,3,FALSE),0)</f>
        <v>0</v>
      </c>
      <c r="AJ28" s="25">
        <f t="shared" si="2"/>
        <v>0</v>
      </c>
      <c r="AK28" s="25">
        <f>IFS(
  O28="Acre",((W28*0.15)+(X28*0.7))*VLOOKUP(P28,'MunicípiosEstados'!$A$2:$B$23,2,FALSE),
  O28="Alagoas",((W28*0.15)+(X28*0.7))*VLOOKUP(P28,'MunicípiosEstados'!$C$2:$D$103,2,FALSE),
  O28="Amapá",((W28*0.15)+(X28*0.7))*VLOOKUP(P28,'MunicípiosEstados'!$E$2:$F$17,2,FALSE),
  O28="Amazonas",((W28*0.15)+(X28*0.7))*VLOOKUP(P28,'MunicípiosEstados'!$G$2:$H$63,2,FALSE),
  O28="Bahia",((W28*0.15)+(X28*0.7))*VLOOKUP(P28,'MunicípiosEstados'!$I$2:$J$418,2,FALSE),
  O28="Ceará",((W28*0.15)+(X28*0.7))*VLOOKUP(P28,'MunicípiosEstados'!$K$2:$L$185,2,FALSE),
  O28="Distrito Federal",((W28*0.15)+(X28*0.7))*VLOOKUP(P28,'MunicípiosEstados'!$M$2:$N$2,2,FALSE),
  O28="Espírito Santo",((W28*0.15)+(X28*0.7))*VLOOKUP(P28,'MunicípiosEstados'!$O$2:$P$79,2,FALSE),
  O28="Goiás",((W28*0.15)+(X28*0.7))*VLOOKUP(P28,'MunicípiosEstados'!$Q$2:$R$247,2,FALSE),
  O28="Maranhão",((W28*0.15)+(X28*0.7))*VLOOKUP(P28,'MunicípiosEstados'!$S$2:$T$218,2,FALSE),
  O28="Mato Grosso",((W28*0.15)+(X28*0.7))*VLOOKUP(P28,'MunicípiosEstados'!$U$2:$V$143,2,FALSE),
  O28="Mato Grosso do Sul",((W28*0.15)+(X28*0.7))*VLOOKUP(P28,'MunicípiosEstados'!$W$2:$X$80,2,FALSE),
  O28="Minas Gerais",((W28*0.15)+(X28*0.7))*VLOOKUP(P28,'MunicípiosEstados'!$Y$2:$Z$854,2,FALSE),
  O28="Pará",((W28*0.15)+(X28*0.7))*VLOOKUP(P28,'MunicípiosEstados'!$AA$2:$AB$145,2,FALSE),
  O28="Paraíba",((W28*0.15)+(X28*0.7))*VLOOKUP(P28,'MunicípiosEstados'!$AC$2:$AD$224,2,FALSE),
  O28="Paraná",((W28*0.15)+(X28*0.7))*VLOOKUP(P28,'MunicípiosEstados'!$AE$2:$AF$400,2,FALSE),
  O28="Pernambuco",((W28*0.15)+(X28*0.7))*VLOOKUP(P28,'MunicípiosEstados'!$AG$2:$AH$186,2,FALSE),
  O28="Piauí",((W28*0.15)+(X28*0.7))*VLOOKUP(P28,'MunicípiosEstados'!$AI$2:$AJ$225,2,FALSE),
  O28="Rio Grande do Norte",((W28*0.15)+(X28*0.7))*VLOOKUP(P28,'MunicípiosEstados'!$AK$2:$AL$168,2,FALSE),
  O28="Rio Grande do Sul",((W28*0.15)+(X28*0.7))*VLOOKUP(P28,'MunicípiosEstados'!$AM$2:$AN$498,2,FALSE),
  O28="Rio de Janeiro",((W28*0.15)+(X28*0.7))*VLOOKUP(P28,'MunicípiosEstados'!$AO$2:$AP$93,2,FALSE),
  O28="Rondônia",((W28*0.15)+(X28*0.7))*VLOOKUP(P28,'MunicípiosEstados'!$AQ$2:$AR$53,2,FALSE),
  O28="Roraima",((W28*0.15)+(X28*0.7))*VLOOKUP(P28,'MunicípiosEstados'!$AS$2:$AT$16,2,FALSE),
  O28="Santa Catarina",((W28*0.15)+(X28*0.7))*VLOOKUP(P28,'MunicípiosEstados'!$AU$2:$AV$296,2,FALSE),
  O28="São Paulo",((W28*0.15)+(X28*0.7))*VLOOKUP(P28,'MunicípiosEstados'!$AW$2:$AX$646,2,FALSE),
  O28="Sergipe",((W28*0.15)+(X28*0.7))*VLOOKUP(P28,'MunicípiosEstados'!$AY$2:$AZ$76,2,FALSE),
  O28="Tocantins",((W28*0.15)+(X28*0.7))*VLOOKUP(P28,'MunicípiosEstados'!$BA$2:$BB$140,2,FALSE),
  O28="Exterior",((W28*0.15)+(X28*0.7))*VLOOKUP(P28,'MunicípiosEstados'!$BC$2:$BE$221,3,FALSE),TRUE,0
)
</f>
        <v>1656.135</v>
      </c>
      <c r="AL28" s="25">
        <f t="shared" si="3"/>
        <v>4386.135</v>
      </c>
      <c r="AN28" s="35"/>
    </row>
    <row r="29" ht="22.5" hidden="1" customHeight="1">
      <c r="A29" s="15">
        <f t="shared" si="1"/>
        <v>28</v>
      </c>
      <c r="B29" s="16">
        <v>45979.46130085648</v>
      </c>
      <c r="C29" s="17" t="s">
        <v>629</v>
      </c>
      <c r="D29" s="27" t="s">
        <v>443</v>
      </c>
      <c r="E29" s="15" t="str">
        <f>VLOOKUP(G29,DiretoriaDepart.Coord.!$A$1:$C$72,2,FALSE)</f>
        <v>Pesquisa e Inovação</v>
      </c>
      <c r="F29" s="15" t="str">
        <f>VLOOKUP(G29,DiretoriaDepart.Coord.!$A$1:$C$72,3,FALSE)</f>
        <v>Pesquisa e Capacitação</v>
      </c>
      <c r="G29" s="17" t="s">
        <v>630</v>
      </c>
      <c r="H29" s="15"/>
      <c r="I29" s="17" t="s">
        <v>631</v>
      </c>
      <c r="J29" s="17" t="s">
        <v>490</v>
      </c>
      <c r="K29" s="17">
        <v>1.0</v>
      </c>
      <c r="L29" s="17" t="s">
        <v>632</v>
      </c>
      <c r="M29" s="17" t="s">
        <v>633</v>
      </c>
      <c r="N29" s="17">
        <v>0.0</v>
      </c>
      <c r="O29" s="17" t="s">
        <v>611</v>
      </c>
      <c r="P29" s="17" t="s">
        <v>634</v>
      </c>
      <c r="Q29" s="20">
        <v>45957.333333333336</v>
      </c>
      <c r="R29" s="20">
        <v>45961.708333333336</v>
      </c>
      <c r="S29" s="17" t="s">
        <v>451</v>
      </c>
      <c r="T29" s="17" t="s">
        <v>452</v>
      </c>
      <c r="U29" s="30" t="s">
        <v>635</v>
      </c>
      <c r="V29" s="30" t="s">
        <v>636</v>
      </c>
      <c r="W29" s="22">
        <v>12.0</v>
      </c>
      <c r="X29" s="22">
        <v>6.0</v>
      </c>
      <c r="Y29" s="23">
        <v>200.0</v>
      </c>
      <c r="Z29" s="23">
        <v>0.0</v>
      </c>
      <c r="AA29" s="24">
        <v>0.0</v>
      </c>
      <c r="AB29" s="24">
        <v>0.0</v>
      </c>
      <c r="AC29" s="24">
        <v>0.0</v>
      </c>
      <c r="AD29" s="23">
        <v>200.0</v>
      </c>
      <c r="AE29" s="24">
        <v>0.0</v>
      </c>
      <c r="AF29" s="17" t="s">
        <v>451</v>
      </c>
      <c r="AG29" s="17">
        <v>1300.0</v>
      </c>
      <c r="AH29" s="17" t="s">
        <v>464</v>
      </c>
      <c r="AI29" s="25">
        <f>IF(AF29="Sim",INT((R29-Q29+1))*K29*VLOOKUP(P29,'Tabelas Auxiliares'!$A$1:$C$400,3,FALSE),0)</f>
        <v>0</v>
      </c>
      <c r="AJ29" s="25">
        <f t="shared" si="2"/>
        <v>910</v>
      </c>
      <c r="AK29" s="25">
        <f>IFS(
  O29="Acre",((W29*0.15)+(X29*0.7))*VLOOKUP(P29,'MunicípiosEstados'!$A$2:$B$23,2,FALSE),
  O29="Alagoas",((W29*0.15)+(X29*0.7))*VLOOKUP(P29,'MunicípiosEstados'!$C$2:$D$103,2,FALSE),
  O29="Amapá",((W29*0.15)+(X29*0.7))*VLOOKUP(P29,'MunicípiosEstados'!$E$2:$F$17,2,FALSE),
  O29="Amazonas",((W29*0.15)+(X29*0.7))*VLOOKUP(P29,'MunicípiosEstados'!$G$2:$H$63,2,FALSE),
  O29="Bahia",((W29*0.15)+(X29*0.7))*VLOOKUP(P29,'MunicípiosEstados'!$I$2:$J$418,2,FALSE),
  O29="Ceará",((W29*0.15)+(X29*0.7))*VLOOKUP(P29,'MunicípiosEstados'!$K$2:$L$185,2,FALSE),
  O29="Distrito Federal",((W29*0.15)+(X29*0.7))*VLOOKUP(P29,'MunicípiosEstados'!$M$2:$N$2,2,FALSE),
  O29="Espírito Santo",((W29*0.15)+(X29*0.7))*VLOOKUP(P29,'MunicípiosEstados'!$O$2:$P$79,2,FALSE),
  O29="Goiás",((W29*0.15)+(X29*0.7))*VLOOKUP(P29,'MunicípiosEstados'!$Q$2:$R$247,2,FALSE),
  O29="Maranhão",((W29*0.15)+(X29*0.7))*VLOOKUP(P29,'MunicípiosEstados'!$S$2:$T$218,2,FALSE),
  O29="Mato Grosso",((W29*0.15)+(X29*0.7))*VLOOKUP(P29,'MunicípiosEstados'!$U$2:$V$143,2,FALSE),
  O29="Mato Grosso do Sul",((W29*0.15)+(X29*0.7))*VLOOKUP(P29,'MunicípiosEstados'!$W$2:$X$80,2,FALSE),
  O29="Minas Gerais",((W29*0.15)+(X29*0.7))*VLOOKUP(P29,'MunicípiosEstados'!$Y$2:$Z$854,2,FALSE),
  O29="Pará",((W29*0.15)+(X29*0.7))*VLOOKUP(P29,'MunicípiosEstados'!$AA$2:$AB$145,2,FALSE),
  O29="Paraíba",((W29*0.15)+(X29*0.7))*VLOOKUP(P29,'MunicípiosEstados'!$AC$2:$AD$224,2,FALSE),
  O29="Paraná",((W29*0.15)+(X29*0.7))*VLOOKUP(P29,'MunicípiosEstados'!$AE$2:$AF$400,2,FALSE),
  O29="Pernambuco",((W29*0.15)+(X29*0.7))*VLOOKUP(P29,'MunicípiosEstados'!$AG$2:$AH$186,2,FALSE),
  O29="Piauí",((W29*0.15)+(X29*0.7))*VLOOKUP(P29,'MunicípiosEstados'!$AI$2:$AJ$225,2,FALSE),
  O29="Rio Grande do Norte",((W29*0.15)+(X29*0.7))*VLOOKUP(P29,'MunicípiosEstados'!$AK$2:$AL$168,2,FALSE),
  O29="Rio Grande do Sul",((W29*0.15)+(X29*0.7))*VLOOKUP(P29,'MunicípiosEstados'!$AM$2:$AN$498,2,FALSE),
  O29="Rio de Janeiro",((W29*0.15)+(X29*0.7))*VLOOKUP(P29,'MunicípiosEstados'!$AO$2:$AP$93,2,FALSE),
  O29="Rondônia",((W29*0.15)+(X29*0.7))*VLOOKUP(P29,'MunicípiosEstados'!$AQ$2:$AR$53,2,FALSE),
  O29="Roraima",((W29*0.15)+(X29*0.7))*VLOOKUP(P29,'MunicípiosEstados'!$AS$2:$AT$16,2,FALSE),
  O29="Santa Catarina",((W29*0.15)+(X29*0.7))*VLOOKUP(P29,'MunicípiosEstados'!$AU$2:$AV$296,2,FALSE),
  O29="São Paulo",((W29*0.15)+(X29*0.7))*VLOOKUP(P29,'MunicípiosEstados'!$AW$2:$AX$646,2,FALSE),
  O29="Sergipe",((W29*0.15)+(X29*0.7))*VLOOKUP(P29,'MunicípiosEstados'!$AY$2:$AZ$76,2,FALSE),
  O29="Tocantins",((W29*0.15)+(X29*0.7))*VLOOKUP(P29,'MunicípiosEstados'!$BA$2:$BB$140,2,FALSE),
  O29="Exterior",((W29*0.15)+(X29*0.7))*VLOOKUP(P29,'MunicípiosEstados'!$BC$2:$BE$221,3,FALSE),TRUE,0
)
</f>
        <v>2227.56</v>
      </c>
      <c r="AL29" s="25">
        <f t="shared" si="3"/>
        <v>3537.56</v>
      </c>
      <c r="AN29" s="35"/>
    </row>
    <row r="30" ht="22.5" hidden="1" customHeight="1">
      <c r="A30" s="15">
        <f t="shared" si="1"/>
        <v>29</v>
      </c>
      <c r="B30" s="16">
        <v>45979.46157741898</v>
      </c>
      <c r="C30" s="17" t="s">
        <v>637</v>
      </c>
      <c r="D30" s="27" t="s">
        <v>443</v>
      </c>
      <c r="E30" s="15" t="str">
        <f>VLOOKUP(G30,DiretoriaDepart.Coord.!$A$1:$C$72,2,FALSE)</f>
        <v>Pesquisa e Inovação</v>
      </c>
      <c r="F30" s="15" t="str">
        <f>VLOOKUP(G30,DiretoriaDepart.Coord.!$A$1:$C$72,3,FALSE)</f>
        <v>Pesquisa e Capacitação</v>
      </c>
      <c r="G30" s="17" t="s">
        <v>630</v>
      </c>
      <c r="H30" s="15"/>
      <c r="I30" s="17" t="s">
        <v>631</v>
      </c>
      <c r="J30" s="17" t="s">
        <v>490</v>
      </c>
      <c r="K30" s="17">
        <v>3.0</v>
      </c>
      <c r="L30" s="19" t="s">
        <v>638</v>
      </c>
      <c r="M30" s="17" t="s">
        <v>639</v>
      </c>
      <c r="N30" s="17">
        <v>0.0</v>
      </c>
      <c r="O30" s="17" t="s">
        <v>611</v>
      </c>
      <c r="P30" s="17" t="s">
        <v>640</v>
      </c>
      <c r="Q30" s="20">
        <v>45958.333333333336</v>
      </c>
      <c r="R30" s="20">
        <v>45961.333333333336</v>
      </c>
      <c r="S30" s="17" t="s">
        <v>451</v>
      </c>
      <c r="T30" s="17" t="s">
        <v>452</v>
      </c>
      <c r="U30" s="30" t="s">
        <v>641</v>
      </c>
      <c r="V30" s="30" t="s">
        <v>642</v>
      </c>
      <c r="W30" s="22">
        <v>36.0</v>
      </c>
      <c r="X30" s="22">
        <v>12.0</v>
      </c>
      <c r="Y30" s="23">
        <v>700.0</v>
      </c>
      <c r="Z30" s="23">
        <v>0.0</v>
      </c>
      <c r="AA30" s="24">
        <v>15000.0</v>
      </c>
      <c r="AB30" s="24">
        <v>750.0</v>
      </c>
      <c r="AC30" s="24">
        <v>200.0</v>
      </c>
      <c r="AD30" s="23">
        <v>0.0</v>
      </c>
      <c r="AE30" s="24">
        <v>0.0</v>
      </c>
      <c r="AF30" s="17" t="s">
        <v>451</v>
      </c>
      <c r="AG30" s="17">
        <v>0.0</v>
      </c>
      <c r="AH30" s="17" t="s">
        <v>451</v>
      </c>
      <c r="AI30" s="25">
        <f>IF(AF30="Sim",INT((R30-Q30+1))*K30*VLOOKUP(P30,'Tabelas Auxiliares'!$A$1:$C$400,3,FALSE),0)</f>
        <v>0</v>
      </c>
      <c r="AJ30" s="25">
        <f t="shared" si="2"/>
        <v>0</v>
      </c>
      <c r="AK30" s="25">
        <f>IFS(
  O30="Acre",((W30*0.15)+(X30*0.7))*VLOOKUP(P30,'MunicípiosEstados'!$A$2:$B$23,2,FALSE),
  O30="Alagoas",((W30*0.15)+(X30*0.7))*VLOOKUP(P30,'MunicípiosEstados'!$C$2:$D$103,2,FALSE),
  O30="Amapá",((W30*0.15)+(X30*0.7))*VLOOKUP(P30,'MunicípiosEstados'!$E$2:$F$17,2,FALSE),
  O30="Amazonas",((W30*0.15)+(X30*0.7))*VLOOKUP(P30,'MunicípiosEstados'!$G$2:$H$63,2,FALSE),
  O30="Bahia",((W30*0.15)+(X30*0.7))*VLOOKUP(P30,'MunicípiosEstados'!$I$2:$J$418,2,FALSE),
  O30="Ceará",((W30*0.15)+(X30*0.7))*VLOOKUP(P30,'MunicípiosEstados'!$K$2:$L$185,2,FALSE),
  O30="Distrito Federal",((W30*0.15)+(X30*0.7))*VLOOKUP(P30,'MunicípiosEstados'!$M$2:$N$2,2,FALSE),
  O30="Espírito Santo",((W30*0.15)+(X30*0.7))*VLOOKUP(P30,'MunicípiosEstados'!$O$2:$P$79,2,FALSE),
  O30="Goiás",((W30*0.15)+(X30*0.7))*VLOOKUP(P30,'MunicípiosEstados'!$Q$2:$R$247,2,FALSE),
  O30="Maranhão",((W30*0.15)+(X30*0.7))*VLOOKUP(P30,'MunicípiosEstados'!$S$2:$T$218,2,FALSE),
  O30="Mato Grosso",((W30*0.15)+(X30*0.7))*VLOOKUP(P30,'MunicípiosEstados'!$U$2:$V$143,2,FALSE),
  O30="Mato Grosso do Sul",((W30*0.15)+(X30*0.7))*VLOOKUP(P30,'MunicípiosEstados'!$W$2:$X$80,2,FALSE),
  O30="Minas Gerais",((W30*0.15)+(X30*0.7))*VLOOKUP(P30,'MunicípiosEstados'!$Y$2:$Z$854,2,FALSE),
  O30="Pará",((W30*0.15)+(X30*0.7))*VLOOKUP(P30,'MunicípiosEstados'!$AA$2:$AB$145,2,FALSE),
  O30="Paraíba",((W30*0.15)+(X30*0.7))*VLOOKUP(P30,'MunicípiosEstados'!$AC$2:$AD$224,2,FALSE),
  O30="Paraná",((W30*0.15)+(X30*0.7))*VLOOKUP(P30,'MunicípiosEstados'!$AE$2:$AF$400,2,FALSE),
  O30="Pernambuco",((W30*0.15)+(X30*0.7))*VLOOKUP(P30,'MunicípiosEstados'!$AG$2:$AH$186,2,FALSE),
  O30="Piauí",((W30*0.15)+(X30*0.7))*VLOOKUP(P30,'MunicípiosEstados'!$AI$2:$AJ$225,2,FALSE),
  O30="Rio Grande do Norte",((W30*0.15)+(X30*0.7))*VLOOKUP(P30,'MunicípiosEstados'!$AK$2:$AL$168,2,FALSE),
  O30="Rio Grande do Sul",((W30*0.15)+(X30*0.7))*VLOOKUP(P30,'MunicípiosEstados'!$AM$2:$AN$498,2,FALSE),
  O30="Rio de Janeiro",((W30*0.15)+(X30*0.7))*VLOOKUP(P30,'MunicípiosEstados'!$AO$2:$AP$93,2,FALSE),
  O30="Rondônia",((W30*0.15)+(X30*0.7))*VLOOKUP(P30,'MunicípiosEstados'!$AQ$2:$AR$53,2,FALSE),
  O30="Roraima",((W30*0.15)+(X30*0.7))*VLOOKUP(P30,'MunicípiosEstados'!$AS$2:$AT$16,2,FALSE),
  O30="Santa Catarina",((W30*0.15)+(X30*0.7))*VLOOKUP(P30,'MunicípiosEstados'!$AU$2:$AV$296,2,FALSE),
  O30="São Paulo",((W30*0.15)+(X30*0.7))*VLOOKUP(P30,'MunicípiosEstados'!$AW$2:$AX$646,2,FALSE),
  O30="Sergipe",((W30*0.15)+(X30*0.7))*VLOOKUP(P30,'MunicípiosEstados'!$AY$2:$AZ$76,2,FALSE),
  O30="Tocantins",((W30*0.15)+(X30*0.7))*VLOOKUP(P30,'MunicípiosEstados'!$BA$2:$BB$140,2,FALSE),
  O30="Exterior",((W30*0.15)+(X30*0.7))*VLOOKUP(P30,'MunicípiosEstados'!$BC$2:$BE$221,3,FALSE),TRUE,0
)
</f>
        <v>4009.59</v>
      </c>
      <c r="AL30" s="25">
        <f t="shared" si="3"/>
        <v>20659.59</v>
      </c>
      <c r="AN30" s="35"/>
    </row>
    <row r="31" ht="22.5" hidden="1" customHeight="1">
      <c r="A31" s="15">
        <f t="shared" si="1"/>
        <v>30</v>
      </c>
      <c r="B31" s="16">
        <v>45980.478326516204</v>
      </c>
      <c r="C31" s="17" t="s">
        <v>643</v>
      </c>
      <c r="D31" s="27" t="s">
        <v>443</v>
      </c>
      <c r="E31" s="15" t="str">
        <f>VLOOKUP(G31,DiretoriaDepart.Coord.!$A$1:$C$72,2,FALSE)</f>
        <v>Pesquisa e Inovação</v>
      </c>
      <c r="F31" s="15" t="str">
        <f>VLOOKUP(G31,DiretoriaDepart.Coord.!$A$1:$C$72,3,FALSE)</f>
        <v>Pesquisa e Capacitação</v>
      </c>
      <c r="G31" s="17" t="s">
        <v>630</v>
      </c>
      <c r="H31" s="15"/>
      <c r="I31" s="17" t="s">
        <v>644</v>
      </c>
      <c r="J31" s="17" t="s">
        <v>645</v>
      </c>
      <c r="K31" s="34" t="s">
        <v>646</v>
      </c>
      <c r="L31" s="15"/>
      <c r="M31" s="17" t="s">
        <v>647</v>
      </c>
      <c r="N31" s="17">
        <v>27000.0</v>
      </c>
      <c r="O31" s="17" t="s">
        <v>611</v>
      </c>
      <c r="P31" s="17" t="s">
        <v>648</v>
      </c>
      <c r="Q31" s="20">
        <v>45972.416666666664</v>
      </c>
      <c r="R31" s="20">
        <v>45974.791666666664</v>
      </c>
      <c r="S31" s="17" t="s">
        <v>464</v>
      </c>
      <c r="T31" s="17" t="s">
        <v>452</v>
      </c>
      <c r="U31" s="30" t="s">
        <v>649</v>
      </c>
      <c r="V31" s="30" t="s">
        <v>650</v>
      </c>
      <c r="W31" s="22">
        <v>12.0</v>
      </c>
      <c r="X31" s="22">
        <v>6.0</v>
      </c>
      <c r="Y31" s="23">
        <v>0.0</v>
      </c>
      <c r="Z31" s="23">
        <v>0.0</v>
      </c>
      <c r="AA31" s="24">
        <v>0.0</v>
      </c>
      <c r="AB31" s="24">
        <v>0.0</v>
      </c>
      <c r="AC31" s="24">
        <v>0.0</v>
      </c>
      <c r="AD31" s="23">
        <v>400.0</v>
      </c>
      <c r="AE31" s="24">
        <v>0.0</v>
      </c>
      <c r="AF31" s="17" t="s">
        <v>451</v>
      </c>
      <c r="AG31" s="17">
        <v>2500.0</v>
      </c>
      <c r="AH31" s="17" t="s">
        <v>464</v>
      </c>
      <c r="AI31" s="25">
        <f>IF(AF31="Sim",INT((R31-Q31+1))*K31*VLOOKUP(P31,'Tabelas Auxiliares'!$A$1:$C$400,3,FALSE),0)</f>
        <v>0</v>
      </c>
      <c r="AJ31" s="25">
        <f t="shared" si="2"/>
        <v>1750</v>
      </c>
      <c r="AK31" s="25">
        <f>IFS(
  O31="Acre",((W31*0.15)+(X31*0.7))*VLOOKUP(P31,'MunicípiosEstados'!$A$2:$B$23,2,FALSE),
  O31="Alagoas",((W31*0.15)+(X31*0.7))*VLOOKUP(P31,'MunicípiosEstados'!$C$2:$D$103,2,FALSE),
  O31="Amapá",((W31*0.15)+(X31*0.7))*VLOOKUP(P31,'MunicípiosEstados'!$E$2:$F$17,2,FALSE),
  O31="Amazonas",((W31*0.15)+(X31*0.7))*VLOOKUP(P31,'MunicípiosEstados'!$G$2:$H$63,2,FALSE),
  O31="Bahia",((W31*0.15)+(X31*0.7))*VLOOKUP(P31,'MunicípiosEstados'!$I$2:$J$418,2,FALSE),
  O31="Ceará",((W31*0.15)+(X31*0.7))*VLOOKUP(P31,'MunicípiosEstados'!$K$2:$L$185,2,FALSE),
  O31="Distrito Federal",((W31*0.15)+(X31*0.7))*VLOOKUP(P31,'MunicípiosEstados'!$M$2:$N$2,2,FALSE),
  O31="Espírito Santo",((W31*0.15)+(X31*0.7))*VLOOKUP(P31,'MunicípiosEstados'!$O$2:$P$79,2,FALSE),
  O31="Goiás",((W31*0.15)+(X31*0.7))*VLOOKUP(P31,'MunicípiosEstados'!$Q$2:$R$247,2,FALSE),
  O31="Maranhão",((W31*0.15)+(X31*0.7))*VLOOKUP(P31,'MunicípiosEstados'!$S$2:$T$218,2,FALSE),
  O31="Mato Grosso",((W31*0.15)+(X31*0.7))*VLOOKUP(P31,'MunicípiosEstados'!$U$2:$V$143,2,FALSE),
  O31="Mato Grosso do Sul",((W31*0.15)+(X31*0.7))*VLOOKUP(P31,'MunicípiosEstados'!$W$2:$X$80,2,FALSE),
  O31="Minas Gerais",((W31*0.15)+(X31*0.7))*VLOOKUP(P31,'MunicípiosEstados'!$Y$2:$Z$854,2,FALSE),
  O31="Pará",((W31*0.15)+(X31*0.7))*VLOOKUP(P31,'MunicípiosEstados'!$AA$2:$AB$145,2,FALSE),
  O31="Paraíba",((W31*0.15)+(X31*0.7))*VLOOKUP(P31,'MunicípiosEstados'!$AC$2:$AD$224,2,FALSE),
  O31="Paraná",((W31*0.15)+(X31*0.7))*VLOOKUP(P31,'MunicípiosEstados'!$AE$2:$AF$400,2,FALSE),
  O31="Pernambuco",((W31*0.15)+(X31*0.7))*VLOOKUP(P31,'MunicípiosEstados'!$AG$2:$AH$186,2,FALSE),
  O31="Piauí",((W31*0.15)+(X31*0.7))*VLOOKUP(P31,'MunicípiosEstados'!$AI$2:$AJ$225,2,FALSE),
  O31="Rio Grande do Norte",((W31*0.15)+(X31*0.7))*VLOOKUP(P31,'MunicípiosEstados'!$AK$2:$AL$168,2,FALSE),
  O31="Rio Grande do Sul",((W31*0.15)+(X31*0.7))*VLOOKUP(P31,'MunicípiosEstados'!$AM$2:$AN$498,2,FALSE),
  O31="Rio de Janeiro",((W31*0.15)+(X31*0.7))*VLOOKUP(P31,'MunicípiosEstados'!$AO$2:$AP$93,2,FALSE),
  O31="Rondônia",((W31*0.15)+(X31*0.7))*VLOOKUP(P31,'MunicípiosEstados'!$AQ$2:$AR$53,2,FALSE),
  O31="Roraima",((W31*0.15)+(X31*0.7))*VLOOKUP(P31,'MunicípiosEstados'!$AS$2:$AT$16,2,FALSE),
  O31="Santa Catarina",((W31*0.15)+(X31*0.7))*VLOOKUP(P31,'MunicípiosEstados'!$AU$2:$AV$296,2,FALSE),
  O31="São Paulo",((W31*0.15)+(X31*0.7))*VLOOKUP(P31,'MunicípiosEstados'!$AW$2:$AX$646,2,FALSE),
  O31="Sergipe",((W31*0.15)+(X31*0.7))*VLOOKUP(P31,'MunicípiosEstados'!$AY$2:$AZ$76,2,FALSE),
  O31="Tocantins",((W31*0.15)+(X31*0.7))*VLOOKUP(P31,'MunicípiosEstados'!$BA$2:$BB$140,2,FALSE),
  O31="Exterior",((W31*0.15)+(X31*0.7))*VLOOKUP(P31,'MunicípiosEstados'!$BC$2:$BE$221,3,FALSE),TRUE,0
)
</f>
        <v>2227.56</v>
      </c>
      <c r="AL31" s="25">
        <f t="shared" si="3"/>
        <v>4377.56</v>
      </c>
      <c r="AN31" s="35"/>
    </row>
    <row r="32" ht="22.5" hidden="1" customHeight="1">
      <c r="A32" s="15">
        <f t="shared" si="1"/>
        <v>31</v>
      </c>
      <c r="B32" s="16">
        <v>45980.63082799768</v>
      </c>
      <c r="C32" s="17" t="s">
        <v>643</v>
      </c>
      <c r="D32" s="27" t="s">
        <v>443</v>
      </c>
      <c r="E32" s="15" t="str">
        <f>VLOOKUP(G32,DiretoriaDepart.Coord.!$A$1:$C$72,2,FALSE)</f>
        <v>Pesquisa e Inovação</v>
      </c>
      <c r="F32" s="15" t="str">
        <f>VLOOKUP(G32,DiretoriaDepart.Coord.!$A$1:$C$72,3,FALSE)</f>
        <v>Pesquisa e Capacitação</v>
      </c>
      <c r="G32" s="17" t="s">
        <v>630</v>
      </c>
      <c r="H32" s="15"/>
      <c r="I32" s="17" t="s">
        <v>651</v>
      </c>
      <c r="J32" s="17" t="s">
        <v>652</v>
      </c>
      <c r="K32" s="34" t="s">
        <v>646</v>
      </c>
      <c r="L32" s="15"/>
      <c r="M32" s="17" t="s">
        <v>653</v>
      </c>
      <c r="N32" s="17">
        <v>30000.0</v>
      </c>
      <c r="O32" s="17" t="s">
        <v>611</v>
      </c>
      <c r="P32" s="17" t="s">
        <v>654</v>
      </c>
      <c r="Q32" s="20">
        <v>45802.333333333336</v>
      </c>
      <c r="R32" s="20">
        <v>45806.708333333336</v>
      </c>
      <c r="S32" s="17" t="s">
        <v>464</v>
      </c>
      <c r="T32" s="17" t="s">
        <v>452</v>
      </c>
      <c r="U32" s="30" t="s">
        <v>655</v>
      </c>
      <c r="V32" s="30" t="s">
        <v>656</v>
      </c>
      <c r="W32" s="22">
        <v>10.0</v>
      </c>
      <c r="X32" s="22">
        <v>4.0</v>
      </c>
      <c r="Y32" s="23">
        <v>0.0</v>
      </c>
      <c r="Z32" s="23">
        <v>0.0</v>
      </c>
      <c r="AA32" s="24">
        <v>0.0</v>
      </c>
      <c r="AB32" s="24">
        <v>0.0</v>
      </c>
      <c r="AC32" s="24">
        <v>0.0</v>
      </c>
      <c r="AD32" s="23">
        <v>300.0</v>
      </c>
      <c r="AE32" s="24">
        <v>0.0</v>
      </c>
      <c r="AF32" s="17" t="s">
        <v>451</v>
      </c>
      <c r="AG32" s="17">
        <v>1300.0</v>
      </c>
      <c r="AH32" s="17" t="s">
        <v>464</v>
      </c>
      <c r="AI32" s="25">
        <f>IF(AF32="Sim",INT((R32-Q32+1))*K32*VLOOKUP(P32,'Tabelas Auxiliares'!$A$1:$C$400,3,FALSE),0)</f>
        <v>0</v>
      </c>
      <c r="AJ32" s="25">
        <f t="shared" si="2"/>
        <v>910</v>
      </c>
      <c r="AK32" s="25">
        <f>IFS(
  O32="Acre",((W32*0.15)+(X32*0.7))*VLOOKUP(P32,'MunicípiosEstados'!$A$2:$B$23,2,FALSE),
  O32="Alagoas",((W32*0.15)+(X32*0.7))*VLOOKUP(P32,'MunicípiosEstados'!$C$2:$D$103,2,FALSE),
  O32="Amapá",((W32*0.15)+(X32*0.7))*VLOOKUP(P32,'MunicípiosEstados'!$E$2:$F$17,2,FALSE),
  O32="Amazonas",((W32*0.15)+(X32*0.7))*VLOOKUP(P32,'MunicípiosEstados'!$G$2:$H$63,2,FALSE),
  O32="Bahia",((W32*0.15)+(X32*0.7))*VLOOKUP(P32,'MunicípiosEstados'!$I$2:$J$418,2,FALSE),
  O32="Ceará",((W32*0.15)+(X32*0.7))*VLOOKUP(P32,'MunicípiosEstados'!$K$2:$L$185,2,FALSE),
  O32="Distrito Federal",((W32*0.15)+(X32*0.7))*VLOOKUP(P32,'MunicípiosEstados'!$M$2:$N$2,2,FALSE),
  O32="Espírito Santo",((W32*0.15)+(X32*0.7))*VLOOKUP(P32,'MunicípiosEstados'!$O$2:$P$79,2,FALSE),
  O32="Goiás",((W32*0.15)+(X32*0.7))*VLOOKUP(P32,'MunicípiosEstados'!$Q$2:$R$247,2,FALSE),
  O32="Maranhão",((W32*0.15)+(X32*0.7))*VLOOKUP(P32,'MunicípiosEstados'!$S$2:$T$218,2,FALSE),
  O32="Mato Grosso",((W32*0.15)+(X32*0.7))*VLOOKUP(P32,'MunicípiosEstados'!$U$2:$V$143,2,FALSE),
  O32="Mato Grosso do Sul",((W32*0.15)+(X32*0.7))*VLOOKUP(P32,'MunicípiosEstados'!$W$2:$X$80,2,FALSE),
  O32="Minas Gerais",((W32*0.15)+(X32*0.7))*VLOOKUP(P32,'MunicípiosEstados'!$Y$2:$Z$854,2,FALSE),
  O32="Pará",((W32*0.15)+(X32*0.7))*VLOOKUP(P32,'MunicípiosEstados'!$AA$2:$AB$145,2,FALSE),
  O32="Paraíba",((W32*0.15)+(X32*0.7))*VLOOKUP(P32,'MunicípiosEstados'!$AC$2:$AD$224,2,FALSE),
  O32="Paraná",((W32*0.15)+(X32*0.7))*VLOOKUP(P32,'MunicípiosEstados'!$AE$2:$AF$400,2,FALSE),
  O32="Pernambuco",((W32*0.15)+(X32*0.7))*VLOOKUP(P32,'MunicípiosEstados'!$AG$2:$AH$186,2,FALSE),
  O32="Piauí",((W32*0.15)+(X32*0.7))*VLOOKUP(P32,'MunicípiosEstados'!$AI$2:$AJ$225,2,FALSE),
  O32="Rio Grande do Norte",((W32*0.15)+(X32*0.7))*VLOOKUP(P32,'MunicípiosEstados'!$AK$2:$AL$168,2,FALSE),
  O32="Rio Grande do Sul",((W32*0.15)+(X32*0.7))*VLOOKUP(P32,'MunicípiosEstados'!$AM$2:$AN$498,2,FALSE),
  O32="Rio de Janeiro",((W32*0.15)+(X32*0.7))*VLOOKUP(P32,'MunicípiosEstados'!$AO$2:$AP$93,2,FALSE),
  O32="Rondônia",((W32*0.15)+(X32*0.7))*VLOOKUP(P32,'MunicípiosEstados'!$AQ$2:$AR$53,2,FALSE),
  O32="Roraima",((W32*0.15)+(X32*0.7))*VLOOKUP(P32,'MunicípiosEstados'!$AS$2:$AT$16,2,FALSE),
  O32="Santa Catarina",((W32*0.15)+(X32*0.7))*VLOOKUP(P32,'MunicípiosEstados'!$AU$2:$AV$296,2,FALSE),
  O32="São Paulo",((W32*0.15)+(X32*0.7))*VLOOKUP(P32,'MunicípiosEstados'!$AW$2:$AX$646,2,FALSE),
  O32="Sergipe",((W32*0.15)+(X32*0.7))*VLOOKUP(P32,'MunicípiosEstados'!$AY$2:$AZ$76,2,FALSE),
  O32="Tocantins",((W32*0.15)+(X32*0.7))*VLOOKUP(P32,'MunicípiosEstados'!$BA$2:$BB$140,2,FALSE),
  O32="Exterior",((W32*0.15)+(X32*0.7))*VLOOKUP(P32,'MunicípiosEstados'!$BC$2:$BE$221,3,FALSE),TRUE,0
)
</f>
        <v>1249.365</v>
      </c>
      <c r="AL32" s="25">
        <f t="shared" si="3"/>
        <v>2459.365</v>
      </c>
      <c r="AN32" s="35"/>
    </row>
    <row r="33" ht="22.5" hidden="1" customHeight="1">
      <c r="A33" s="15">
        <f t="shared" si="1"/>
        <v>32</v>
      </c>
      <c r="B33" s="16">
        <v>45980.64034799769</v>
      </c>
      <c r="C33" s="17" t="s">
        <v>643</v>
      </c>
      <c r="D33" s="27" t="s">
        <v>443</v>
      </c>
      <c r="E33" s="15" t="str">
        <f>VLOOKUP(G33,DiretoriaDepart.Coord.!$A$1:$C$72,2,FALSE)</f>
        <v>Pesquisa e Inovação</v>
      </c>
      <c r="F33" s="15" t="str">
        <f>VLOOKUP(G33,DiretoriaDepart.Coord.!$A$1:$C$72,3,FALSE)</f>
        <v>Pesquisa e Capacitação</v>
      </c>
      <c r="G33" s="17" t="s">
        <v>630</v>
      </c>
      <c r="H33" s="15"/>
      <c r="I33" s="17" t="s">
        <v>631</v>
      </c>
      <c r="J33" s="17" t="s">
        <v>490</v>
      </c>
      <c r="K33" s="17">
        <v>1.0</v>
      </c>
      <c r="L33" s="15"/>
      <c r="M33" s="17" t="s">
        <v>657</v>
      </c>
      <c r="N33" s="17">
        <v>400.0</v>
      </c>
      <c r="O33" s="17" t="s">
        <v>611</v>
      </c>
      <c r="P33" s="17" t="s">
        <v>658</v>
      </c>
      <c r="Q33" s="20">
        <v>45954.333333333336</v>
      </c>
      <c r="R33" s="20">
        <v>45959.708333333336</v>
      </c>
      <c r="S33" s="17" t="s">
        <v>451</v>
      </c>
      <c r="T33" s="17" t="s">
        <v>452</v>
      </c>
      <c r="U33" s="30" t="s">
        <v>659</v>
      </c>
      <c r="V33" s="30" t="s">
        <v>660</v>
      </c>
      <c r="W33" s="22">
        <v>10.0</v>
      </c>
      <c r="X33" s="22">
        <v>5.0</v>
      </c>
      <c r="Y33" s="23">
        <v>250.0</v>
      </c>
      <c r="Z33" s="23">
        <v>0.0</v>
      </c>
      <c r="AA33" s="24">
        <v>0.0</v>
      </c>
      <c r="AB33" s="24">
        <v>0.0</v>
      </c>
      <c r="AC33" s="24">
        <v>0.0</v>
      </c>
      <c r="AD33" s="23">
        <v>300.0</v>
      </c>
      <c r="AE33" s="24">
        <v>0.0</v>
      </c>
      <c r="AF33" s="17" t="s">
        <v>451</v>
      </c>
      <c r="AG33" s="17">
        <v>1300.0</v>
      </c>
      <c r="AH33" s="17" t="s">
        <v>464</v>
      </c>
      <c r="AI33" s="25">
        <f>IF(AF33="Sim",INT((R33-Q33+1))*K33*VLOOKUP(P33,'Tabelas Auxiliares'!$A$1:$C$400,3,FALSE),0)</f>
        <v>0</v>
      </c>
      <c r="AJ33" s="25">
        <f t="shared" si="2"/>
        <v>910</v>
      </c>
      <c r="AK33" s="25">
        <f>IFS(
  O33="Acre",((W33*0.15)+(X33*0.7))*VLOOKUP(P33,'MunicípiosEstados'!$A$2:$B$23,2,FALSE),
  O33="Alagoas",((W33*0.15)+(X33*0.7))*VLOOKUP(P33,'MunicípiosEstados'!$C$2:$D$103,2,FALSE),
  O33="Amapá",((W33*0.15)+(X33*0.7))*VLOOKUP(P33,'MunicípiosEstados'!$E$2:$F$17,2,FALSE),
  O33="Amazonas",((W33*0.15)+(X33*0.7))*VLOOKUP(P33,'MunicípiosEstados'!$G$2:$H$63,2,FALSE),
  O33="Bahia",((W33*0.15)+(X33*0.7))*VLOOKUP(P33,'MunicípiosEstados'!$I$2:$J$418,2,FALSE),
  O33="Ceará",((W33*0.15)+(X33*0.7))*VLOOKUP(P33,'MunicípiosEstados'!$K$2:$L$185,2,FALSE),
  O33="Distrito Federal",((W33*0.15)+(X33*0.7))*VLOOKUP(P33,'MunicípiosEstados'!$M$2:$N$2,2,FALSE),
  O33="Espírito Santo",((W33*0.15)+(X33*0.7))*VLOOKUP(P33,'MunicípiosEstados'!$O$2:$P$79,2,FALSE),
  O33="Goiás",((W33*0.15)+(X33*0.7))*VLOOKUP(P33,'MunicípiosEstados'!$Q$2:$R$247,2,FALSE),
  O33="Maranhão",((W33*0.15)+(X33*0.7))*VLOOKUP(P33,'MunicípiosEstados'!$S$2:$T$218,2,FALSE),
  O33="Mato Grosso",((W33*0.15)+(X33*0.7))*VLOOKUP(P33,'MunicípiosEstados'!$U$2:$V$143,2,FALSE),
  O33="Mato Grosso do Sul",((W33*0.15)+(X33*0.7))*VLOOKUP(P33,'MunicípiosEstados'!$W$2:$X$80,2,FALSE),
  O33="Minas Gerais",((W33*0.15)+(X33*0.7))*VLOOKUP(P33,'MunicípiosEstados'!$Y$2:$Z$854,2,FALSE),
  O33="Pará",((W33*0.15)+(X33*0.7))*VLOOKUP(P33,'MunicípiosEstados'!$AA$2:$AB$145,2,FALSE),
  O33="Paraíba",((W33*0.15)+(X33*0.7))*VLOOKUP(P33,'MunicípiosEstados'!$AC$2:$AD$224,2,FALSE),
  O33="Paraná",((W33*0.15)+(X33*0.7))*VLOOKUP(P33,'MunicípiosEstados'!$AE$2:$AF$400,2,FALSE),
  O33="Pernambuco",((W33*0.15)+(X33*0.7))*VLOOKUP(P33,'MunicípiosEstados'!$AG$2:$AH$186,2,FALSE),
  O33="Piauí",((W33*0.15)+(X33*0.7))*VLOOKUP(P33,'MunicípiosEstados'!$AI$2:$AJ$225,2,FALSE),
  O33="Rio Grande do Norte",((W33*0.15)+(X33*0.7))*VLOOKUP(P33,'MunicípiosEstados'!$AK$2:$AL$168,2,FALSE),
  O33="Rio Grande do Sul",((W33*0.15)+(X33*0.7))*VLOOKUP(P33,'MunicípiosEstados'!$AM$2:$AN$498,2,FALSE),
  O33="Rio de Janeiro",((W33*0.15)+(X33*0.7))*VLOOKUP(P33,'MunicípiosEstados'!$AO$2:$AP$93,2,FALSE),
  O33="Rondônia",((W33*0.15)+(X33*0.7))*VLOOKUP(P33,'MunicípiosEstados'!$AQ$2:$AR$53,2,FALSE),
  O33="Roraima",((W33*0.15)+(X33*0.7))*VLOOKUP(P33,'MunicípiosEstados'!$AS$2:$AT$16,2,FALSE),
  O33="Santa Catarina",((W33*0.15)+(X33*0.7))*VLOOKUP(P33,'MunicípiosEstados'!$AU$2:$AV$296,2,FALSE),
  O33="São Paulo",((W33*0.15)+(X33*0.7))*VLOOKUP(P33,'MunicípiosEstados'!$AW$2:$AX$646,2,FALSE),
  O33="Sergipe",((W33*0.15)+(X33*0.7))*VLOOKUP(P33,'MunicípiosEstados'!$AY$2:$AZ$76,2,FALSE),
  O33="Tocantins",((W33*0.15)+(X33*0.7))*VLOOKUP(P33,'MunicípiosEstados'!$BA$2:$BB$140,2,FALSE),
  O33="Exterior",((W33*0.15)+(X33*0.7))*VLOOKUP(P33,'MunicípiosEstados'!$BC$2:$BE$221,3,FALSE),TRUE,0
)
</f>
        <v>1452.75</v>
      </c>
      <c r="AL33" s="25">
        <f t="shared" si="3"/>
        <v>2912.75</v>
      </c>
      <c r="AN33" s="35"/>
    </row>
    <row r="34" ht="22.5" hidden="1" customHeight="1">
      <c r="A34" s="15">
        <f t="shared" si="1"/>
        <v>33</v>
      </c>
      <c r="B34" s="16">
        <v>45985.96855560185</v>
      </c>
      <c r="C34" s="17" t="s">
        <v>661</v>
      </c>
      <c r="D34" s="27" t="s">
        <v>443</v>
      </c>
      <c r="E34" s="15" t="str">
        <f>VLOOKUP(G34,DiretoriaDepart.Coord.!$A$1:$C$72,2,FALSE)</f>
        <v>Extensão Rural</v>
      </c>
      <c r="F34" s="15" t="str">
        <f>VLOOKUP(G34,DiretoriaDepart.Coord.!$A$1:$C$72,3,FALSE)</f>
        <v>Projetos e Cadeias Produtivas</v>
      </c>
      <c r="G34" s="17" t="s">
        <v>662</v>
      </c>
      <c r="H34" s="15"/>
      <c r="I34" s="17" t="s">
        <v>663</v>
      </c>
      <c r="J34" s="17" t="s">
        <v>652</v>
      </c>
      <c r="K34" s="17">
        <v>4.0</v>
      </c>
      <c r="L34" s="15"/>
      <c r="M34" s="17" t="s">
        <v>547</v>
      </c>
      <c r="N34" s="17">
        <v>0.0</v>
      </c>
      <c r="O34" s="17" t="s">
        <v>611</v>
      </c>
      <c r="P34" s="17" t="s">
        <v>664</v>
      </c>
      <c r="Q34" s="20">
        <v>45803.333333333336</v>
      </c>
      <c r="R34" s="20">
        <v>45805.708333333336</v>
      </c>
      <c r="S34" s="17" t="s">
        <v>451</v>
      </c>
      <c r="T34" s="17" t="s">
        <v>452</v>
      </c>
      <c r="U34" s="21" t="s">
        <v>665</v>
      </c>
      <c r="V34" s="21" t="s">
        <v>666</v>
      </c>
      <c r="W34" s="22">
        <v>40.0</v>
      </c>
      <c r="X34" s="22">
        <v>16.0</v>
      </c>
      <c r="Y34" s="23">
        <v>0.0</v>
      </c>
      <c r="Z34" s="23">
        <v>0.0</v>
      </c>
      <c r="AA34" s="24">
        <v>0.0</v>
      </c>
      <c r="AB34" s="24">
        <v>0.0</v>
      </c>
      <c r="AC34" s="24">
        <v>0.0</v>
      </c>
      <c r="AD34" s="23">
        <v>300.0</v>
      </c>
      <c r="AE34" s="24">
        <v>0.0</v>
      </c>
      <c r="AF34" s="17" t="s">
        <v>451</v>
      </c>
      <c r="AG34" s="17">
        <v>2000.0</v>
      </c>
      <c r="AH34" s="17" t="s">
        <v>451</v>
      </c>
      <c r="AI34" s="25">
        <f>IF(AF34="Sim",INT((R34-Q34+1))*K34*VLOOKUP(P34,'Tabelas Auxiliares'!$A$1:$C$400,3,FALSE),0)</f>
        <v>0</v>
      </c>
      <c r="AJ34" s="25">
        <f t="shared" si="2"/>
        <v>1400</v>
      </c>
      <c r="AK34" s="25">
        <f>IFS(
  O34="Acre",((W34*0.15)+(X34*0.7))*VLOOKUP(P34,'MunicípiosEstados'!$A$2:$B$23,2,FALSE),
  O34="Alagoas",((W34*0.15)+(X34*0.7))*VLOOKUP(P34,'MunicípiosEstados'!$C$2:$D$103,2,FALSE),
  O34="Amapá",((W34*0.15)+(X34*0.7))*VLOOKUP(P34,'MunicípiosEstados'!$E$2:$F$17,2,FALSE),
  O34="Amazonas",((W34*0.15)+(X34*0.7))*VLOOKUP(P34,'MunicípiosEstados'!$G$2:$H$63,2,FALSE),
  O34="Bahia",((W34*0.15)+(X34*0.7))*VLOOKUP(P34,'MunicípiosEstados'!$I$2:$J$418,2,FALSE),
  O34="Ceará",((W34*0.15)+(X34*0.7))*VLOOKUP(P34,'MunicípiosEstados'!$K$2:$L$185,2,FALSE),
  O34="Distrito Federal",((W34*0.15)+(X34*0.7))*VLOOKUP(P34,'MunicípiosEstados'!$M$2:$N$2,2,FALSE),
  O34="Espírito Santo",((W34*0.15)+(X34*0.7))*VLOOKUP(P34,'MunicípiosEstados'!$O$2:$P$79,2,FALSE),
  O34="Goiás",((W34*0.15)+(X34*0.7))*VLOOKUP(P34,'MunicípiosEstados'!$Q$2:$R$247,2,FALSE),
  O34="Maranhão",((W34*0.15)+(X34*0.7))*VLOOKUP(P34,'MunicípiosEstados'!$S$2:$T$218,2,FALSE),
  O34="Mato Grosso",((W34*0.15)+(X34*0.7))*VLOOKUP(P34,'MunicípiosEstados'!$U$2:$V$143,2,FALSE),
  O34="Mato Grosso do Sul",((W34*0.15)+(X34*0.7))*VLOOKUP(P34,'MunicípiosEstados'!$W$2:$X$80,2,FALSE),
  O34="Minas Gerais",((W34*0.15)+(X34*0.7))*VLOOKUP(P34,'MunicípiosEstados'!$Y$2:$Z$854,2,FALSE),
  O34="Pará",((W34*0.15)+(X34*0.7))*VLOOKUP(P34,'MunicípiosEstados'!$AA$2:$AB$145,2,FALSE),
  O34="Paraíba",((W34*0.15)+(X34*0.7))*VLOOKUP(P34,'MunicípiosEstados'!$AC$2:$AD$224,2,FALSE),
  O34="Paraná",((W34*0.15)+(X34*0.7))*VLOOKUP(P34,'MunicípiosEstados'!$AE$2:$AF$400,2,FALSE),
  O34="Pernambuco",((W34*0.15)+(X34*0.7))*VLOOKUP(P34,'MunicípiosEstados'!$AG$2:$AH$186,2,FALSE),
  O34="Piauí",((W34*0.15)+(X34*0.7))*VLOOKUP(P34,'MunicípiosEstados'!$AI$2:$AJ$225,2,FALSE),
  O34="Rio Grande do Norte",((W34*0.15)+(X34*0.7))*VLOOKUP(P34,'MunicípiosEstados'!$AK$2:$AL$168,2,FALSE),
  O34="Rio Grande do Sul",((W34*0.15)+(X34*0.7))*VLOOKUP(P34,'MunicípiosEstados'!$AM$2:$AN$498,2,FALSE),
  O34="Rio de Janeiro",((W34*0.15)+(X34*0.7))*VLOOKUP(P34,'MunicípiosEstados'!$AO$2:$AP$93,2,FALSE),
  O34="Rondônia",((W34*0.15)+(X34*0.7))*VLOOKUP(P34,'MunicípiosEstados'!$AQ$2:$AR$53,2,FALSE),
  O34="Roraima",((W34*0.15)+(X34*0.7))*VLOOKUP(P34,'MunicípiosEstados'!$AS$2:$AT$16,2,FALSE),
  O34="Santa Catarina",((W34*0.15)+(X34*0.7))*VLOOKUP(P34,'MunicípiosEstados'!$AU$2:$AV$296,2,FALSE),
  O34="São Paulo",((W34*0.15)+(X34*0.7))*VLOOKUP(P34,'MunicípiosEstados'!$AW$2:$AX$646,2,FALSE),
  O34="Sergipe",((W34*0.15)+(X34*0.7))*VLOOKUP(P34,'MunicípiosEstados'!$AY$2:$AZ$76,2,FALSE),
  O34="Tocantins",((W34*0.15)+(X34*0.7))*VLOOKUP(P34,'MunicípiosEstados'!$BA$2:$BB$140,2,FALSE),
  O34="Exterior",((W34*0.15)+(X34*0.7))*VLOOKUP(P34,'MunicípiosEstados'!$BC$2:$BE$221,3,FALSE),TRUE,0
)
</f>
        <v>4997.46</v>
      </c>
      <c r="AL34" s="25">
        <f t="shared" si="3"/>
        <v>6697.46</v>
      </c>
    </row>
    <row r="35" ht="22.5" hidden="1" customHeight="1">
      <c r="A35" s="15">
        <f t="shared" si="1"/>
        <v>34</v>
      </c>
      <c r="B35" s="16">
        <v>45987.45894790509</v>
      </c>
      <c r="C35" s="17" t="s">
        <v>551</v>
      </c>
      <c r="D35" s="27" t="s">
        <v>443</v>
      </c>
      <c r="E35" s="15" t="str">
        <f>VLOOKUP(G35,DiretoriaDepart.Coord.!$A$1:$C$72,2,FALSE)</f>
        <v>Pesquisa e Inovação</v>
      </c>
      <c r="F35" s="15" t="str">
        <f>VLOOKUP(G35,DiretoriaDepart.Coord.!$A$1:$C$72,3,FALSE)</f>
        <v>Pesquisa e Capacitação</v>
      </c>
      <c r="G35" s="17" t="s">
        <v>630</v>
      </c>
      <c r="H35" s="15"/>
      <c r="I35" s="17" t="s">
        <v>667</v>
      </c>
      <c r="J35" s="17" t="s">
        <v>459</v>
      </c>
      <c r="K35" s="17">
        <v>2.0</v>
      </c>
      <c r="L35" s="15"/>
      <c r="M35" s="17" t="s">
        <v>668</v>
      </c>
      <c r="N35" s="17">
        <v>0.0</v>
      </c>
      <c r="O35" s="17" t="s">
        <v>611</v>
      </c>
      <c r="P35" s="17" t="s">
        <v>634</v>
      </c>
      <c r="Q35" s="20">
        <v>45972.333333333336</v>
      </c>
      <c r="R35" s="20">
        <v>45974.75</v>
      </c>
      <c r="S35" s="17" t="s">
        <v>464</v>
      </c>
      <c r="T35" s="17" t="s">
        <v>452</v>
      </c>
      <c r="U35" s="21" t="s">
        <v>669</v>
      </c>
      <c r="V35" s="21" t="s">
        <v>670</v>
      </c>
      <c r="W35" s="22">
        <v>18.0</v>
      </c>
      <c r="X35" s="22">
        <v>4.0</v>
      </c>
      <c r="Y35" s="23">
        <v>200.0</v>
      </c>
      <c r="Z35" s="23">
        <v>0.0</v>
      </c>
      <c r="AA35" s="24">
        <v>2400.0</v>
      </c>
      <c r="AB35" s="24">
        <v>0.0</v>
      </c>
      <c r="AC35" s="24">
        <v>400.0</v>
      </c>
      <c r="AD35" s="23">
        <v>0.0</v>
      </c>
      <c r="AE35" s="24">
        <v>0.0</v>
      </c>
      <c r="AF35" s="17" t="s">
        <v>451</v>
      </c>
      <c r="AG35" s="17">
        <v>0.0</v>
      </c>
      <c r="AH35" s="17" t="s">
        <v>451</v>
      </c>
      <c r="AI35" s="25">
        <f>IF(AF35="Sim",INT((R35-Q35+1))*K35*VLOOKUP(P35,'Tabelas Auxiliares'!$A$1:$C$400,3,FALSE),0)</f>
        <v>0</v>
      </c>
      <c r="AJ35" s="25">
        <f t="shared" si="2"/>
        <v>0</v>
      </c>
      <c r="AK35" s="25">
        <f>IFS(
  O35="Acre",((W35*0.15)+(X35*0.7))*VLOOKUP(P35,'MunicípiosEstados'!$A$2:$B$23,2,FALSE),
  O35="Alagoas",((W35*0.15)+(X35*0.7))*VLOOKUP(P35,'MunicípiosEstados'!$C$2:$D$103,2,FALSE),
  O35="Amapá",((W35*0.15)+(X35*0.7))*VLOOKUP(P35,'MunicípiosEstados'!$E$2:$F$17,2,FALSE),
  O35="Amazonas",((W35*0.15)+(X35*0.7))*VLOOKUP(P35,'MunicípiosEstados'!$G$2:$H$63,2,FALSE),
  O35="Bahia",((W35*0.15)+(X35*0.7))*VLOOKUP(P35,'MunicípiosEstados'!$I$2:$J$418,2,FALSE),
  O35="Ceará",((W35*0.15)+(X35*0.7))*VLOOKUP(P35,'MunicípiosEstados'!$K$2:$L$185,2,FALSE),
  O35="Distrito Federal",((W35*0.15)+(X35*0.7))*VLOOKUP(P35,'MunicípiosEstados'!$M$2:$N$2,2,FALSE),
  O35="Espírito Santo",((W35*0.15)+(X35*0.7))*VLOOKUP(P35,'MunicípiosEstados'!$O$2:$P$79,2,FALSE),
  O35="Goiás",((W35*0.15)+(X35*0.7))*VLOOKUP(P35,'MunicípiosEstados'!$Q$2:$R$247,2,FALSE),
  O35="Maranhão",((W35*0.15)+(X35*0.7))*VLOOKUP(P35,'MunicípiosEstados'!$S$2:$T$218,2,FALSE),
  O35="Mato Grosso",((W35*0.15)+(X35*0.7))*VLOOKUP(P35,'MunicípiosEstados'!$U$2:$V$143,2,FALSE),
  O35="Mato Grosso do Sul",((W35*0.15)+(X35*0.7))*VLOOKUP(P35,'MunicípiosEstados'!$W$2:$X$80,2,FALSE),
  O35="Minas Gerais",((W35*0.15)+(X35*0.7))*VLOOKUP(P35,'MunicípiosEstados'!$Y$2:$Z$854,2,FALSE),
  O35="Pará",((W35*0.15)+(X35*0.7))*VLOOKUP(P35,'MunicípiosEstados'!$AA$2:$AB$145,2,FALSE),
  O35="Paraíba",((W35*0.15)+(X35*0.7))*VLOOKUP(P35,'MunicípiosEstados'!$AC$2:$AD$224,2,FALSE),
  O35="Paraná",((W35*0.15)+(X35*0.7))*VLOOKUP(P35,'MunicípiosEstados'!$AE$2:$AF$400,2,FALSE),
  O35="Pernambuco",((W35*0.15)+(X35*0.7))*VLOOKUP(P35,'MunicípiosEstados'!$AG$2:$AH$186,2,FALSE),
  O35="Piauí",((W35*0.15)+(X35*0.7))*VLOOKUP(P35,'MunicípiosEstados'!$AI$2:$AJ$225,2,FALSE),
  O35="Rio Grande do Norte",((W35*0.15)+(X35*0.7))*VLOOKUP(P35,'MunicípiosEstados'!$AK$2:$AL$168,2,FALSE),
  O35="Rio Grande do Sul",((W35*0.15)+(X35*0.7))*VLOOKUP(P35,'MunicípiosEstados'!$AM$2:$AN$498,2,FALSE),
  O35="Rio de Janeiro",((W35*0.15)+(X35*0.7))*VLOOKUP(P35,'MunicípiosEstados'!$AO$2:$AP$93,2,FALSE),
  O35="Rondônia",((W35*0.15)+(X35*0.7))*VLOOKUP(P35,'MunicípiosEstados'!$AQ$2:$AR$53,2,FALSE),
  O35="Roraima",((W35*0.15)+(X35*0.7))*VLOOKUP(P35,'MunicípiosEstados'!$AS$2:$AT$16,2,FALSE),
  O35="Santa Catarina",((W35*0.15)+(X35*0.7))*VLOOKUP(P35,'MunicípiosEstados'!$AU$2:$AV$296,2,FALSE),
  O35="São Paulo",((W35*0.15)+(X35*0.7))*VLOOKUP(P35,'MunicípiosEstados'!$AW$2:$AX$646,2,FALSE),
  O35="Sergipe",((W35*0.15)+(X35*0.7))*VLOOKUP(P35,'MunicípiosEstados'!$AY$2:$AZ$76,2,FALSE),
  O35="Tocantins",((W35*0.15)+(X35*0.7))*VLOOKUP(P35,'MunicípiosEstados'!$BA$2:$BB$140,2,FALSE),
  O35="Exterior",((W35*0.15)+(X35*0.7))*VLOOKUP(P35,'MunicípiosEstados'!$BC$2:$BE$221,3,FALSE),TRUE,0
)
</f>
        <v>2041.93</v>
      </c>
      <c r="AL35" s="25">
        <f t="shared" si="3"/>
        <v>5041.93</v>
      </c>
      <c r="AN35" s="35"/>
    </row>
    <row r="36" ht="22.5" hidden="1" customHeight="1">
      <c r="A36" s="15">
        <f t="shared" si="1"/>
        <v>35</v>
      </c>
      <c r="B36" s="16">
        <v>45988.738270648144</v>
      </c>
      <c r="C36" s="17" t="s">
        <v>661</v>
      </c>
      <c r="D36" s="27" t="s">
        <v>443</v>
      </c>
      <c r="E36" s="15" t="str">
        <f>VLOOKUP(G36,DiretoriaDepart.Coord.!$A$1:$C$72,2,FALSE)</f>
        <v>Extensão Rural</v>
      </c>
      <c r="F36" s="15" t="str">
        <f>VLOOKUP(G36,DiretoriaDepart.Coord.!$A$1:$C$72,3,FALSE)</f>
        <v>Projetos e Cadeias Produtivas</v>
      </c>
      <c r="G36" s="17" t="s">
        <v>662</v>
      </c>
      <c r="H36" s="15"/>
      <c r="I36" s="17" t="s">
        <v>671</v>
      </c>
      <c r="J36" s="17" t="s">
        <v>645</v>
      </c>
      <c r="K36" s="17">
        <v>8.0</v>
      </c>
      <c r="L36" s="15"/>
      <c r="M36" s="17" t="s">
        <v>672</v>
      </c>
      <c r="N36" s="17">
        <v>10.0</v>
      </c>
      <c r="O36" s="17" t="s">
        <v>611</v>
      </c>
      <c r="P36" s="17" t="s">
        <v>634</v>
      </c>
      <c r="Q36" s="20">
        <v>45972.333333333336</v>
      </c>
      <c r="R36" s="20">
        <v>45974.791666666664</v>
      </c>
      <c r="S36" s="17" t="s">
        <v>451</v>
      </c>
      <c r="T36" s="17" t="s">
        <v>452</v>
      </c>
      <c r="U36" s="21" t="s">
        <v>673</v>
      </c>
      <c r="V36" s="21" t="s">
        <v>674</v>
      </c>
      <c r="W36" s="22">
        <v>86.0</v>
      </c>
      <c r="X36" s="22">
        <v>38.0</v>
      </c>
      <c r="Y36" s="23">
        <v>0.0</v>
      </c>
      <c r="Z36" s="23">
        <v>0.0</v>
      </c>
      <c r="AA36" s="24">
        <v>0.0</v>
      </c>
      <c r="AB36" s="24">
        <v>0.0</v>
      </c>
      <c r="AC36" s="24">
        <v>0.0</v>
      </c>
      <c r="AD36" s="23">
        <v>800.0</v>
      </c>
      <c r="AE36" s="24">
        <v>0.0</v>
      </c>
      <c r="AF36" s="17" t="s">
        <v>451</v>
      </c>
      <c r="AG36" s="17">
        <v>5000.0</v>
      </c>
      <c r="AH36" s="17" t="s">
        <v>464</v>
      </c>
      <c r="AI36" s="25">
        <f>IF(AF36="Sim",INT((R36-Q36+1))*K36*VLOOKUP(P36,'Tabelas Auxiliares'!$A$1:$C$400,3,FALSE),0)</f>
        <v>0</v>
      </c>
      <c r="AJ36" s="25">
        <f t="shared" si="2"/>
        <v>3500</v>
      </c>
      <c r="AK36" s="25">
        <f>IFS(
  O36="Acre",((W36*0.15)+(X36*0.7))*VLOOKUP(P36,'MunicípiosEstados'!$A$2:$B$23,2,FALSE),
  O36="Alagoas",((W36*0.15)+(X36*0.7))*VLOOKUP(P36,'MunicípiosEstados'!$C$2:$D$103,2,FALSE),
  O36="Amapá",((W36*0.15)+(X36*0.7))*VLOOKUP(P36,'MunicípiosEstados'!$E$2:$F$17,2,FALSE),
  O36="Amazonas",((W36*0.15)+(X36*0.7))*VLOOKUP(P36,'MunicípiosEstados'!$G$2:$H$63,2,FALSE),
  O36="Bahia",((W36*0.15)+(X36*0.7))*VLOOKUP(P36,'MunicípiosEstados'!$I$2:$J$418,2,FALSE),
  O36="Ceará",((W36*0.15)+(X36*0.7))*VLOOKUP(P36,'MunicípiosEstados'!$K$2:$L$185,2,FALSE),
  O36="Distrito Federal",((W36*0.15)+(X36*0.7))*VLOOKUP(P36,'MunicípiosEstados'!$M$2:$N$2,2,FALSE),
  O36="Espírito Santo",((W36*0.15)+(X36*0.7))*VLOOKUP(P36,'MunicípiosEstados'!$O$2:$P$79,2,FALSE),
  O36="Goiás",((W36*0.15)+(X36*0.7))*VLOOKUP(P36,'MunicípiosEstados'!$Q$2:$R$247,2,FALSE),
  O36="Maranhão",((W36*0.15)+(X36*0.7))*VLOOKUP(P36,'MunicípiosEstados'!$S$2:$T$218,2,FALSE),
  O36="Mato Grosso",((W36*0.15)+(X36*0.7))*VLOOKUP(P36,'MunicípiosEstados'!$U$2:$V$143,2,FALSE),
  O36="Mato Grosso do Sul",((W36*0.15)+(X36*0.7))*VLOOKUP(P36,'MunicípiosEstados'!$W$2:$X$80,2,FALSE),
  O36="Minas Gerais",((W36*0.15)+(X36*0.7))*VLOOKUP(P36,'MunicípiosEstados'!$Y$2:$Z$854,2,FALSE),
  O36="Pará",((W36*0.15)+(X36*0.7))*VLOOKUP(P36,'MunicípiosEstados'!$AA$2:$AB$145,2,FALSE),
  O36="Paraíba",((W36*0.15)+(X36*0.7))*VLOOKUP(P36,'MunicípiosEstados'!$AC$2:$AD$224,2,FALSE),
  O36="Paraná",((W36*0.15)+(X36*0.7))*VLOOKUP(P36,'MunicípiosEstados'!$AE$2:$AF$400,2,FALSE),
  O36="Pernambuco",((W36*0.15)+(X36*0.7))*VLOOKUP(P36,'MunicípiosEstados'!$AG$2:$AH$186,2,FALSE),
  O36="Piauí",((W36*0.15)+(X36*0.7))*VLOOKUP(P36,'MunicípiosEstados'!$AI$2:$AJ$225,2,FALSE),
  O36="Rio Grande do Norte",((W36*0.15)+(X36*0.7))*VLOOKUP(P36,'MunicípiosEstados'!$AK$2:$AL$168,2,FALSE),
  O36="Rio Grande do Sul",((W36*0.15)+(X36*0.7))*VLOOKUP(P36,'MunicípiosEstados'!$AM$2:$AN$498,2,FALSE),
  O36="Rio de Janeiro",((W36*0.15)+(X36*0.7))*VLOOKUP(P36,'MunicípiosEstados'!$AO$2:$AP$93,2,FALSE),
  O36="Rondônia",((W36*0.15)+(X36*0.7))*VLOOKUP(P36,'MunicípiosEstados'!$AQ$2:$AR$53,2,FALSE),
  O36="Roraima",((W36*0.15)+(X36*0.7))*VLOOKUP(P36,'MunicípiosEstados'!$AS$2:$AT$16,2,FALSE),
  O36="Santa Catarina",((W36*0.15)+(X36*0.7))*VLOOKUP(P36,'MunicípiosEstados'!$AU$2:$AV$296,2,FALSE),
  O36="São Paulo",((W36*0.15)+(X36*0.7))*VLOOKUP(P36,'MunicípiosEstados'!$AW$2:$AX$646,2,FALSE),
  O36="Sergipe",((W36*0.15)+(X36*0.7))*VLOOKUP(P36,'MunicípiosEstados'!$AY$2:$AZ$76,2,FALSE),
  O36="Tocantins",((W36*0.15)+(X36*0.7))*VLOOKUP(P36,'MunicípiosEstados'!$BA$2:$BB$140,2,FALSE),
  O36="Exterior",((W36*0.15)+(X36*0.7))*VLOOKUP(P36,'MunicípiosEstados'!$BC$2:$BE$221,3,FALSE),TRUE,0
)
</f>
        <v>14664.77</v>
      </c>
      <c r="AL36" s="25">
        <f t="shared" si="3"/>
        <v>18964.77</v>
      </c>
    </row>
    <row r="37" ht="22.5" hidden="1" customHeight="1">
      <c r="A37" s="15">
        <f t="shared" si="1"/>
        <v>36</v>
      </c>
      <c r="B37" s="16">
        <v>45989.58872799769</v>
      </c>
      <c r="C37" s="17" t="s">
        <v>661</v>
      </c>
      <c r="D37" s="27" t="s">
        <v>443</v>
      </c>
      <c r="E37" s="15" t="str">
        <f>VLOOKUP(G37,DiretoriaDepart.Coord.!$A$1:$C$72,2,FALSE)</f>
        <v>Extensão Rural</v>
      </c>
      <c r="F37" s="15" t="str">
        <f>VLOOKUP(G37,DiretoriaDepart.Coord.!$A$1:$C$72,3,FALSE)</f>
        <v>Projetos e Cadeias Produtivas</v>
      </c>
      <c r="G37" s="17" t="s">
        <v>662</v>
      </c>
      <c r="H37" s="15"/>
      <c r="I37" s="17" t="s">
        <v>675</v>
      </c>
      <c r="J37" s="17" t="s">
        <v>645</v>
      </c>
      <c r="K37" s="17">
        <v>2.0</v>
      </c>
      <c r="L37" s="15"/>
      <c r="M37" s="17" t="s">
        <v>547</v>
      </c>
      <c r="N37" s="17">
        <v>0.0</v>
      </c>
      <c r="O37" s="17" t="s">
        <v>611</v>
      </c>
      <c r="P37" s="17" t="s">
        <v>676</v>
      </c>
      <c r="Q37" s="20">
        <v>45760.708333333336</v>
      </c>
      <c r="R37" s="20">
        <v>45763.708333333336</v>
      </c>
      <c r="S37" s="17" t="s">
        <v>451</v>
      </c>
      <c r="T37" s="17" t="s">
        <v>452</v>
      </c>
      <c r="U37" s="21" t="s">
        <v>677</v>
      </c>
      <c r="V37" s="21" t="s">
        <v>678</v>
      </c>
      <c r="W37" s="22">
        <v>20.0</v>
      </c>
      <c r="X37" s="22">
        <v>8.0</v>
      </c>
      <c r="Y37" s="23">
        <v>600.0</v>
      </c>
      <c r="Z37" s="23">
        <v>0.0</v>
      </c>
      <c r="AA37" s="24">
        <v>0.0</v>
      </c>
      <c r="AB37" s="24">
        <v>0.0</v>
      </c>
      <c r="AC37" s="24">
        <v>0.0</v>
      </c>
      <c r="AD37" s="23">
        <v>300.0</v>
      </c>
      <c r="AE37" s="24">
        <v>0.0</v>
      </c>
      <c r="AF37" s="17" t="s">
        <v>451</v>
      </c>
      <c r="AG37" s="17">
        <v>2000.0</v>
      </c>
      <c r="AH37" s="17" t="s">
        <v>451</v>
      </c>
      <c r="AI37" s="25">
        <f>IF(AF37="Sim",INT((R37-Q37+1))*K37*VLOOKUP(P37,'Tabelas Auxiliares'!$A$1:$C$400,3,FALSE),0)</f>
        <v>0</v>
      </c>
      <c r="AJ37" s="25">
        <f t="shared" si="2"/>
        <v>1400</v>
      </c>
      <c r="AK37" s="25">
        <f>IFS(
  O37="Acre",((W37*0.15)+(X37*0.7))*VLOOKUP(P37,'MunicípiosEstados'!$A$2:$B$23,2,FALSE),
  O37="Alagoas",((W37*0.15)+(X37*0.7))*VLOOKUP(P37,'MunicípiosEstados'!$C$2:$D$103,2,FALSE),
  O37="Amapá",((W37*0.15)+(X37*0.7))*VLOOKUP(P37,'MunicípiosEstados'!$E$2:$F$17,2,FALSE),
  O37="Amazonas",((W37*0.15)+(X37*0.7))*VLOOKUP(P37,'MunicípiosEstados'!$G$2:$H$63,2,FALSE),
  O37="Bahia",((W37*0.15)+(X37*0.7))*VLOOKUP(P37,'MunicípiosEstados'!$I$2:$J$418,2,FALSE),
  O37="Ceará",((W37*0.15)+(X37*0.7))*VLOOKUP(P37,'MunicípiosEstados'!$K$2:$L$185,2,FALSE),
  O37="Distrito Federal",((W37*0.15)+(X37*0.7))*VLOOKUP(P37,'MunicípiosEstados'!$M$2:$N$2,2,FALSE),
  O37="Espírito Santo",((W37*0.15)+(X37*0.7))*VLOOKUP(P37,'MunicípiosEstados'!$O$2:$P$79,2,FALSE),
  O37="Goiás",((W37*0.15)+(X37*0.7))*VLOOKUP(P37,'MunicípiosEstados'!$Q$2:$R$247,2,FALSE),
  O37="Maranhão",((W37*0.15)+(X37*0.7))*VLOOKUP(P37,'MunicípiosEstados'!$S$2:$T$218,2,FALSE),
  O37="Mato Grosso",((W37*0.15)+(X37*0.7))*VLOOKUP(P37,'MunicípiosEstados'!$U$2:$V$143,2,FALSE),
  O37="Mato Grosso do Sul",((W37*0.15)+(X37*0.7))*VLOOKUP(P37,'MunicípiosEstados'!$W$2:$X$80,2,FALSE),
  O37="Minas Gerais",((W37*0.15)+(X37*0.7))*VLOOKUP(P37,'MunicípiosEstados'!$Y$2:$Z$854,2,FALSE),
  O37="Pará",((W37*0.15)+(X37*0.7))*VLOOKUP(P37,'MunicípiosEstados'!$AA$2:$AB$145,2,FALSE),
  O37="Paraíba",((W37*0.15)+(X37*0.7))*VLOOKUP(P37,'MunicípiosEstados'!$AC$2:$AD$224,2,FALSE),
  O37="Paraná",((W37*0.15)+(X37*0.7))*VLOOKUP(P37,'MunicípiosEstados'!$AE$2:$AF$400,2,FALSE),
  O37="Pernambuco",((W37*0.15)+(X37*0.7))*VLOOKUP(P37,'MunicípiosEstados'!$AG$2:$AH$186,2,FALSE),
  O37="Piauí",((W37*0.15)+(X37*0.7))*VLOOKUP(P37,'MunicípiosEstados'!$AI$2:$AJ$225,2,FALSE),
  O37="Rio Grande do Norte",((W37*0.15)+(X37*0.7))*VLOOKUP(P37,'MunicípiosEstados'!$AK$2:$AL$168,2,FALSE),
  O37="Rio Grande do Sul",((W37*0.15)+(X37*0.7))*VLOOKUP(P37,'MunicípiosEstados'!$AM$2:$AN$498,2,FALSE),
  O37="Rio de Janeiro",((W37*0.15)+(X37*0.7))*VLOOKUP(P37,'MunicípiosEstados'!$AO$2:$AP$93,2,FALSE),
  O37="Rondônia",((W37*0.15)+(X37*0.7))*VLOOKUP(P37,'MunicípiosEstados'!$AQ$2:$AR$53,2,FALSE),
  O37="Roraima",((W37*0.15)+(X37*0.7))*VLOOKUP(P37,'MunicípiosEstados'!$AS$2:$AT$16,2,FALSE),
  O37="Santa Catarina",((W37*0.15)+(X37*0.7))*VLOOKUP(P37,'MunicípiosEstados'!$AU$2:$AV$296,2,FALSE),
  O37="São Paulo",((W37*0.15)+(X37*0.7))*VLOOKUP(P37,'MunicípiosEstados'!$AW$2:$AX$646,2,FALSE),
  O37="Sergipe",((W37*0.15)+(X37*0.7))*VLOOKUP(P37,'MunicípiosEstados'!$AY$2:$AZ$76,2,FALSE),
  O37="Tocantins",((W37*0.15)+(X37*0.7))*VLOOKUP(P37,'MunicípiosEstados'!$BA$2:$BB$140,2,FALSE),
  O37="Exterior",((W37*0.15)+(X37*0.7))*VLOOKUP(P37,'MunicípiosEstados'!$BC$2:$BE$221,3,FALSE),TRUE,0
)
</f>
        <v>2498.73</v>
      </c>
      <c r="AL37" s="25">
        <f t="shared" si="3"/>
        <v>4798.73</v>
      </c>
    </row>
    <row r="38" ht="22.5" hidden="1" customHeight="1">
      <c r="A38" s="15">
        <f t="shared" si="1"/>
        <v>37</v>
      </c>
      <c r="B38" s="16">
        <v>45988.75286270834</v>
      </c>
      <c r="C38" s="17" t="s">
        <v>661</v>
      </c>
      <c r="D38" s="27" t="s">
        <v>443</v>
      </c>
      <c r="E38" s="15" t="str">
        <f>VLOOKUP(G38,DiretoriaDepart.Coord.!$A$1:$C$72,2,FALSE)</f>
        <v>Extensão Rural</v>
      </c>
      <c r="F38" s="15" t="str">
        <f>VLOOKUP(G38,DiretoriaDepart.Coord.!$A$1:$C$72,3,FALSE)</f>
        <v>Projetos e Cadeias Produtivas</v>
      </c>
      <c r="G38" s="17" t="s">
        <v>662</v>
      </c>
      <c r="H38" s="15"/>
      <c r="I38" s="17" t="s">
        <v>679</v>
      </c>
      <c r="J38" s="17" t="s">
        <v>490</v>
      </c>
      <c r="K38" s="17">
        <v>3.0</v>
      </c>
      <c r="L38" s="15"/>
      <c r="M38" s="17" t="s">
        <v>547</v>
      </c>
      <c r="N38" s="17">
        <v>0.0</v>
      </c>
      <c r="O38" s="17" t="s">
        <v>611</v>
      </c>
      <c r="P38" s="17" t="s">
        <v>680</v>
      </c>
      <c r="Q38" s="20">
        <v>45931.333333333336</v>
      </c>
      <c r="R38" s="20">
        <v>45933.708333333336</v>
      </c>
      <c r="S38" s="17" t="s">
        <v>451</v>
      </c>
      <c r="T38" s="17" t="s">
        <v>452</v>
      </c>
      <c r="U38" s="21" t="s">
        <v>681</v>
      </c>
      <c r="V38" s="21" t="s">
        <v>682</v>
      </c>
      <c r="W38" s="22">
        <v>30.0</v>
      </c>
      <c r="X38" s="22">
        <v>12.0</v>
      </c>
      <c r="Y38" s="23">
        <v>1500.0</v>
      </c>
      <c r="Z38" s="23">
        <v>0.0</v>
      </c>
      <c r="AA38" s="24">
        <v>0.0</v>
      </c>
      <c r="AB38" s="24">
        <v>0.0</v>
      </c>
      <c r="AC38" s="24">
        <v>0.0</v>
      </c>
      <c r="AD38" s="23">
        <v>350.0</v>
      </c>
      <c r="AE38" s="24">
        <v>0.0</v>
      </c>
      <c r="AF38" s="17" t="s">
        <v>451</v>
      </c>
      <c r="AG38" s="17">
        <v>2000.0</v>
      </c>
      <c r="AH38" s="17" t="s">
        <v>464</v>
      </c>
      <c r="AI38" s="25">
        <f>IF(AF38="Sim",INT((R38-Q38+1))*K38*VLOOKUP(P38,'Tabelas Auxiliares'!$A$1:$C$400,3,FALSE),0)</f>
        <v>0</v>
      </c>
      <c r="AJ38" s="25">
        <f t="shared" si="2"/>
        <v>1400</v>
      </c>
      <c r="AK38" s="25">
        <f>IFS(
  O38="Acre",((W38*0.15)+(X38*0.7))*VLOOKUP(P38,'MunicípiosEstados'!$A$2:$B$23,2,FALSE),
  O38="Alagoas",((W38*0.15)+(X38*0.7))*VLOOKUP(P38,'MunicípiosEstados'!$C$2:$D$103,2,FALSE),
  O38="Amapá",((W38*0.15)+(X38*0.7))*VLOOKUP(P38,'MunicípiosEstados'!$E$2:$F$17,2,FALSE),
  O38="Amazonas",((W38*0.15)+(X38*0.7))*VLOOKUP(P38,'MunicípiosEstados'!$G$2:$H$63,2,FALSE),
  O38="Bahia",((W38*0.15)+(X38*0.7))*VLOOKUP(P38,'MunicípiosEstados'!$I$2:$J$418,2,FALSE),
  O38="Ceará",((W38*0.15)+(X38*0.7))*VLOOKUP(P38,'MunicípiosEstados'!$K$2:$L$185,2,FALSE),
  O38="Distrito Federal",((W38*0.15)+(X38*0.7))*VLOOKUP(P38,'MunicípiosEstados'!$M$2:$N$2,2,FALSE),
  O38="Espírito Santo",((W38*0.15)+(X38*0.7))*VLOOKUP(P38,'MunicípiosEstados'!$O$2:$P$79,2,FALSE),
  O38="Goiás",((W38*0.15)+(X38*0.7))*VLOOKUP(P38,'MunicípiosEstados'!$Q$2:$R$247,2,FALSE),
  O38="Maranhão",((W38*0.15)+(X38*0.7))*VLOOKUP(P38,'MunicípiosEstados'!$S$2:$T$218,2,FALSE),
  O38="Mato Grosso",((W38*0.15)+(X38*0.7))*VLOOKUP(P38,'MunicípiosEstados'!$U$2:$V$143,2,FALSE),
  O38="Mato Grosso do Sul",((W38*0.15)+(X38*0.7))*VLOOKUP(P38,'MunicípiosEstados'!$W$2:$X$80,2,FALSE),
  O38="Minas Gerais",((W38*0.15)+(X38*0.7))*VLOOKUP(P38,'MunicípiosEstados'!$Y$2:$Z$854,2,FALSE),
  O38="Pará",((W38*0.15)+(X38*0.7))*VLOOKUP(P38,'MunicípiosEstados'!$AA$2:$AB$145,2,FALSE),
  O38="Paraíba",((W38*0.15)+(X38*0.7))*VLOOKUP(P38,'MunicípiosEstados'!$AC$2:$AD$224,2,FALSE),
  O38="Paraná",((W38*0.15)+(X38*0.7))*VLOOKUP(P38,'MunicípiosEstados'!$AE$2:$AF$400,2,FALSE),
  O38="Pernambuco",((W38*0.15)+(X38*0.7))*VLOOKUP(P38,'MunicípiosEstados'!$AG$2:$AH$186,2,FALSE),
  O38="Piauí",((W38*0.15)+(X38*0.7))*VLOOKUP(P38,'MunicípiosEstados'!$AI$2:$AJ$225,2,FALSE),
  O38="Rio Grande do Norte",((W38*0.15)+(X38*0.7))*VLOOKUP(P38,'MunicípiosEstados'!$AK$2:$AL$168,2,FALSE),
  O38="Rio Grande do Sul",((W38*0.15)+(X38*0.7))*VLOOKUP(P38,'MunicípiosEstados'!$AM$2:$AN$498,2,FALSE),
  O38="Rio de Janeiro",((W38*0.15)+(X38*0.7))*VLOOKUP(P38,'MunicípiosEstados'!$AO$2:$AP$93,2,FALSE),
  O38="Rondônia",((W38*0.15)+(X38*0.7))*VLOOKUP(P38,'MunicípiosEstados'!$AQ$2:$AR$53,2,FALSE),
  O38="Roraima",((W38*0.15)+(X38*0.7))*VLOOKUP(P38,'MunicípiosEstados'!$AS$2:$AT$16,2,FALSE),
  O38="Santa Catarina",((W38*0.15)+(X38*0.7))*VLOOKUP(P38,'MunicípiosEstados'!$AU$2:$AV$296,2,FALSE),
  O38="São Paulo",((W38*0.15)+(X38*0.7))*VLOOKUP(P38,'MunicípiosEstados'!$AW$2:$AX$646,2,FALSE),
  O38="Sergipe",((W38*0.15)+(X38*0.7))*VLOOKUP(P38,'MunicípiosEstados'!$AY$2:$AZ$76,2,FALSE),
  O38="Tocantins",((W38*0.15)+(X38*0.7))*VLOOKUP(P38,'MunicípiosEstados'!$BA$2:$BB$140,2,FALSE),
  O38="Exterior",((W38*0.15)+(X38*0.7))*VLOOKUP(P38,'MunicípiosEstados'!$BC$2:$BE$221,3,FALSE),TRUE,0
)
</f>
        <v>3748.095</v>
      </c>
      <c r="AL38" s="25">
        <f t="shared" si="3"/>
        <v>6998.095</v>
      </c>
    </row>
    <row r="39" ht="22.5" hidden="1" customHeight="1">
      <c r="A39" s="15">
        <f t="shared" si="1"/>
        <v>38</v>
      </c>
      <c r="B39" s="16">
        <v>45989.47238046296</v>
      </c>
      <c r="C39" s="17" t="s">
        <v>683</v>
      </c>
      <c r="D39" s="27" t="s">
        <v>443</v>
      </c>
      <c r="E39" s="15" t="str">
        <f>VLOOKUP(G39,DiretoriaDepart.Coord.!$A$1:$C$72,2,FALSE)</f>
        <v>Pesquisa e Inovação</v>
      </c>
      <c r="F39" s="15" t="str">
        <f>VLOOKUP(G39,DiretoriaDepart.Coord.!$A$1:$C$72,3,FALSE)</f>
        <v>Pesquisa e Capacitação</v>
      </c>
      <c r="G39" s="17" t="s">
        <v>684</v>
      </c>
      <c r="H39" s="15"/>
      <c r="I39" s="17" t="s">
        <v>685</v>
      </c>
      <c r="J39" s="17" t="s">
        <v>490</v>
      </c>
      <c r="K39" s="17">
        <v>1.0</v>
      </c>
      <c r="L39" s="17" t="s">
        <v>686</v>
      </c>
      <c r="M39" s="17" t="s">
        <v>687</v>
      </c>
      <c r="N39" s="17">
        <v>0.0</v>
      </c>
      <c r="O39" s="17" t="s">
        <v>611</v>
      </c>
      <c r="P39" s="17" t="s">
        <v>640</v>
      </c>
      <c r="Q39" s="20">
        <v>45935.333333333336</v>
      </c>
      <c r="R39" s="20">
        <v>45938.708333333336</v>
      </c>
      <c r="S39" s="17" t="s">
        <v>451</v>
      </c>
      <c r="T39" s="17" t="s">
        <v>452</v>
      </c>
      <c r="U39" s="21" t="s">
        <v>688</v>
      </c>
      <c r="V39" s="21" t="s">
        <v>689</v>
      </c>
      <c r="W39" s="22">
        <v>12.0</v>
      </c>
      <c r="X39" s="22">
        <v>5.0</v>
      </c>
      <c r="Y39" s="23">
        <v>200.0</v>
      </c>
      <c r="Z39" s="23">
        <v>0.0</v>
      </c>
      <c r="AA39" s="24">
        <v>0.0</v>
      </c>
      <c r="AB39" s="24">
        <v>0.0</v>
      </c>
      <c r="AC39" s="24">
        <v>0.0</v>
      </c>
      <c r="AD39" s="23">
        <v>300.0</v>
      </c>
      <c r="AE39" s="24">
        <v>0.0</v>
      </c>
      <c r="AF39" s="17" t="s">
        <v>451</v>
      </c>
      <c r="AG39" s="17">
        <v>1200.0</v>
      </c>
      <c r="AH39" s="17" t="s">
        <v>451</v>
      </c>
      <c r="AI39" s="25">
        <f>IF(AF39="Sim",INT((R39-Q39+1))*K39*VLOOKUP(P39,'Tabelas Auxiliares'!$A$1:$C$400,3,FALSE),0)</f>
        <v>0</v>
      </c>
      <c r="AJ39" s="25">
        <f t="shared" si="2"/>
        <v>840</v>
      </c>
      <c r="AK39" s="25">
        <f>IFS(
  O39="Acre",((W39*0.15)+(X39*0.7))*VLOOKUP(P39,'MunicípiosEstados'!$A$2:$B$23,2,FALSE),
  O39="Alagoas",((W39*0.15)+(X39*0.7))*VLOOKUP(P39,'MunicípiosEstados'!$C$2:$D$103,2,FALSE),
  O39="Amapá",((W39*0.15)+(X39*0.7))*VLOOKUP(P39,'MunicípiosEstados'!$E$2:$F$17,2,FALSE),
  O39="Amazonas",((W39*0.15)+(X39*0.7))*VLOOKUP(P39,'MunicípiosEstados'!$G$2:$H$63,2,FALSE),
  O39="Bahia",((W39*0.15)+(X39*0.7))*VLOOKUP(P39,'MunicípiosEstados'!$I$2:$J$418,2,FALSE),
  O39="Ceará",((W39*0.15)+(X39*0.7))*VLOOKUP(P39,'MunicípiosEstados'!$K$2:$L$185,2,FALSE),
  O39="Distrito Federal",((W39*0.15)+(X39*0.7))*VLOOKUP(P39,'MunicípiosEstados'!$M$2:$N$2,2,FALSE),
  O39="Espírito Santo",((W39*0.15)+(X39*0.7))*VLOOKUP(P39,'MunicípiosEstados'!$O$2:$P$79,2,FALSE),
  O39="Goiás",((W39*0.15)+(X39*0.7))*VLOOKUP(P39,'MunicípiosEstados'!$Q$2:$R$247,2,FALSE),
  O39="Maranhão",((W39*0.15)+(X39*0.7))*VLOOKUP(P39,'MunicípiosEstados'!$S$2:$T$218,2,FALSE),
  O39="Mato Grosso",((W39*0.15)+(X39*0.7))*VLOOKUP(P39,'MunicípiosEstados'!$U$2:$V$143,2,FALSE),
  O39="Mato Grosso do Sul",((W39*0.15)+(X39*0.7))*VLOOKUP(P39,'MunicípiosEstados'!$W$2:$X$80,2,FALSE),
  O39="Minas Gerais",((W39*0.15)+(X39*0.7))*VLOOKUP(P39,'MunicípiosEstados'!$Y$2:$Z$854,2,FALSE),
  O39="Pará",((W39*0.15)+(X39*0.7))*VLOOKUP(P39,'MunicípiosEstados'!$AA$2:$AB$145,2,FALSE),
  O39="Paraíba",((W39*0.15)+(X39*0.7))*VLOOKUP(P39,'MunicípiosEstados'!$AC$2:$AD$224,2,FALSE),
  O39="Paraná",((W39*0.15)+(X39*0.7))*VLOOKUP(P39,'MunicípiosEstados'!$AE$2:$AF$400,2,FALSE),
  O39="Pernambuco",((W39*0.15)+(X39*0.7))*VLOOKUP(P39,'MunicípiosEstados'!$AG$2:$AH$186,2,FALSE),
  O39="Piauí",((W39*0.15)+(X39*0.7))*VLOOKUP(P39,'MunicípiosEstados'!$AI$2:$AJ$225,2,FALSE),
  O39="Rio Grande do Norte",((W39*0.15)+(X39*0.7))*VLOOKUP(P39,'MunicípiosEstados'!$AK$2:$AL$168,2,FALSE),
  O39="Rio Grande do Sul",((W39*0.15)+(X39*0.7))*VLOOKUP(P39,'MunicípiosEstados'!$AM$2:$AN$498,2,FALSE),
  O39="Rio de Janeiro",((W39*0.15)+(X39*0.7))*VLOOKUP(P39,'MunicípiosEstados'!$AO$2:$AP$93,2,FALSE),
  O39="Rondônia",((W39*0.15)+(X39*0.7))*VLOOKUP(P39,'MunicípiosEstados'!$AQ$2:$AR$53,2,FALSE),
  O39="Roraima",((W39*0.15)+(X39*0.7))*VLOOKUP(P39,'MunicípiosEstados'!$AS$2:$AT$16,2,FALSE),
  O39="Santa Catarina",((W39*0.15)+(X39*0.7))*VLOOKUP(P39,'MunicípiosEstados'!$AU$2:$AV$296,2,FALSE),
  O39="São Paulo",((W39*0.15)+(X39*0.7))*VLOOKUP(P39,'MunicípiosEstados'!$AW$2:$AX$646,2,FALSE),
  O39="Sergipe",((W39*0.15)+(X39*0.7))*VLOOKUP(P39,'MunicípiosEstados'!$AY$2:$AZ$76,2,FALSE),
  O39="Tocantins",((W39*0.15)+(X39*0.7))*VLOOKUP(P39,'MunicípiosEstados'!$BA$2:$BB$140,2,FALSE),
  O39="Exterior",((W39*0.15)+(X39*0.7))*VLOOKUP(P39,'MunicípiosEstados'!$BC$2:$BE$221,3,FALSE),TRUE,0
)
</f>
        <v>1539.915</v>
      </c>
      <c r="AL39" s="25">
        <f t="shared" si="3"/>
        <v>2879.915</v>
      </c>
      <c r="AN39" s="35"/>
    </row>
    <row r="40" ht="22.5" hidden="1" customHeight="1">
      <c r="A40" s="15">
        <f t="shared" si="1"/>
        <v>39</v>
      </c>
      <c r="B40" s="16">
        <v>45989.72187920139</v>
      </c>
      <c r="C40" s="17" t="s">
        <v>506</v>
      </c>
      <c r="D40" s="27" t="s">
        <v>443</v>
      </c>
      <c r="E40" s="15" t="str">
        <f>VLOOKUP(G40,DiretoriaDepart.Coord.!$A$1:$C$72,2,FALSE)</f>
        <v>Pesquisa e Inovação</v>
      </c>
      <c r="F40" s="15" t="str">
        <f>VLOOKUP(G40,DiretoriaDepart.Coord.!$A$1:$C$72,3,FALSE)</f>
        <v>Pesquisa e Capacitação</v>
      </c>
      <c r="G40" s="17" t="s">
        <v>630</v>
      </c>
      <c r="H40" s="15"/>
      <c r="I40" s="17" t="s">
        <v>671</v>
      </c>
      <c r="J40" s="17" t="s">
        <v>645</v>
      </c>
      <c r="K40" s="17">
        <v>1.0</v>
      </c>
      <c r="L40" s="17" t="s">
        <v>690</v>
      </c>
      <c r="M40" s="17" t="s">
        <v>547</v>
      </c>
      <c r="N40" s="17">
        <v>1.0</v>
      </c>
      <c r="O40" s="17" t="s">
        <v>611</v>
      </c>
      <c r="P40" s="17" t="s">
        <v>634</v>
      </c>
      <c r="Q40" s="20">
        <v>45972.333333333336</v>
      </c>
      <c r="R40" s="20">
        <v>45974.708333333336</v>
      </c>
      <c r="S40" s="17" t="s">
        <v>451</v>
      </c>
      <c r="T40" s="17" t="s">
        <v>452</v>
      </c>
      <c r="U40" s="21" t="s">
        <v>691</v>
      </c>
      <c r="V40" s="21" t="s">
        <v>692</v>
      </c>
      <c r="W40" s="22">
        <v>10.0</v>
      </c>
      <c r="X40" s="22">
        <v>5.0</v>
      </c>
      <c r="Y40" s="23">
        <v>200.0</v>
      </c>
      <c r="Z40" s="23">
        <v>0.0</v>
      </c>
      <c r="AA40" s="24">
        <v>2000.0</v>
      </c>
      <c r="AB40" s="24">
        <v>0.0</v>
      </c>
      <c r="AC40" s="24">
        <v>400.0</v>
      </c>
      <c r="AD40" s="23">
        <v>0.0</v>
      </c>
      <c r="AE40" s="24">
        <v>0.0</v>
      </c>
      <c r="AF40" s="17" t="s">
        <v>451</v>
      </c>
      <c r="AG40" s="34" t="s">
        <v>581</v>
      </c>
      <c r="AH40" s="17" t="s">
        <v>451</v>
      </c>
      <c r="AI40" s="25">
        <f>IF(AF40="Sim",INT((R40-Q40+1))*K40*VLOOKUP(P40,'Tabelas Auxiliares'!$A$1:$C$400,3,FALSE),0)</f>
        <v>0</v>
      </c>
      <c r="AJ40" s="25">
        <f t="shared" si="2"/>
        <v>0</v>
      </c>
      <c r="AK40" s="25">
        <f>IFS(
  O40="Acre",((W40*0.15)+(X40*0.7))*VLOOKUP(P40,'MunicípiosEstados'!$A$2:$B$23,2,FALSE),
  O40="Alagoas",((W40*0.15)+(X40*0.7))*VLOOKUP(P40,'MunicípiosEstados'!$C$2:$D$103,2,FALSE),
  O40="Amapá",((W40*0.15)+(X40*0.7))*VLOOKUP(P40,'MunicípiosEstados'!$E$2:$F$17,2,FALSE),
  O40="Amazonas",((W40*0.15)+(X40*0.7))*VLOOKUP(P40,'MunicípiosEstados'!$G$2:$H$63,2,FALSE),
  O40="Bahia",((W40*0.15)+(X40*0.7))*VLOOKUP(P40,'MunicípiosEstados'!$I$2:$J$418,2,FALSE),
  O40="Ceará",((W40*0.15)+(X40*0.7))*VLOOKUP(P40,'MunicípiosEstados'!$K$2:$L$185,2,FALSE),
  O40="Distrito Federal",((W40*0.15)+(X40*0.7))*VLOOKUP(P40,'MunicípiosEstados'!$M$2:$N$2,2,FALSE),
  O40="Espírito Santo",((W40*0.15)+(X40*0.7))*VLOOKUP(P40,'MunicípiosEstados'!$O$2:$P$79,2,FALSE),
  O40="Goiás",((W40*0.15)+(X40*0.7))*VLOOKUP(P40,'MunicípiosEstados'!$Q$2:$R$247,2,FALSE),
  O40="Maranhão",((W40*0.15)+(X40*0.7))*VLOOKUP(P40,'MunicípiosEstados'!$S$2:$T$218,2,FALSE),
  O40="Mato Grosso",((W40*0.15)+(X40*0.7))*VLOOKUP(P40,'MunicípiosEstados'!$U$2:$V$143,2,FALSE),
  O40="Mato Grosso do Sul",((W40*0.15)+(X40*0.7))*VLOOKUP(P40,'MunicípiosEstados'!$W$2:$X$80,2,FALSE),
  O40="Minas Gerais",((W40*0.15)+(X40*0.7))*VLOOKUP(P40,'MunicípiosEstados'!$Y$2:$Z$854,2,FALSE),
  O40="Pará",((W40*0.15)+(X40*0.7))*VLOOKUP(P40,'MunicípiosEstados'!$AA$2:$AB$145,2,FALSE),
  O40="Paraíba",((W40*0.15)+(X40*0.7))*VLOOKUP(P40,'MunicípiosEstados'!$AC$2:$AD$224,2,FALSE),
  O40="Paraná",((W40*0.15)+(X40*0.7))*VLOOKUP(P40,'MunicípiosEstados'!$AE$2:$AF$400,2,FALSE),
  O40="Pernambuco",((W40*0.15)+(X40*0.7))*VLOOKUP(P40,'MunicípiosEstados'!$AG$2:$AH$186,2,FALSE),
  O40="Piauí",((W40*0.15)+(X40*0.7))*VLOOKUP(P40,'MunicípiosEstados'!$AI$2:$AJ$225,2,FALSE),
  O40="Rio Grande do Norte",((W40*0.15)+(X40*0.7))*VLOOKUP(P40,'MunicípiosEstados'!$AK$2:$AL$168,2,FALSE),
  O40="Rio Grande do Sul",((W40*0.15)+(X40*0.7))*VLOOKUP(P40,'MunicípiosEstados'!$AM$2:$AN$498,2,FALSE),
  O40="Rio de Janeiro",((W40*0.15)+(X40*0.7))*VLOOKUP(P40,'MunicípiosEstados'!$AO$2:$AP$93,2,FALSE),
  O40="Rondônia",((W40*0.15)+(X40*0.7))*VLOOKUP(P40,'MunicípiosEstados'!$AQ$2:$AR$53,2,FALSE),
  O40="Roraima",((W40*0.15)+(X40*0.7))*VLOOKUP(P40,'MunicípiosEstados'!$AS$2:$AT$16,2,FALSE),
  O40="Santa Catarina",((W40*0.15)+(X40*0.7))*VLOOKUP(P40,'MunicípiosEstados'!$AU$2:$AV$296,2,FALSE),
  O40="São Paulo",((W40*0.15)+(X40*0.7))*VLOOKUP(P40,'MunicípiosEstados'!$AW$2:$AX$646,2,FALSE),
  O40="Sergipe",((W40*0.15)+(X40*0.7))*VLOOKUP(P40,'MunicípiosEstados'!$AY$2:$AZ$76,2,FALSE),
  O40="Tocantins",((W40*0.15)+(X40*0.7))*VLOOKUP(P40,'MunicípiosEstados'!$BA$2:$BB$140,2,FALSE),
  O40="Exterior",((W40*0.15)+(X40*0.7))*VLOOKUP(P40,'MunicípiosEstados'!$BC$2:$BE$221,3,FALSE),TRUE,0
)
</f>
        <v>1856.3</v>
      </c>
      <c r="AL40" s="25">
        <f t="shared" si="3"/>
        <v>4456.3</v>
      </c>
      <c r="AN40" s="35"/>
    </row>
    <row r="41" ht="22.5" hidden="1" customHeight="1">
      <c r="A41" s="15">
        <f t="shared" si="1"/>
        <v>40</v>
      </c>
      <c r="B41" s="16">
        <v>45992.68802678241</v>
      </c>
      <c r="C41" s="17" t="s">
        <v>683</v>
      </c>
      <c r="D41" s="27" t="s">
        <v>443</v>
      </c>
      <c r="E41" s="15" t="str">
        <f>VLOOKUP(G41,DiretoriaDepart.Coord.!$A$1:$C$72,2,FALSE)</f>
        <v>Pesquisa e Inovação</v>
      </c>
      <c r="F41" s="15" t="str">
        <f>VLOOKUP(G41,DiretoriaDepart.Coord.!$A$1:$C$72,3,FALSE)</f>
        <v>Pesquisa e Capacitação</v>
      </c>
      <c r="G41" s="17" t="s">
        <v>684</v>
      </c>
      <c r="H41" s="15"/>
      <c r="I41" s="17" t="s">
        <v>671</v>
      </c>
      <c r="J41" s="17" t="s">
        <v>645</v>
      </c>
      <c r="K41" s="17">
        <v>1.0</v>
      </c>
      <c r="L41" s="15"/>
      <c r="M41" s="17" t="s">
        <v>693</v>
      </c>
      <c r="N41" s="17">
        <v>0.0</v>
      </c>
      <c r="O41" s="17" t="s">
        <v>611</v>
      </c>
      <c r="P41" s="17" t="s">
        <v>634</v>
      </c>
      <c r="Q41" s="20">
        <v>45972.416666666664</v>
      </c>
      <c r="R41" s="20">
        <v>45974.75</v>
      </c>
      <c r="S41" s="17" t="s">
        <v>464</v>
      </c>
      <c r="T41" s="17" t="s">
        <v>452</v>
      </c>
      <c r="U41" s="21" t="s">
        <v>694</v>
      </c>
      <c r="V41" s="21" t="s">
        <v>695</v>
      </c>
      <c r="W41" s="22">
        <v>10.0</v>
      </c>
      <c r="X41" s="22">
        <v>4.0</v>
      </c>
      <c r="Y41" s="23">
        <v>0.0</v>
      </c>
      <c r="Z41" s="23">
        <v>0.0</v>
      </c>
      <c r="AA41" s="24">
        <v>2000.0</v>
      </c>
      <c r="AB41" s="24">
        <v>0.0</v>
      </c>
      <c r="AC41" s="24">
        <v>400.0</v>
      </c>
      <c r="AD41" s="23">
        <v>0.0</v>
      </c>
      <c r="AE41" s="24">
        <v>0.0</v>
      </c>
      <c r="AF41" s="17" t="s">
        <v>451</v>
      </c>
      <c r="AG41" s="17">
        <v>0.0</v>
      </c>
      <c r="AH41" s="17" t="s">
        <v>451</v>
      </c>
      <c r="AI41" s="25">
        <f>IF(AF41="Sim",INT((R41-Q41+1))*K41*VLOOKUP(P41,'Tabelas Auxiliares'!$A$1:$C$400,3,FALSE),0)</f>
        <v>0</v>
      </c>
      <c r="AJ41" s="25">
        <f t="shared" si="2"/>
        <v>0</v>
      </c>
      <c r="AK41" s="25">
        <f>IFS(
  O41="Acre",((W41*0.15)+(X41*0.7))*VLOOKUP(P41,'MunicípiosEstados'!$A$2:$B$23,2,FALSE),
  O41="Alagoas",((W41*0.15)+(X41*0.7))*VLOOKUP(P41,'MunicípiosEstados'!$C$2:$D$103,2,FALSE),
  O41="Amapá",((W41*0.15)+(X41*0.7))*VLOOKUP(P41,'MunicípiosEstados'!$E$2:$F$17,2,FALSE),
  O41="Amazonas",((W41*0.15)+(X41*0.7))*VLOOKUP(P41,'MunicípiosEstados'!$G$2:$H$63,2,FALSE),
  O41="Bahia",((W41*0.15)+(X41*0.7))*VLOOKUP(P41,'MunicípiosEstados'!$I$2:$J$418,2,FALSE),
  O41="Ceará",((W41*0.15)+(X41*0.7))*VLOOKUP(P41,'MunicípiosEstados'!$K$2:$L$185,2,FALSE),
  O41="Distrito Federal",((W41*0.15)+(X41*0.7))*VLOOKUP(P41,'MunicípiosEstados'!$M$2:$N$2,2,FALSE),
  O41="Espírito Santo",((W41*0.15)+(X41*0.7))*VLOOKUP(P41,'MunicípiosEstados'!$O$2:$P$79,2,FALSE),
  O41="Goiás",((W41*0.15)+(X41*0.7))*VLOOKUP(P41,'MunicípiosEstados'!$Q$2:$R$247,2,FALSE),
  O41="Maranhão",((W41*0.15)+(X41*0.7))*VLOOKUP(P41,'MunicípiosEstados'!$S$2:$T$218,2,FALSE),
  O41="Mato Grosso",((W41*0.15)+(X41*0.7))*VLOOKUP(P41,'MunicípiosEstados'!$U$2:$V$143,2,FALSE),
  O41="Mato Grosso do Sul",((W41*0.15)+(X41*0.7))*VLOOKUP(P41,'MunicípiosEstados'!$W$2:$X$80,2,FALSE),
  O41="Minas Gerais",((W41*0.15)+(X41*0.7))*VLOOKUP(P41,'MunicípiosEstados'!$Y$2:$Z$854,2,FALSE),
  O41="Pará",((W41*0.15)+(X41*0.7))*VLOOKUP(P41,'MunicípiosEstados'!$AA$2:$AB$145,2,FALSE),
  O41="Paraíba",((W41*0.15)+(X41*0.7))*VLOOKUP(P41,'MunicípiosEstados'!$AC$2:$AD$224,2,FALSE),
  O41="Paraná",((W41*0.15)+(X41*0.7))*VLOOKUP(P41,'MunicípiosEstados'!$AE$2:$AF$400,2,FALSE),
  O41="Pernambuco",((W41*0.15)+(X41*0.7))*VLOOKUP(P41,'MunicípiosEstados'!$AG$2:$AH$186,2,FALSE),
  O41="Piauí",((W41*0.15)+(X41*0.7))*VLOOKUP(P41,'MunicípiosEstados'!$AI$2:$AJ$225,2,FALSE),
  O41="Rio Grande do Norte",((W41*0.15)+(X41*0.7))*VLOOKUP(P41,'MunicípiosEstados'!$AK$2:$AL$168,2,FALSE),
  O41="Rio Grande do Sul",((W41*0.15)+(X41*0.7))*VLOOKUP(P41,'MunicípiosEstados'!$AM$2:$AN$498,2,FALSE),
  O41="Rio de Janeiro",((W41*0.15)+(X41*0.7))*VLOOKUP(P41,'MunicípiosEstados'!$AO$2:$AP$93,2,FALSE),
  O41="Rondônia",((W41*0.15)+(X41*0.7))*VLOOKUP(P41,'MunicípiosEstados'!$AQ$2:$AR$53,2,FALSE),
  O41="Roraima",((W41*0.15)+(X41*0.7))*VLOOKUP(P41,'MunicípiosEstados'!$AS$2:$AT$16,2,FALSE),
  O41="Santa Catarina",((W41*0.15)+(X41*0.7))*VLOOKUP(P41,'MunicípiosEstados'!$AU$2:$AV$296,2,FALSE),
  O41="São Paulo",((W41*0.15)+(X41*0.7))*VLOOKUP(P41,'MunicípiosEstados'!$AW$2:$AX$646,2,FALSE),
  O41="Sergipe",((W41*0.15)+(X41*0.7))*VLOOKUP(P41,'MunicípiosEstados'!$AY$2:$AZ$76,2,FALSE),
  O41="Tocantins",((W41*0.15)+(X41*0.7))*VLOOKUP(P41,'MunicípiosEstados'!$BA$2:$BB$140,2,FALSE),
  O41="Exterior",((W41*0.15)+(X41*0.7))*VLOOKUP(P41,'MunicípiosEstados'!$BC$2:$BE$221,3,FALSE),TRUE,0
)
</f>
        <v>1596.418</v>
      </c>
      <c r="AL41" s="25">
        <f t="shared" si="3"/>
        <v>3996.418</v>
      </c>
      <c r="AN41" s="35"/>
    </row>
    <row r="42" ht="22.5" customHeight="1">
      <c r="A42" s="15">
        <f t="shared" si="1"/>
        <v>41</v>
      </c>
      <c r="B42" s="16">
        <v>45998.82037796296</v>
      </c>
      <c r="C42" s="17" t="s">
        <v>696</v>
      </c>
      <c r="D42" s="27" t="s">
        <v>443</v>
      </c>
      <c r="E42" s="15" t="str">
        <f>VLOOKUP(G42,DiretoriaDepart.Coord.!$A$1:$C$72,2,FALSE)</f>
        <v>Extensão Rural</v>
      </c>
      <c r="F42" s="15" t="str">
        <f>VLOOKUP(G42,DiretoriaDepart.Coord.!$A$1:$C$72,3,FALSE)</f>
        <v>Projetos e Cadeias Produtivas</v>
      </c>
      <c r="G42" s="17" t="s">
        <v>697</v>
      </c>
      <c r="H42" s="15"/>
      <c r="I42" s="17" t="s">
        <v>698</v>
      </c>
      <c r="J42" s="17" t="s">
        <v>576</v>
      </c>
      <c r="K42" s="34" t="s">
        <v>699</v>
      </c>
      <c r="L42" s="15"/>
      <c r="M42" s="17" t="s">
        <v>700</v>
      </c>
      <c r="N42" s="34" t="s">
        <v>701</v>
      </c>
      <c r="O42" s="17" t="s">
        <v>611</v>
      </c>
      <c r="P42" s="17" t="s">
        <v>702</v>
      </c>
      <c r="Q42" s="20">
        <v>45915.354166666664</v>
      </c>
      <c r="R42" s="20">
        <v>45917.708333333336</v>
      </c>
      <c r="S42" s="17" t="s">
        <v>451</v>
      </c>
      <c r="T42" s="17" t="s">
        <v>452</v>
      </c>
      <c r="U42" s="21" t="s">
        <v>703</v>
      </c>
      <c r="V42" s="21" t="s">
        <v>704</v>
      </c>
      <c r="W42" s="22">
        <v>90.0</v>
      </c>
      <c r="X42" s="22">
        <v>45.0</v>
      </c>
      <c r="Y42" s="23">
        <v>0.0</v>
      </c>
      <c r="Z42" s="23">
        <v>0.0</v>
      </c>
      <c r="AA42" s="24">
        <v>0.0</v>
      </c>
      <c r="AB42" s="24">
        <v>0.0</v>
      </c>
      <c r="AC42" s="24">
        <v>0.0</v>
      </c>
      <c r="AD42" s="23">
        <v>0.0</v>
      </c>
      <c r="AE42" s="24">
        <v>0.0</v>
      </c>
      <c r="AF42" s="17" t="s">
        <v>451</v>
      </c>
      <c r="AG42" s="17">
        <v>5000.0</v>
      </c>
      <c r="AH42" s="17" t="s">
        <v>464</v>
      </c>
      <c r="AI42" s="25">
        <f>IF(AF42="Sim",INT((R42-Q42+1))*K42*VLOOKUP(P42,'Tabelas Auxiliares'!$A$1:$C$400,3,FALSE),0)</f>
        <v>0</v>
      </c>
      <c r="AJ42" s="25">
        <f t="shared" si="2"/>
        <v>3500</v>
      </c>
      <c r="AK42" s="25">
        <f>IFS(
  O42="Acre",((W42*0.15)+(X42*0.7))*VLOOKUP(P42,'MunicípiosEstados'!$A$2:$B$23,2,FALSE),
  O42="Alagoas",((W42*0.15)+(X42*0.7))*VLOOKUP(P42,'MunicípiosEstados'!$C$2:$D$103,2,FALSE),
  O42="Amapá",((W42*0.15)+(X42*0.7))*VLOOKUP(P42,'MunicípiosEstados'!$E$2:$F$17,2,FALSE),
  O42="Amazonas",((W42*0.15)+(X42*0.7))*VLOOKUP(P42,'MunicípiosEstados'!$G$2:$H$63,2,FALSE),
  O42="Bahia",((W42*0.15)+(X42*0.7))*VLOOKUP(P42,'MunicípiosEstados'!$I$2:$J$418,2,FALSE),
  O42="Ceará",((W42*0.15)+(X42*0.7))*VLOOKUP(P42,'MunicípiosEstados'!$K$2:$L$185,2,FALSE),
  O42="Distrito Federal",((W42*0.15)+(X42*0.7))*VLOOKUP(P42,'MunicípiosEstados'!$M$2:$N$2,2,FALSE),
  O42="Espírito Santo",((W42*0.15)+(X42*0.7))*VLOOKUP(P42,'MunicípiosEstados'!$O$2:$P$79,2,FALSE),
  O42="Goiás",((W42*0.15)+(X42*0.7))*VLOOKUP(P42,'MunicípiosEstados'!$Q$2:$R$247,2,FALSE),
  O42="Maranhão",((W42*0.15)+(X42*0.7))*VLOOKUP(P42,'MunicípiosEstados'!$S$2:$T$218,2,FALSE),
  O42="Mato Grosso",((W42*0.15)+(X42*0.7))*VLOOKUP(P42,'MunicípiosEstados'!$U$2:$V$143,2,FALSE),
  O42="Mato Grosso do Sul",((W42*0.15)+(X42*0.7))*VLOOKUP(P42,'MunicípiosEstados'!$W$2:$X$80,2,FALSE),
  O42="Minas Gerais",((W42*0.15)+(X42*0.7))*VLOOKUP(P42,'MunicípiosEstados'!$Y$2:$Z$854,2,FALSE),
  O42="Pará",((W42*0.15)+(X42*0.7))*VLOOKUP(P42,'MunicípiosEstados'!$AA$2:$AB$145,2,FALSE),
  O42="Paraíba",((W42*0.15)+(X42*0.7))*VLOOKUP(P42,'MunicípiosEstados'!$AC$2:$AD$224,2,FALSE),
  O42="Paraná",((W42*0.15)+(X42*0.7))*VLOOKUP(P42,'MunicípiosEstados'!$AE$2:$AF$400,2,FALSE),
  O42="Pernambuco",((W42*0.15)+(X42*0.7))*VLOOKUP(P42,'MunicípiosEstados'!$AG$2:$AH$186,2,FALSE),
  O42="Piauí",((W42*0.15)+(X42*0.7))*VLOOKUP(P42,'MunicípiosEstados'!$AI$2:$AJ$225,2,FALSE),
  O42="Rio Grande do Norte",((W42*0.15)+(X42*0.7))*VLOOKUP(P42,'MunicípiosEstados'!$AK$2:$AL$168,2,FALSE),
  O42="Rio Grande do Sul",((W42*0.15)+(X42*0.7))*VLOOKUP(P42,'MunicípiosEstados'!$AM$2:$AN$498,2,FALSE),
  O42="Rio de Janeiro",((W42*0.15)+(X42*0.7))*VLOOKUP(P42,'MunicípiosEstados'!$AO$2:$AP$93,2,FALSE),
  O42="Rondônia",((W42*0.15)+(X42*0.7))*VLOOKUP(P42,'MunicípiosEstados'!$AQ$2:$AR$53,2,FALSE),
  O42="Roraima",((W42*0.15)+(X42*0.7))*VLOOKUP(P42,'MunicípiosEstados'!$AS$2:$AT$16,2,FALSE),
  O42="Santa Catarina",((W42*0.15)+(X42*0.7))*VLOOKUP(P42,'MunicípiosEstados'!$AU$2:$AV$296,2,FALSE),
  O42="São Paulo",((W42*0.15)+(X42*0.7))*VLOOKUP(P42,'MunicípiosEstados'!$AW$2:$AX$646,2,FALSE),
  O42="Sergipe",((W42*0.15)+(X42*0.7))*VLOOKUP(P42,'MunicípiosEstados'!$AY$2:$AZ$76,2,FALSE),
  O42="Tocantins",((W42*0.15)+(X42*0.7))*VLOOKUP(P42,'MunicípiosEstados'!$BA$2:$BB$140,2,FALSE),
  O42="Exterior",((W42*0.15)+(X42*0.7))*VLOOKUP(P42,'MunicípiosEstados'!$BC$2:$BE$221,3,FALSE),TRUE,0
)
</f>
        <v>13074.75</v>
      </c>
      <c r="AL42" s="25">
        <f t="shared" si="3"/>
        <v>16574.75</v>
      </c>
    </row>
    <row r="43" ht="22.5" hidden="1" customHeight="1">
      <c r="A43" s="15">
        <f t="shared" si="1"/>
        <v>42</v>
      </c>
      <c r="B43" s="16">
        <v>45999.77643075232</v>
      </c>
      <c r="C43" s="17" t="s">
        <v>512</v>
      </c>
      <c r="D43" s="18" t="s">
        <v>443</v>
      </c>
      <c r="E43" s="15" t="str">
        <f>VLOOKUP(G43,DiretoriaDepart.Coord.!$A$1:$C$72,2,FALSE)</f>
        <v>Extensão Rural</v>
      </c>
      <c r="F43" s="15" t="str">
        <f>VLOOKUP(G43,DiretoriaDepart.Coord.!$A$1:$C$72,3,FALSE)</f>
        <v>Políticas Públicas</v>
      </c>
      <c r="G43" s="17" t="s">
        <v>513</v>
      </c>
      <c r="H43" s="15"/>
      <c r="I43" s="17" t="s">
        <v>705</v>
      </c>
      <c r="J43" s="17" t="s">
        <v>446</v>
      </c>
      <c r="K43" s="17">
        <v>10.0</v>
      </c>
      <c r="L43" s="17" t="s">
        <v>706</v>
      </c>
      <c r="M43" s="17" t="s">
        <v>707</v>
      </c>
      <c r="N43" s="17">
        <v>150.0</v>
      </c>
      <c r="O43" s="17" t="s">
        <v>611</v>
      </c>
      <c r="P43" s="17" t="s">
        <v>634</v>
      </c>
      <c r="Q43" s="20">
        <v>45733.333333333336</v>
      </c>
      <c r="R43" s="20">
        <v>45735.708333333336</v>
      </c>
      <c r="S43" s="17" t="s">
        <v>464</v>
      </c>
      <c r="T43" s="17" t="s">
        <v>452</v>
      </c>
      <c r="U43" s="28" t="s">
        <v>708</v>
      </c>
      <c r="V43" s="21" t="s">
        <v>709</v>
      </c>
      <c r="W43" s="22">
        <v>90.0</v>
      </c>
      <c r="X43" s="22">
        <v>40.0</v>
      </c>
      <c r="Y43" s="23">
        <v>0.0</v>
      </c>
      <c r="Z43" s="23">
        <v>0.0</v>
      </c>
      <c r="AA43" s="24">
        <v>12000.0</v>
      </c>
      <c r="AB43" s="24">
        <v>0.0</v>
      </c>
      <c r="AC43" s="24">
        <v>1200.0</v>
      </c>
      <c r="AD43" s="23">
        <v>0.0</v>
      </c>
      <c r="AE43" s="24">
        <v>0.0</v>
      </c>
      <c r="AF43" s="17" t="s">
        <v>451</v>
      </c>
      <c r="AG43" s="17">
        <v>0.0</v>
      </c>
      <c r="AH43" s="17" t="s">
        <v>451</v>
      </c>
      <c r="AI43" s="25">
        <f>IF(AF43="Sim",INT((R43-Q43+1))*K43*VLOOKUP(P43,'Tabelas Auxiliares'!$A$1:$C$400,3,FALSE),0)</f>
        <v>0</v>
      </c>
      <c r="AJ43" s="25">
        <f t="shared" si="2"/>
        <v>0</v>
      </c>
      <c r="AK43" s="25">
        <f>IFS(
  O43="Acre",((W43*0.15)+(X43*0.7))*VLOOKUP(P43,'MunicípiosEstados'!$A$2:$B$23,2,FALSE),
  O43="Alagoas",((W43*0.15)+(X43*0.7))*VLOOKUP(P43,'MunicípiosEstados'!$C$2:$D$103,2,FALSE),
  O43="Amapá",((W43*0.15)+(X43*0.7))*VLOOKUP(P43,'MunicípiosEstados'!$E$2:$F$17,2,FALSE),
  O43="Amazonas",((W43*0.15)+(X43*0.7))*VLOOKUP(P43,'MunicípiosEstados'!$G$2:$H$63,2,FALSE),
  O43="Bahia",((W43*0.15)+(X43*0.7))*VLOOKUP(P43,'MunicípiosEstados'!$I$2:$J$418,2,FALSE),
  O43="Ceará",((W43*0.15)+(X43*0.7))*VLOOKUP(P43,'MunicípiosEstados'!$K$2:$L$185,2,FALSE),
  O43="Distrito Federal",((W43*0.15)+(X43*0.7))*VLOOKUP(P43,'MunicípiosEstados'!$M$2:$N$2,2,FALSE),
  O43="Espírito Santo",((W43*0.15)+(X43*0.7))*VLOOKUP(P43,'MunicípiosEstados'!$O$2:$P$79,2,FALSE),
  O43="Goiás",((W43*0.15)+(X43*0.7))*VLOOKUP(P43,'MunicípiosEstados'!$Q$2:$R$247,2,FALSE),
  O43="Maranhão",((W43*0.15)+(X43*0.7))*VLOOKUP(P43,'MunicípiosEstados'!$S$2:$T$218,2,FALSE),
  O43="Mato Grosso",((W43*0.15)+(X43*0.7))*VLOOKUP(P43,'MunicípiosEstados'!$U$2:$V$143,2,FALSE),
  O43="Mato Grosso do Sul",((W43*0.15)+(X43*0.7))*VLOOKUP(P43,'MunicípiosEstados'!$W$2:$X$80,2,FALSE),
  O43="Minas Gerais",((W43*0.15)+(X43*0.7))*VLOOKUP(P43,'MunicípiosEstados'!$Y$2:$Z$854,2,FALSE),
  O43="Pará",((W43*0.15)+(X43*0.7))*VLOOKUP(P43,'MunicípiosEstados'!$AA$2:$AB$145,2,FALSE),
  O43="Paraíba",((W43*0.15)+(X43*0.7))*VLOOKUP(P43,'MunicípiosEstados'!$AC$2:$AD$224,2,FALSE),
  O43="Paraná",((W43*0.15)+(X43*0.7))*VLOOKUP(P43,'MunicípiosEstados'!$AE$2:$AF$400,2,FALSE),
  O43="Pernambuco",((W43*0.15)+(X43*0.7))*VLOOKUP(P43,'MunicípiosEstados'!$AG$2:$AH$186,2,FALSE),
  O43="Piauí",((W43*0.15)+(X43*0.7))*VLOOKUP(P43,'MunicípiosEstados'!$AI$2:$AJ$225,2,FALSE),
  O43="Rio Grande do Norte",((W43*0.15)+(X43*0.7))*VLOOKUP(P43,'MunicípiosEstados'!$AK$2:$AL$168,2,FALSE),
  O43="Rio Grande do Sul",((W43*0.15)+(X43*0.7))*VLOOKUP(P43,'MunicípiosEstados'!$AM$2:$AN$498,2,FALSE),
  O43="Rio de Janeiro",((W43*0.15)+(X43*0.7))*VLOOKUP(P43,'MunicípiosEstados'!$AO$2:$AP$93,2,FALSE),
  O43="Rondônia",((W43*0.15)+(X43*0.7))*VLOOKUP(P43,'MunicípiosEstados'!$AQ$2:$AR$53,2,FALSE),
  O43="Roraima",((W43*0.15)+(X43*0.7))*VLOOKUP(P43,'MunicípiosEstados'!$AS$2:$AT$16,2,FALSE),
  O43="Santa Catarina",((W43*0.15)+(X43*0.7))*VLOOKUP(P43,'MunicípiosEstados'!$AU$2:$AV$296,2,FALSE),
  O43="São Paulo",((W43*0.15)+(X43*0.7))*VLOOKUP(P43,'MunicípiosEstados'!$AW$2:$AX$646,2,FALSE),
  O43="Sergipe",((W43*0.15)+(X43*0.7))*VLOOKUP(P43,'MunicípiosEstados'!$AY$2:$AZ$76,2,FALSE),
  O43="Tocantins",((W43*0.15)+(X43*0.7))*VLOOKUP(P43,'MunicípiosEstados'!$BA$2:$BB$140,2,FALSE),
  O43="Exterior",((W43*0.15)+(X43*0.7))*VLOOKUP(P43,'MunicípiosEstados'!$BC$2:$BE$221,3,FALSE),TRUE,0
)
</f>
        <v>15407.29</v>
      </c>
      <c r="AL43" s="25">
        <f t="shared" si="3"/>
        <v>28607.29</v>
      </c>
    </row>
    <row r="44" ht="22.5" hidden="1" customHeight="1">
      <c r="A44" s="15">
        <f t="shared" si="1"/>
        <v>43</v>
      </c>
      <c r="B44" s="16">
        <v>45964.68050484954</v>
      </c>
      <c r="C44" s="17" t="s">
        <v>710</v>
      </c>
      <c r="D44" s="27" t="s">
        <v>443</v>
      </c>
      <c r="E44" s="15" t="str">
        <f>VLOOKUP(G44,DiretoriaDepart.Coord.!$A$1:$C$72,2,FALSE)</f>
        <v>Pesquisa e Inovação</v>
      </c>
      <c r="F44" s="15" t="str">
        <f>VLOOKUP(G44,DiretoriaDepart.Coord.!$A$1:$C$72,3,FALSE)</f>
        <v>Inovação e Comunicação Científica</v>
      </c>
      <c r="G44" s="17" t="s">
        <v>552</v>
      </c>
      <c r="H44" s="15"/>
      <c r="I44" s="17" t="s">
        <v>711</v>
      </c>
      <c r="J44" s="17" t="s">
        <v>490</v>
      </c>
      <c r="K44" s="17">
        <v>1.0</v>
      </c>
      <c r="L44" s="17" t="s">
        <v>712</v>
      </c>
      <c r="M44" s="17" t="s">
        <v>713</v>
      </c>
      <c r="N44" s="17">
        <v>0.0</v>
      </c>
      <c r="O44" s="17" t="s">
        <v>714</v>
      </c>
      <c r="P44" s="17" t="s">
        <v>715</v>
      </c>
      <c r="Q44" s="20">
        <v>45873.333333333336</v>
      </c>
      <c r="R44" s="20">
        <v>45875.75</v>
      </c>
      <c r="S44" s="17" t="s">
        <v>464</v>
      </c>
      <c r="T44" s="17" t="s">
        <v>452</v>
      </c>
      <c r="U44" s="30" t="s">
        <v>716</v>
      </c>
      <c r="V44" s="30" t="s">
        <v>717</v>
      </c>
      <c r="W44" s="22">
        <v>10.0</v>
      </c>
      <c r="X44" s="22">
        <v>4.0</v>
      </c>
      <c r="Y44" s="36">
        <v>1000.0</v>
      </c>
      <c r="Z44" s="36">
        <v>300.0</v>
      </c>
      <c r="AA44" s="24">
        <v>0.0</v>
      </c>
      <c r="AB44" s="24">
        <v>0.0</v>
      </c>
      <c r="AC44" s="24">
        <v>100.0</v>
      </c>
      <c r="AD44" s="36">
        <v>0.0</v>
      </c>
      <c r="AE44" s="37">
        <v>0.0</v>
      </c>
      <c r="AF44" s="17" t="s">
        <v>451</v>
      </c>
      <c r="AG44" s="17">
        <v>1200.0</v>
      </c>
      <c r="AH44" s="17" t="s">
        <v>451</v>
      </c>
      <c r="AI44" s="25">
        <f>IF(AF44="Sim",INT((R44-Q44+1))*K44*VLOOKUP(P44,'Tabelas Auxiliares'!$A$1:$C$400,3,FALSE),0)</f>
        <v>0</v>
      </c>
      <c r="AJ44" s="25">
        <f t="shared" si="2"/>
        <v>840</v>
      </c>
      <c r="AK44" s="25">
        <f>IFS(
  O44="Acre",((W44*0.15)+(X44*0.7))*VLOOKUP(P44,'MunicípiosEstados'!$A$2:$B$23,2,FALSE),
  O44="Alagoas",((W44*0.15)+(X44*0.7))*VLOOKUP(P44,'MunicípiosEstados'!$C$2:$D$103,2,FALSE),
  O44="Amapá",((W44*0.15)+(X44*0.7))*VLOOKUP(P44,'MunicípiosEstados'!$E$2:$F$17,2,FALSE),
  O44="Amazonas",((W44*0.15)+(X44*0.7))*VLOOKUP(P44,'MunicípiosEstados'!$G$2:$H$63,2,FALSE),
  O44="Bahia",((W44*0.15)+(X44*0.7))*VLOOKUP(P44,'MunicípiosEstados'!$I$2:$J$418,2,FALSE),
  O44="Ceará",((W44*0.15)+(X44*0.7))*VLOOKUP(P44,'MunicípiosEstados'!$K$2:$L$185,2,FALSE),
  O44="Distrito Federal",((W44*0.15)+(X44*0.7))*VLOOKUP(P44,'MunicípiosEstados'!$M$2:$N$2,2,FALSE),
  O44="Espírito Santo",((W44*0.15)+(X44*0.7))*VLOOKUP(P44,'MunicípiosEstados'!$O$2:$P$79,2,FALSE),
  O44="Goiás",((W44*0.15)+(X44*0.7))*VLOOKUP(P44,'MunicípiosEstados'!$Q$2:$R$247,2,FALSE),
  O44="Maranhão",((W44*0.15)+(X44*0.7))*VLOOKUP(P44,'MunicípiosEstados'!$S$2:$T$218,2,FALSE),
  O44="Mato Grosso",((W44*0.15)+(X44*0.7))*VLOOKUP(P44,'MunicípiosEstados'!$U$2:$V$143,2,FALSE),
  O44="Mato Grosso do Sul",((W44*0.15)+(X44*0.7))*VLOOKUP(P44,'MunicípiosEstados'!$W$2:$X$80,2,FALSE),
  O44="Minas Gerais",((W44*0.15)+(X44*0.7))*VLOOKUP(P44,'MunicípiosEstados'!$Y$2:$Z$854,2,FALSE),
  O44="Pará",((W44*0.15)+(X44*0.7))*VLOOKUP(P44,'MunicípiosEstados'!$AA$2:$AB$145,2,FALSE),
  O44="Paraíba",((W44*0.15)+(X44*0.7))*VLOOKUP(P44,'MunicípiosEstados'!$AC$2:$AD$224,2,FALSE),
  O44="Paraná",((W44*0.15)+(X44*0.7))*VLOOKUP(P44,'MunicípiosEstados'!$AE$2:$AF$400,2,FALSE),
  O44="Pernambuco",((W44*0.15)+(X44*0.7))*VLOOKUP(P44,'MunicípiosEstados'!$AG$2:$AH$186,2,FALSE),
  O44="Piauí",((W44*0.15)+(X44*0.7))*VLOOKUP(P44,'MunicípiosEstados'!$AI$2:$AJ$225,2,FALSE),
  O44="Rio Grande do Norte",((W44*0.15)+(X44*0.7))*VLOOKUP(P44,'MunicípiosEstados'!$AK$2:$AL$168,2,FALSE),
  O44="Rio Grande do Sul",((W44*0.15)+(X44*0.7))*VLOOKUP(P44,'MunicípiosEstados'!$AM$2:$AN$498,2,FALSE),
  O44="Rio de Janeiro",((W44*0.15)+(X44*0.7))*VLOOKUP(P44,'MunicípiosEstados'!$AO$2:$AP$93,2,FALSE),
  O44="Rondônia",((W44*0.15)+(X44*0.7))*VLOOKUP(P44,'MunicípiosEstados'!$AQ$2:$AR$53,2,FALSE),
  O44="Roraima",((W44*0.15)+(X44*0.7))*VLOOKUP(P44,'MunicípiosEstados'!$AS$2:$AT$16,2,FALSE),
  O44="Santa Catarina",((W44*0.15)+(X44*0.7))*VLOOKUP(P44,'MunicípiosEstados'!$AU$2:$AV$296,2,FALSE),
  O44="São Paulo",((W44*0.15)+(X44*0.7))*VLOOKUP(P44,'MunicípiosEstados'!$AW$2:$AX$646,2,FALSE),
  O44="Sergipe",((W44*0.15)+(X44*0.7))*VLOOKUP(P44,'MunicípiosEstados'!$AY$2:$AZ$76,2,FALSE),
  O44="Tocantins",((W44*0.15)+(X44*0.7))*VLOOKUP(P44,'MunicípiosEstados'!$BA$2:$BB$140,2,FALSE),
  O44="Exterior",((W44*0.15)+(X44*0.7))*VLOOKUP(P44,'MunicípiosEstados'!$BC$2:$BE$221,3,FALSE),TRUE,0
)
</f>
        <v>1249.365</v>
      </c>
      <c r="AL44" s="25">
        <f t="shared" si="3"/>
        <v>3489.365</v>
      </c>
      <c r="AN44" s="35"/>
    </row>
    <row r="45" ht="22.5" hidden="1" customHeight="1">
      <c r="A45" s="15">
        <f t="shared" si="1"/>
        <v>44</v>
      </c>
      <c r="B45" s="16">
        <v>45973.437074814814</v>
      </c>
      <c r="C45" s="17" t="s">
        <v>607</v>
      </c>
      <c r="D45" s="27" t="s">
        <v>443</v>
      </c>
      <c r="E45" s="15" t="str">
        <f>VLOOKUP(G45,DiretoriaDepart.Coord.!$A$1:$C$72,2,FALSE)</f>
        <v>Extensão Rural</v>
      </c>
      <c r="F45" s="15" t="str">
        <f>VLOOKUP(G45,DiretoriaDepart.Coord.!$A$1:$C$72,3,FALSE)</f>
        <v>Projetos e Cadeias Produtivas</v>
      </c>
      <c r="G45" s="17" t="s">
        <v>608</v>
      </c>
      <c r="H45" s="15"/>
      <c r="I45" s="17" t="s">
        <v>718</v>
      </c>
      <c r="J45" s="17" t="s">
        <v>719</v>
      </c>
      <c r="K45" s="17">
        <v>100.0</v>
      </c>
      <c r="L45" s="15"/>
      <c r="M45" s="17" t="s">
        <v>720</v>
      </c>
      <c r="N45" s="17">
        <v>5.0</v>
      </c>
      <c r="O45" s="17" t="s">
        <v>714</v>
      </c>
      <c r="P45" s="17" t="s">
        <v>18</v>
      </c>
      <c r="Q45" s="20">
        <v>45721.333333333336</v>
      </c>
      <c r="R45" s="20">
        <v>45721.75</v>
      </c>
      <c r="S45" s="17" t="s">
        <v>451</v>
      </c>
      <c r="T45" s="17" t="s">
        <v>452</v>
      </c>
      <c r="U45" s="30" t="s">
        <v>721</v>
      </c>
      <c r="V45" s="30" t="s">
        <v>722</v>
      </c>
      <c r="W45" s="22">
        <v>400.0</v>
      </c>
      <c r="X45" s="22">
        <v>200.0</v>
      </c>
      <c r="Y45" s="36">
        <v>0.0</v>
      </c>
      <c r="Z45" s="36">
        <v>1000.0</v>
      </c>
      <c r="AA45" s="24">
        <v>0.0</v>
      </c>
      <c r="AB45" s="24">
        <v>0.0</v>
      </c>
      <c r="AC45" s="24">
        <v>0.0</v>
      </c>
      <c r="AD45" s="36">
        <v>0.0</v>
      </c>
      <c r="AE45" s="37">
        <v>0.0</v>
      </c>
      <c r="AF45" s="17" t="s">
        <v>464</v>
      </c>
      <c r="AG45" s="32">
        <v>12000.0</v>
      </c>
      <c r="AH45" s="17" t="s">
        <v>464</v>
      </c>
      <c r="AI45" s="25">
        <f>IF(AF45="Sim",INT((R45-Q45+1))*K45*VLOOKUP(P45,'Tabelas Auxiliares'!$A$1:$C$400,3,FALSE),0)</f>
        <v>2264</v>
      </c>
      <c r="AJ45" s="25">
        <f t="shared" si="2"/>
        <v>8400</v>
      </c>
      <c r="AK45" s="25">
        <f>IFS(
  O45="Acre",((W45*0.15)+(X45*0.7))*VLOOKUP(P45,'MunicípiosEstados'!$A$2:$B$23,2,FALSE),
  O45="Alagoas",((W45*0.15)+(X45*0.7))*VLOOKUP(P45,'MunicípiosEstados'!$C$2:$D$103,2,FALSE),
  O45="Amapá",((W45*0.15)+(X45*0.7))*VLOOKUP(P45,'MunicípiosEstados'!$E$2:$F$17,2,FALSE),
  O45="Amazonas",((W45*0.15)+(X45*0.7))*VLOOKUP(P45,'MunicípiosEstados'!$G$2:$H$63,2,FALSE),
  O45="Bahia",((W45*0.15)+(X45*0.7))*VLOOKUP(P45,'MunicípiosEstados'!$I$2:$J$418,2,FALSE),
  O45="Ceará",((W45*0.15)+(X45*0.7))*VLOOKUP(P45,'MunicípiosEstados'!$K$2:$L$185,2,FALSE),
  O45="Distrito Federal",((W45*0.15)+(X45*0.7))*VLOOKUP(P45,'MunicípiosEstados'!$M$2:$N$2,2,FALSE),
  O45="Espírito Santo",((W45*0.15)+(X45*0.7))*VLOOKUP(P45,'MunicípiosEstados'!$O$2:$P$79,2,FALSE),
  O45="Goiás",((W45*0.15)+(X45*0.7))*VLOOKUP(P45,'MunicípiosEstados'!$Q$2:$R$247,2,FALSE),
  O45="Maranhão",((W45*0.15)+(X45*0.7))*VLOOKUP(P45,'MunicípiosEstados'!$S$2:$T$218,2,FALSE),
  O45="Mato Grosso",((W45*0.15)+(X45*0.7))*VLOOKUP(P45,'MunicípiosEstados'!$U$2:$V$143,2,FALSE),
  O45="Mato Grosso do Sul",((W45*0.15)+(X45*0.7))*VLOOKUP(P45,'MunicípiosEstados'!$W$2:$X$80,2,FALSE),
  O45="Minas Gerais",((W45*0.15)+(X45*0.7))*VLOOKUP(P45,'MunicípiosEstados'!$Y$2:$Z$854,2,FALSE),
  O45="Pará",((W45*0.15)+(X45*0.7))*VLOOKUP(P45,'MunicípiosEstados'!$AA$2:$AB$145,2,FALSE),
  O45="Paraíba",((W45*0.15)+(X45*0.7))*VLOOKUP(P45,'MunicípiosEstados'!$AC$2:$AD$224,2,FALSE),
  O45="Paraná",((W45*0.15)+(X45*0.7))*VLOOKUP(P45,'MunicípiosEstados'!$AE$2:$AF$400,2,FALSE),
  O45="Pernambuco",((W45*0.15)+(X45*0.7))*VLOOKUP(P45,'MunicípiosEstados'!$AG$2:$AH$186,2,FALSE),
  O45="Piauí",((W45*0.15)+(X45*0.7))*VLOOKUP(P45,'MunicípiosEstados'!$AI$2:$AJ$225,2,FALSE),
  O45="Rio Grande do Norte",((W45*0.15)+(X45*0.7))*VLOOKUP(P45,'MunicípiosEstados'!$AK$2:$AL$168,2,FALSE),
  O45="Rio Grande do Sul",((W45*0.15)+(X45*0.7))*VLOOKUP(P45,'MunicípiosEstados'!$AM$2:$AN$498,2,FALSE),
  O45="Rio de Janeiro",((W45*0.15)+(X45*0.7))*VLOOKUP(P45,'MunicípiosEstados'!$AO$2:$AP$93,2,FALSE),
  O45="Rondônia",((W45*0.15)+(X45*0.7))*VLOOKUP(P45,'MunicípiosEstados'!$AQ$2:$AR$53,2,FALSE),
  O45="Roraima",((W45*0.15)+(X45*0.7))*VLOOKUP(P45,'MunicípiosEstados'!$AS$2:$AT$16,2,FALSE),
  O45="Santa Catarina",((W45*0.15)+(X45*0.7))*VLOOKUP(P45,'MunicípiosEstados'!$AU$2:$AV$296,2,FALSE),
  O45="São Paulo",((W45*0.15)+(X45*0.7))*VLOOKUP(P45,'MunicípiosEstados'!$AW$2:$AX$646,2,FALSE),
  O45="Sergipe",((W45*0.15)+(X45*0.7))*VLOOKUP(P45,'MunicípiosEstados'!$AY$2:$AZ$76,2,FALSE),
  O45="Tocantins",((W45*0.15)+(X45*0.7))*VLOOKUP(P45,'MunicípiosEstados'!$BA$2:$BB$140,2,FALSE),
  O45="Exterior",((W45*0.15)+(X45*0.7))*VLOOKUP(P45,'MunicípiosEstados'!$BC$2:$BE$221,3,FALSE),TRUE,0
)
</f>
        <v>58110</v>
      </c>
      <c r="AL45" s="25">
        <f t="shared" si="3"/>
        <v>69774</v>
      </c>
    </row>
    <row r="46" ht="22.5" hidden="1" customHeight="1">
      <c r="A46" s="15">
        <f t="shared" si="1"/>
        <v>45</v>
      </c>
      <c r="B46" s="16">
        <v>45973.44870115741</v>
      </c>
      <c r="C46" s="17" t="s">
        <v>607</v>
      </c>
      <c r="D46" s="27" t="s">
        <v>443</v>
      </c>
      <c r="E46" s="15" t="str">
        <f>VLOOKUP(G46,DiretoriaDepart.Coord.!$A$1:$C$72,2,FALSE)</f>
        <v>Extensão Rural</v>
      </c>
      <c r="F46" s="15" t="str">
        <f>VLOOKUP(G46,DiretoriaDepart.Coord.!$A$1:$C$72,3,FALSE)</f>
        <v>Projetos e Cadeias Produtivas</v>
      </c>
      <c r="G46" s="17" t="s">
        <v>608</v>
      </c>
      <c r="H46" s="15"/>
      <c r="I46" s="17" t="s">
        <v>723</v>
      </c>
      <c r="J46" s="17" t="s">
        <v>719</v>
      </c>
      <c r="K46" s="17">
        <v>80.0</v>
      </c>
      <c r="L46" s="15"/>
      <c r="M46" s="17" t="s">
        <v>724</v>
      </c>
      <c r="N46" s="17">
        <v>10.0</v>
      </c>
      <c r="O46" s="17" t="s">
        <v>714</v>
      </c>
      <c r="P46" s="17" t="s">
        <v>6</v>
      </c>
      <c r="Q46" s="20">
        <v>45818.333333333336</v>
      </c>
      <c r="R46" s="20">
        <v>45819.75</v>
      </c>
      <c r="S46" s="17" t="s">
        <v>451</v>
      </c>
      <c r="T46" s="17" t="s">
        <v>452</v>
      </c>
      <c r="U46" s="30" t="s">
        <v>725</v>
      </c>
      <c r="V46" s="30" t="s">
        <v>726</v>
      </c>
      <c r="W46" s="22">
        <v>560.0</v>
      </c>
      <c r="X46" s="22">
        <v>240.0</v>
      </c>
      <c r="Y46" s="36">
        <v>0.0</v>
      </c>
      <c r="Z46" s="36">
        <v>2000.0</v>
      </c>
      <c r="AA46" s="24">
        <v>0.0</v>
      </c>
      <c r="AB46" s="24">
        <v>0.0</v>
      </c>
      <c r="AC46" s="24">
        <v>0.0</v>
      </c>
      <c r="AD46" s="36">
        <v>0.0</v>
      </c>
      <c r="AE46" s="37">
        <v>0.0</v>
      </c>
      <c r="AF46" s="17" t="s">
        <v>464</v>
      </c>
      <c r="AG46" s="17">
        <v>15000.0</v>
      </c>
      <c r="AH46" s="17" t="s">
        <v>464</v>
      </c>
      <c r="AI46" s="25">
        <f>IF(AF46="Sim",INT((R46-Q46+1))*K46*VLOOKUP(P46,'Tabelas Auxiliares'!$A$1:$C$400,3,FALSE),0)</f>
        <v>3622.4</v>
      </c>
      <c r="AJ46" s="25">
        <f t="shared" si="2"/>
        <v>10500</v>
      </c>
      <c r="AK46" s="25">
        <f>IFS(
  O46="Acre",((W46*0.15)+(X46*0.7))*VLOOKUP(P46,'MunicípiosEstados'!$A$2:$B$23,2,FALSE),
  O46="Alagoas",((W46*0.15)+(X46*0.7))*VLOOKUP(P46,'MunicípiosEstados'!$C$2:$D$103,2,FALSE),
  O46="Amapá",((W46*0.15)+(X46*0.7))*VLOOKUP(P46,'MunicípiosEstados'!$E$2:$F$17,2,FALSE),
  O46="Amazonas",((W46*0.15)+(X46*0.7))*VLOOKUP(P46,'MunicípiosEstados'!$G$2:$H$63,2,FALSE),
  O46="Bahia",((W46*0.15)+(X46*0.7))*VLOOKUP(P46,'MunicípiosEstados'!$I$2:$J$418,2,FALSE),
  O46="Ceará",((W46*0.15)+(X46*0.7))*VLOOKUP(P46,'MunicípiosEstados'!$K$2:$L$185,2,FALSE),
  O46="Distrito Federal",((W46*0.15)+(X46*0.7))*VLOOKUP(P46,'MunicípiosEstados'!$M$2:$N$2,2,FALSE),
  O46="Espírito Santo",((W46*0.15)+(X46*0.7))*VLOOKUP(P46,'MunicípiosEstados'!$O$2:$P$79,2,FALSE),
  O46="Goiás",((W46*0.15)+(X46*0.7))*VLOOKUP(P46,'MunicípiosEstados'!$Q$2:$R$247,2,FALSE),
  O46="Maranhão",((W46*0.15)+(X46*0.7))*VLOOKUP(P46,'MunicípiosEstados'!$S$2:$T$218,2,FALSE),
  O46="Mato Grosso",((W46*0.15)+(X46*0.7))*VLOOKUP(P46,'MunicípiosEstados'!$U$2:$V$143,2,FALSE),
  O46="Mato Grosso do Sul",((W46*0.15)+(X46*0.7))*VLOOKUP(P46,'MunicípiosEstados'!$W$2:$X$80,2,FALSE),
  O46="Minas Gerais",((W46*0.15)+(X46*0.7))*VLOOKUP(P46,'MunicípiosEstados'!$Y$2:$Z$854,2,FALSE),
  O46="Pará",((W46*0.15)+(X46*0.7))*VLOOKUP(P46,'MunicípiosEstados'!$AA$2:$AB$145,2,FALSE),
  O46="Paraíba",((W46*0.15)+(X46*0.7))*VLOOKUP(P46,'MunicípiosEstados'!$AC$2:$AD$224,2,FALSE),
  O46="Paraná",((W46*0.15)+(X46*0.7))*VLOOKUP(P46,'MunicípiosEstados'!$AE$2:$AF$400,2,FALSE),
  O46="Pernambuco",((W46*0.15)+(X46*0.7))*VLOOKUP(P46,'MunicípiosEstados'!$AG$2:$AH$186,2,FALSE),
  O46="Piauí",((W46*0.15)+(X46*0.7))*VLOOKUP(P46,'MunicípiosEstados'!$AI$2:$AJ$225,2,FALSE),
  O46="Rio Grande do Norte",((W46*0.15)+(X46*0.7))*VLOOKUP(P46,'MunicípiosEstados'!$AK$2:$AL$168,2,FALSE),
  O46="Rio Grande do Sul",((W46*0.15)+(X46*0.7))*VLOOKUP(P46,'MunicípiosEstados'!$AM$2:$AN$498,2,FALSE),
  O46="Rio de Janeiro",((W46*0.15)+(X46*0.7))*VLOOKUP(P46,'MunicípiosEstados'!$AO$2:$AP$93,2,FALSE),
  O46="Rondônia",((W46*0.15)+(X46*0.7))*VLOOKUP(P46,'MunicípiosEstados'!$AQ$2:$AR$53,2,FALSE),
  O46="Roraima",((W46*0.15)+(X46*0.7))*VLOOKUP(P46,'MunicípiosEstados'!$AS$2:$AT$16,2,FALSE),
  O46="Santa Catarina",((W46*0.15)+(X46*0.7))*VLOOKUP(P46,'MunicípiosEstados'!$AU$2:$AV$296,2,FALSE),
  O46="São Paulo",((W46*0.15)+(X46*0.7))*VLOOKUP(P46,'MunicípiosEstados'!$AW$2:$AX$646,2,FALSE),
  O46="Sergipe",((W46*0.15)+(X46*0.7))*VLOOKUP(P46,'MunicípiosEstados'!$AY$2:$AZ$76,2,FALSE),
  O46="Tocantins",((W46*0.15)+(X46*0.7))*VLOOKUP(P46,'MunicípiosEstados'!$BA$2:$BB$140,2,FALSE),
  O46="Exterior",((W46*0.15)+(X46*0.7))*VLOOKUP(P46,'MunicípiosEstados'!$BC$2:$BE$221,3,FALSE),TRUE,0
)
</f>
        <v>93557.52</v>
      </c>
      <c r="AL46" s="25">
        <f t="shared" si="3"/>
        <v>109679.92</v>
      </c>
    </row>
    <row r="47" ht="22.5" hidden="1" customHeight="1">
      <c r="A47" s="15">
        <f t="shared" si="1"/>
        <v>46</v>
      </c>
      <c r="B47" s="16">
        <v>45973.45740528935</v>
      </c>
      <c r="C47" s="17" t="s">
        <v>607</v>
      </c>
      <c r="D47" s="27" t="s">
        <v>443</v>
      </c>
      <c r="E47" s="15" t="str">
        <f>VLOOKUP(G47,DiretoriaDepart.Coord.!$A$1:$C$72,2,FALSE)</f>
        <v>Extensão Rural</v>
      </c>
      <c r="F47" s="15" t="str">
        <f>VLOOKUP(G47,DiretoriaDepart.Coord.!$A$1:$C$72,3,FALSE)</f>
        <v>Projetos e Cadeias Produtivas</v>
      </c>
      <c r="G47" s="17" t="s">
        <v>608</v>
      </c>
      <c r="H47" s="15"/>
      <c r="I47" s="17" t="s">
        <v>727</v>
      </c>
      <c r="J47" s="17" t="s">
        <v>728</v>
      </c>
      <c r="K47" s="17">
        <v>30.0</v>
      </c>
      <c r="L47" s="15"/>
      <c r="M47" s="17" t="s">
        <v>729</v>
      </c>
      <c r="N47" s="17">
        <v>5.0</v>
      </c>
      <c r="O47" s="17" t="s">
        <v>714</v>
      </c>
      <c r="P47" s="17" t="s">
        <v>89</v>
      </c>
      <c r="Q47" s="20">
        <v>45804.333333333336</v>
      </c>
      <c r="R47" s="20">
        <v>45805.75</v>
      </c>
      <c r="S47" s="17" t="s">
        <v>451</v>
      </c>
      <c r="T47" s="17" t="s">
        <v>452</v>
      </c>
      <c r="U47" s="30" t="s">
        <v>730</v>
      </c>
      <c r="V47" s="30" t="s">
        <v>731</v>
      </c>
      <c r="W47" s="22">
        <v>210.0</v>
      </c>
      <c r="X47" s="22">
        <v>90.0</v>
      </c>
      <c r="Y47" s="23">
        <v>0.0</v>
      </c>
      <c r="Z47" s="23">
        <v>1000.0</v>
      </c>
      <c r="AA47" s="24">
        <v>0.0</v>
      </c>
      <c r="AB47" s="24">
        <v>0.0</v>
      </c>
      <c r="AC47" s="24">
        <v>0.0</v>
      </c>
      <c r="AD47" s="23">
        <v>0.0</v>
      </c>
      <c r="AE47" s="24">
        <v>0.0</v>
      </c>
      <c r="AF47" s="17" t="s">
        <v>464</v>
      </c>
      <c r="AG47" s="17">
        <v>10000.0</v>
      </c>
      <c r="AH47" s="17" t="s">
        <v>464</v>
      </c>
      <c r="AI47" s="25">
        <f>IF(AF47="Sim",INT((R47-Q47+1))*K47*VLOOKUP(P47,'Tabelas Auxiliares'!$A$1:$C$400,3,FALSE),0)</f>
        <v>1358.4</v>
      </c>
      <c r="AJ47" s="25">
        <f t="shared" si="2"/>
        <v>7000</v>
      </c>
      <c r="AK47" s="25">
        <f>IFS(
  O47="Acre",((W47*0.15)+(X47*0.7))*VLOOKUP(P47,'MunicípiosEstados'!$A$2:$B$23,2,FALSE),
  O47="Alagoas",((W47*0.15)+(X47*0.7))*VLOOKUP(P47,'MunicípiosEstados'!$C$2:$D$103,2,FALSE),
  O47="Amapá",((W47*0.15)+(X47*0.7))*VLOOKUP(P47,'MunicípiosEstados'!$E$2:$F$17,2,FALSE),
  O47="Amazonas",((W47*0.15)+(X47*0.7))*VLOOKUP(P47,'MunicípiosEstados'!$G$2:$H$63,2,FALSE),
  O47="Bahia",((W47*0.15)+(X47*0.7))*VLOOKUP(P47,'MunicípiosEstados'!$I$2:$J$418,2,FALSE),
  O47="Ceará",((W47*0.15)+(X47*0.7))*VLOOKUP(P47,'MunicípiosEstados'!$K$2:$L$185,2,FALSE),
  O47="Distrito Federal",((W47*0.15)+(X47*0.7))*VLOOKUP(P47,'MunicípiosEstados'!$M$2:$N$2,2,FALSE),
  O47="Espírito Santo",((W47*0.15)+(X47*0.7))*VLOOKUP(P47,'MunicípiosEstados'!$O$2:$P$79,2,FALSE),
  O47="Goiás",((W47*0.15)+(X47*0.7))*VLOOKUP(P47,'MunicípiosEstados'!$Q$2:$R$247,2,FALSE),
  O47="Maranhão",((W47*0.15)+(X47*0.7))*VLOOKUP(P47,'MunicípiosEstados'!$S$2:$T$218,2,FALSE),
  O47="Mato Grosso",((W47*0.15)+(X47*0.7))*VLOOKUP(P47,'MunicípiosEstados'!$U$2:$V$143,2,FALSE),
  O47="Mato Grosso do Sul",((W47*0.15)+(X47*0.7))*VLOOKUP(P47,'MunicípiosEstados'!$W$2:$X$80,2,FALSE),
  O47="Minas Gerais",((W47*0.15)+(X47*0.7))*VLOOKUP(P47,'MunicípiosEstados'!$Y$2:$Z$854,2,FALSE),
  O47="Pará",((W47*0.15)+(X47*0.7))*VLOOKUP(P47,'MunicípiosEstados'!$AA$2:$AB$145,2,FALSE),
  O47="Paraíba",((W47*0.15)+(X47*0.7))*VLOOKUP(P47,'MunicípiosEstados'!$AC$2:$AD$224,2,FALSE),
  O47="Paraná",((W47*0.15)+(X47*0.7))*VLOOKUP(P47,'MunicípiosEstados'!$AE$2:$AF$400,2,FALSE),
  O47="Pernambuco",((W47*0.15)+(X47*0.7))*VLOOKUP(P47,'MunicípiosEstados'!$AG$2:$AH$186,2,FALSE),
  O47="Piauí",((W47*0.15)+(X47*0.7))*VLOOKUP(P47,'MunicípiosEstados'!$AI$2:$AJ$225,2,FALSE),
  O47="Rio Grande do Norte",((W47*0.15)+(X47*0.7))*VLOOKUP(P47,'MunicípiosEstados'!$AK$2:$AL$168,2,FALSE),
  O47="Rio Grande do Sul",((W47*0.15)+(X47*0.7))*VLOOKUP(P47,'MunicípiosEstados'!$AM$2:$AN$498,2,FALSE),
  O47="Rio de Janeiro",((W47*0.15)+(X47*0.7))*VLOOKUP(P47,'MunicípiosEstados'!$AO$2:$AP$93,2,FALSE),
  O47="Rondônia",((W47*0.15)+(X47*0.7))*VLOOKUP(P47,'MunicípiosEstados'!$AQ$2:$AR$53,2,FALSE),
  O47="Roraima",((W47*0.15)+(X47*0.7))*VLOOKUP(P47,'MunicípiosEstados'!$AS$2:$AT$16,2,FALSE),
  O47="Santa Catarina",((W47*0.15)+(X47*0.7))*VLOOKUP(P47,'MunicípiosEstados'!$AU$2:$AV$296,2,FALSE),
  O47="São Paulo",((W47*0.15)+(X47*0.7))*VLOOKUP(P47,'MunicípiosEstados'!$AW$2:$AX$646,2,FALSE),
  O47="Sergipe",((W47*0.15)+(X47*0.7))*VLOOKUP(P47,'MunicípiosEstados'!$AY$2:$AZ$76,2,FALSE),
  O47="Tocantins",((W47*0.15)+(X47*0.7))*VLOOKUP(P47,'MunicípiosEstados'!$BA$2:$BB$140,2,FALSE),
  O47="Exterior",((W47*0.15)+(X47*0.7))*VLOOKUP(P47,'MunicípiosEstados'!$BC$2:$BE$221,3,FALSE),TRUE,0
)
</f>
        <v>27456.975</v>
      </c>
      <c r="AL47" s="25">
        <f t="shared" si="3"/>
        <v>36815.375</v>
      </c>
    </row>
    <row r="48" ht="22.5" hidden="1" customHeight="1">
      <c r="A48" s="15">
        <f t="shared" si="1"/>
        <v>47</v>
      </c>
      <c r="B48" s="16">
        <v>45973.46342827546</v>
      </c>
      <c r="C48" s="17" t="s">
        <v>607</v>
      </c>
      <c r="D48" s="27" t="s">
        <v>443</v>
      </c>
      <c r="E48" s="15" t="str">
        <f>VLOOKUP(G48,DiretoriaDepart.Coord.!$A$1:$C$72,2,FALSE)</f>
        <v>Extensão Rural</v>
      </c>
      <c r="F48" s="15" t="str">
        <f>VLOOKUP(G48,DiretoriaDepart.Coord.!$A$1:$C$72,3,FALSE)</f>
        <v>Projetos e Cadeias Produtivas</v>
      </c>
      <c r="G48" s="17" t="s">
        <v>608</v>
      </c>
      <c r="H48" s="15"/>
      <c r="I48" s="17" t="s">
        <v>732</v>
      </c>
      <c r="J48" s="17" t="s">
        <v>719</v>
      </c>
      <c r="K48" s="17">
        <v>30.0</v>
      </c>
      <c r="L48" s="15"/>
      <c r="M48" s="17" t="s">
        <v>733</v>
      </c>
      <c r="N48" s="17">
        <v>5.0</v>
      </c>
      <c r="O48" s="17" t="s">
        <v>714</v>
      </c>
      <c r="P48" s="17" t="s">
        <v>6</v>
      </c>
      <c r="Q48" s="20">
        <v>45776.333333333336</v>
      </c>
      <c r="R48" s="20">
        <v>45777.75</v>
      </c>
      <c r="S48" s="17" t="s">
        <v>451</v>
      </c>
      <c r="T48" s="17" t="s">
        <v>452</v>
      </c>
      <c r="U48" s="30" t="s">
        <v>734</v>
      </c>
      <c r="V48" s="30" t="s">
        <v>735</v>
      </c>
      <c r="W48" s="22">
        <v>240.0</v>
      </c>
      <c r="X48" s="22">
        <v>90.0</v>
      </c>
      <c r="Y48" s="23">
        <v>0.0</v>
      </c>
      <c r="Z48" s="23">
        <v>2000.0</v>
      </c>
      <c r="AA48" s="24">
        <v>5000.0</v>
      </c>
      <c r="AB48" s="24">
        <v>0.0</v>
      </c>
      <c r="AC48" s="24">
        <v>500.0</v>
      </c>
      <c r="AD48" s="23">
        <v>0.0</v>
      </c>
      <c r="AE48" s="24">
        <v>0.0</v>
      </c>
      <c r="AF48" s="17" t="s">
        <v>464</v>
      </c>
      <c r="AG48" s="17">
        <v>10000.0</v>
      </c>
      <c r="AH48" s="17" t="s">
        <v>464</v>
      </c>
      <c r="AI48" s="25">
        <f>IF(AF48="Sim",INT((R48-Q48+1))*K48*VLOOKUP(P48,'Tabelas Auxiliares'!$A$1:$C$400,3,FALSE),0)</f>
        <v>1358.4</v>
      </c>
      <c r="AJ48" s="25">
        <f t="shared" si="2"/>
        <v>7000</v>
      </c>
      <c r="AK48" s="25">
        <f>IFS(
  O48="Acre",((W48*0.15)+(X48*0.7))*VLOOKUP(P48,'MunicípiosEstados'!$A$2:$B$23,2,FALSE),
  O48="Alagoas",((W48*0.15)+(X48*0.7))*VLOOKUP(P48,'MunicípiosEstados'!$C$2:$D$103,2,FALSE),
  O48="Amapá",((W48*0.15)+(X48*0.7))*VLOOKUP(P48,'MunicípiosEstados'!$E$2:$F$17,2,FALSE),
  O48="Amazonas",((W48*0.15)+(X48*0.7))*VLOOKUP(P48,'MunicípiosEstados'!$G$2:$H$63,2,FALSE),
  O48="Bahia",((W48*0.15)+(X48*0.7))*VLOOKUP(P48,'MunicípiosEstados'!$I$2:$J$418,2,FALSE),
  O48="Ceará",((W48*0.15)+(X48*0.7))*VLOOKUP(P48,'MunicípiosEstados'!$K$2:$L$185,2,FALSE),
  O48="Distrito Federal",((W48*0.15)+(X48*0.7))*VLOOKUP(P48,'MunicípiosEstados'!$M$2:$N$2,2,FALSE),
  O48="Espírito Santo",((W48*0.15)+(X48*0.7))*VLOOKUP(P48,'MunicípiosEstados'!$O$2:$P$79,2,FALSE),
  O48="Goiás",((W48*0.15)+(X48*0.7))*VLOOKUP(P48,'MunicípiosEstados'!$Q$2:$R$247,2,FALSE),
  O48="Maranhão",((W48*0.15)+(X48*0.7))*VLOOKUP(P48,'MunicípiosEstados'!$S$2:$T$218,2,FALSE),
  O48="Mato Grosso",((W48*0.15)+(X48*0.7))*VLOOKUP(P48,'MunicípiosEstados'!$U$2:$V$143,2,FALSE),
  O48="Mato Grosso do Sul",((W48*0.15)+(X48*0.7))*VLOOKUP(P48,'MunicípiosEstados'!$W$2:$X$80,2,FALSE),
  O48="Minas Gerais",((W48*0.15)+(X48*0.7))*VLOOKUP(P48,'MunicípiosEstados'!$Y$2:$Z$854,2,FALSE),
  O48="Pará",((W48*0.15)+(X48*0.7))*VLOOKUP(P48,'MunicípiosEstados'!$AA$2:$AB$145,2,FALSE),
  O48="Paraíba",((W48*0.15)+(X48*0.7))*VLOOKUP(P48,'MunicípiosEstados'!$AC$2:$AD$224,2,FALSE),
  O48="Paraná",((W48*0.15)+(X48*0.7))*VLOOKUP(P48,'MunicípiosEstados'!$AE$2:$AF$400,2,FALSE),
  O48="Pernambuco",((W48*0.15)+(X48*0.7))*VLOOKUP(P48,'MunicípiosEstados'!$AG$2:$AH$186,2,FALSE),
  O48="Piauí",((W48*0.15)+(X48*0.7))*VLOOKUP(P48,'MunicípiosEstados'!$AI$2:$AJ$225,2,FALSE),
  O48="Rio Grande do Norte",((W48*0.15)+(X48*0.7))*VLOOKUP(P48,'MunicípiosEstados'!$AK$2:$AL$168,2,FALSE),
  O48="Rio Grande do Sul",((W48*0.15)+(X48*0.7))*VLOOKUP(P48,'MunicípiosEstados'!$AM$2:$AN$498,2,FALSE),
  O48="Rio de Janeiro",((W48*0.15)+(X48*0.7))*VLOOKUP(P48,'MunicípiosEstados'!$AO$2:$AP$93,2,FALSE),
  O48="Rondônia",((W48*0.15)+(X48*0.7))*VLOOKUP(P48,'MunicípiosEstados'!$AQ$2:$AR$53,2,FALSE),
  O48="Roraima",((W48*0.15)+(X48*0.7))*VLOOKUP(P48,'MunicípiosEstados'!$AS$2:$AT$16,2,FALSE),
  O48="Santa Catarina",((W48*0.15)+(X48*0.7))*VLOOKUP(P48,'MunicípiosEstados'!$AU$2:$AV$296,2,FALSE),
  O48="São Paulo",((W48*0.15)+(X48*0.7))*VLOOKUP(P48,'MunicípiosEstados'!$AW$2:$AX$646,2,FALSE),
  O48="Sergipe",((W48*0.15)+(X48*0.7))*VLOOKUP(P48,'MunicípiosEstados'!$AY$2:$AZ$76,2,FALSE),
  O48="Tocantins",((W48*0.15)+(X48*0.7))*VLOOKUP(P48,'MunicípiosEstados'!$BA$2:$BB$140,2,FALSE),
  O48="Exterior",((W48*0.15)+(X48*0.7))*VLOOKUP(P48,'MunicípiosEstados'!$BC$2:$BE$221,3,FALSE),TRUE,0
)
</f>
        <v>36754.74</v>
      </c>
      <c r="AL48" s="25">
        <f t="shared" si="3"/>
        <v>52613.14</v>
      </c>
    </row>
    <row r="49" ht="22.5" hidden="1" customHeight="1">
      <c r="A49" s="15">
        <f t="shared" si="1"/>
        <v>48</v>
      </c>
      <c r="B49" s="16">
        <v>45973.46876870371</v>
      </c>
      <c r="C49" s="17" t="s">
        <v>607</v>
      </c>
      <c r="D49" s="27" t="s">
        <v>443</v>
      </c>
      <c r="E49" s="15" t="str">
        <f>VLOOKUP(G49,DiretoriaDepart.Coord.!$A$1:$C$72,2,FALSE)</f>
        <v>Extensão Rural</v>
      </c>
      <c r="F49" s="15" t="str">
        <f>VLOOKUP(G49,DiretoriaDepart.Coord.!$A$1:$C$72,3,FALSE)</f>
        <v>Projetos e Cadeias Produtivas</v>
      </c>
      <c r="G49" s="17" t="s">
        <v>608</v>
      </c>
      <c r="H49" s="15"/>
      <c r="I49" s="17" t="s">
        <v>736</v>
      </c>
      <c r="J49" s="17" t="s">
        <v>737</v>
      </c>
      <c r="K49" s="17">
        <v>100.0</v>
      </c>
      <c r="L49" s="15"/>
      <c r="M49" s="17" t="s">
        <v>738</v>
      </c>
      <c r="N49" s="17">
        <v>10.0</v>
      </c>
      <c r="O49" s="17" t="s">
        <v>714</v>
      </c>
      <c r="P49" s="17" t="s">
        <v>6</v>
      </c>
      <c r="Q49" s="20">
        <v>45930.333333333336</v>
      </c>
      <c r="R49" s="20">
        <v>45931.75</v>
      </c>
      <c r="S49" s="17" t="s">
        <v>451</v>
      </c>
      <c r="T49" s="17" t="s">
        <v>452</v>
      </c>
      <c r="U49" s="30" t="s">
        <v>739</v>
      </c>
      <c r="V49" s="30" t="s">
        <v>740</v>
      </c>
      <c r="W49" s="22">
        <v>700.0</v>
      </c>
      <c r="X49" s="22">
        <v>300.0</v>
      </c>
      <c r="Y49" s="23">
        <v>0.0</v>
      </c>
      <c r="Z49" s="23">
        <v>2000.0</v>
      </c>
      <c r="AA49" s="24">
        <v>10000.0</v>
      </c>
      <c r="AB49" s="24">
        <v>0.0</v>
      </c>
      <c r="AC49" s="24">
        <v>0.0</v>
      </c>
      <c r="AD49" s="23">
        <v>0.0</v>
      </c>
      <c r="AE49" s="24">
        <v>0.0</v>
      </c>
      <c r="AF49" s="17" t="s">
        <v>464</v>
      </c>
      <c r="AG49" s="17">
        <v>25000.0</v>
      </c>
      <c r="AH49" s="17" t="s">
        <v>464</v>
      </c>
      <c r="AI49" s="25">
        <f>IF(AF49="Sim",INT((R49-Q49+1))*K49*VLOOKUP(P49,'Tabelas Auxiliares'!$A$1:$C$400,3,FALSE),0)</f>
        <v>4528</v>
      </c>
      <c r="AJ49" s="25">
        <f t="shared" si="2"/>
        <v>17500</v>
      </c>
      <c r="AK49" s="25">
        <f>IFS(
  O49="Acre",((W49*0.15)+(X49*0.7))*VLOOKUP(P49,'MunicípiosEstados'!$A$2:$B$23,2,FALSE),
  O49="Alagoas",((W49*0.15)+(X49*0.7))*VLOOKUP(P49,'MunicípiosEstados'!$C$2:$D$103,2,FALSE),
  O49="Amapá",((W49*0.15)+(X49*0.7))*VLOOKUP(P49,'MunicípiosEstados'!$E$2:$F$17,2,FALSE),
  O49="Amazonas",((W49*0.15)+(X49*0.7))*VLOOKUP(P49,'MunicípiosEstados'!$G$2:$H$63,2,FALSE),
  O49="Bahia",((W49*0.15)+(X49*0.7))*VLOOKUP(P49,'MunicípiosEstados'!$I$2:$J$418,2,FALSE),
  O49="Ceará",((W49*0.15)+(X49*0.7))*VLOOKUP(P49,'MunicípiosEstados'!$K$2:$L$185,2,FALSE),
  O49="Distrito Federal",((W49*0.15)+(X49*0.7))*VLOOKUP(P49,'MunicípiosEstados'!$M$2:$N$2,2,FALSE),
  O49="Espírito Santo",((W49*0.15)+(X49*0.7))*VLOOKUP(P49,'MunicípiosEstados'!$O$2:$P$79,2,FALSE),
  O49="Goiás",((W49*0.15)+(X49*0.7))*VLOOKUP(P49,'MunicípiosEstados'!$Q$2:$R$247,2,FALSE),
  O49="Maranhão",((W49*0.15)+(X49*0.7))*VLOOKUP(P49,'MunicípiosEstados'!$S$2:$T$218,2,FALSE),
  O49="Mato Grosso",((W49*0.15)+(X49*0.7))*VLOOKUP(P49,'MunicípiosEstados'!$U$2:$V$143,2,FALSE),
  O49="Mato Grosso do Sul",((W49*0.15)+(X49*0.7))*VLOOKUP(P49,'MunicípiosEstados'!$W$2:$X$80,2,FALSE),
  O49="Minas Gerais",((W49*0.15)+(X49*0.7))*VLOOKUP(P49,'MunicípiosEstados'!$Y$2:$Z$854,2,FALSE),
  O49="Pará",((W49*0.15)+(X49*0.7))*VLOOKUP(P49,'MunicípiosEstados'!$AA$2:$AB$145,2,FALSE),
  O49="Paraíba",((W49*0.15)+(X49*0.7))*VLOOKUP(P49,'MunicípiosEstados'!$AC$2:$AD$224,2,FALSE),
  O49="Paraná",((W49*0.15)+(X49*0.7))*VLOOKUP(P49,'MunicípiosEstados'!$AE$2:$AF$400,2,FALSE),
  O49="Pernambuco",((W49*0.15)+(X49*0.7))*VLOOKUP(P49,'MunicípiosEstados'!$AG$2:$AH$186,2,FALSE),
  O49="Piauí",((W49*0.15)+(X49*0.7))*VLOOKUP(P49,'MunicípiosEstados'!$AI$2:$AJ$225,2,FALSE),
  O49="Rio Grande do Norte",((W49*0.15)+(X49*0.7))*VLOOKUP(P49,'MunicípiosEstados'!$AK$2:$AL$168,2,FALSE),
  O49="Rio Grande do Sul",((W49*0.15)+(X49*0.7))*VLOOKUP(P49,'MunicípiosEstados'!$AM$2:$AN$498,2,FALSE),
  O49="Rio de Janeiro",((W49*0.15)+(X49*0.7))*VLOOKUP(P49,'MunicípiosEstados'!$AO$2:$AP$93,2,FALSE),
  O49="Rondônia",((W49*0.15)+(X49*0.7))*VLOOKUP(P49,'MunicípiosEstados'!$AQ$2:$AR$53,2,FALSE),
  O49="Roraima",((W49*0.15)+(X49*0.7))*VLOOKUP(P49,'MunicípiosEstados'!$AS$2:$AT$16,2,FALSE),
  O49="Santa Catarina",((W49*0.15)+(X49*0.7))*VLOOKUP(P49,'MunicípiosEstados'!$AU$2:$AV$296,2,FALSE),
  O49="São Paulo",((W49*0.15)+(X49*0.7))*VLOOKUP(P49,'MunicípiosEstados'!$AW$2:$AX$646,2,FALSE),
  O49="Sergipe",((W49*0.15)+(X49*0.7))*VLOOKUP(P49,'MunicípiosEstados'!$AY$2:$AZ$76,2,FALSE),
  O49="Tocantins",((W49*0.15)+(X49*0.7))*VLOOKUP(P49,'MunicípiosEstados'!$BA$2:$BB$140,2,FALSE),
  O49="Exterior",((W49*0.15)+(X49*0.7))*VLOOKUP(P49,'MunicípiosEstados'!$BC$2:$BE$221,3,FALSE),TRUE,0
)
</f>
        <v>116946.9</v>
      </c>
      <c r="AL49" s="25">
        <f t="shared" si="3"/>
        <v>150974.9</v>
      </c>
    </row>
    <row r="50" ht="22.5" hidden="1" customHeight="1">
      <c r="A50" s="15">
        <f t="shared" si="1"/>
        <v>49</v>
      </c>
      <c r="B50" s="16">
        <v>45973.47263618055</v>
      </c>
      <c r="C50" s="17" t="s">
        <v>607</v>
      </c>
      <c r="D50" s="27" t="s">
        <v>443</v>
      </c>
      <c r="E50" s="15" t="str">
        <f>VLOOKUP(G50,DiretoriaDepart.Coord.!$A$1:$C$72,2,FALSE)</f>
        <v>Extensão Rural</v>
      </c>
      <c r="F50" s="15" t="str">
        <f>VLOOKUP(G50,DiretoriaDepart.Coord.!$A$1:$C$72,3,FALSE)</f>
        <v>Projetos e Cadeias Produtivas</v>
      </c>
      <c r="G50" s="17" t="s">
        <v>608</v>
      </c>
      <c r="H50" s="15"/>
      <c r="I50" s="17" t="s">
        <v>741</v>
      </c>
      <c r="J50" s="17" t="s">
        <v>515</v>
      </c>
      <c r="K50" s="17">
        <v>50.0</v>
      </c>
      <c r="L50" s="15"/>
      <c r="M50" s="17" t="s">
        <v>742</v>
      </c>
      <c r="N50" s="17">
        <v>0.0</v>
      </c>
      <c r="O50" s="17" t="s">
        <v>714</v>
      </c>
      <c r="P50" s="17" t="s">
        <v>89</v>
      </c>
      <c r="Q50" s="20">
        <v>45873.333333333336</v>
      </c>
      <c r="R50" s="20">
        <v>45875.75</v>
      </c>
      <c r="S50" s="17" t="s">
        <v>464</v>
      </c>
      <c r="T50" s="17" t="s">
        <v>452</v>
      </c>
      <c r="U50" s="30" t="s">
        <v>743</v>
      </c>
      <c r="V50" s="30" t="s">
        <v>744</v>
      </c>
      <c r="W50" s="22">
        <v>150.0</v>
      </c>
      <c r="X50" s="22">
        <v>100.0</v>
      </c>
      <c r="Y50" s="36">
        <v>0.0</v>
      </c>
      <c r="Z50" s="36">
        <v>0.0</v>
      </c>
      <c r="AA50" s="24">
        <v>0.0</v>
      </c>
      <c r="AB50" s="24">
        <v>0.0</v>
      </c>
      <c r="AC50" s="24">
        <v>0.0</v>
      </c>
      <c r="AD50" s="36">
        <v>0.0</v>
      </c>
      <c r="AE50" s="37">
        <v>0.0</v>
      </c>
      <c r="AF50" s="17" t="s">
        <v>451</v>
      </c>
      <c r="AG50" s="17">
        <v>10000.0</v>
      </c>
      <c r="AH50" s="17" t="s">
        <v>464</v>
      </c>
      <c r="AI50" s="25">
        <f>IF(AF50="Sim",INT((R50-Q50+1))*K50*VLOOKUP(P50,'Tabelas Auxiliares'!$A$1:$C$400,3,FALSE),0)</f>
        <v>0</v>
      </c>
      <c r="AJ50" s="25">
        <f t="shared" si="2"/>
        <v>7000</v>
      </c>
      <c r="AK50" s="25">
        <f>IFS(
  O50="Acre",((W50*0.15)+(X50*0.7))*VLOOKUP(P50,'MunicípiosEstados'!$A$2:$B$23,2,FALSE),
  O50="Alagoas",((W50*0.15)+(X50*0.7))*VLOOKUP(P50,'MunicípiosEstados'!$C$2:$D$103,2,FALSE),
  O50="Amapá",((W50*0.15)+(X50*0.7))*VLOOKUP(P50,'MunicípiosEstados'!$E$2:$F$17,2,FALSE),
  O50="Amazonas",((W50*0.15)+(X50*0.7))*VLOOKUP(P50,'MunicípiosEstados'!$G$2:$H$63,2,FALSE),
  O50="Bahia",((W50*0.15)+(X50*0.7))*VLOOKUP(P50,'MunicípiosEstados'!$I$2:$J$418,2,FALSE),
  O50="Ceará",((W50*0.15)+(X50*0.7))*VLOOKUP(P50,'MunicípiosEstados'!$K$2:$L$185,2,FALSE),
  O50="Distrito Federal",((W50*0.15)+(X50*0.7))*VLOOKUP(P50,'MunicípiosEstados'!$M$2:$N$2,2,FALSE),
  O50="Espírito Santo",((W50*0.15)+(X50*0.7))*VLOOKUP(P50,'MunicípiosEstados'!$O$2:$P$79,2,FALSE),
  O50="Goiás",((W50*0.15)+(X50*0.7))*VLOOKUP(P50,'MunicípiosEstados'!$Q$2:$R$247,2,FALSE),
  O50="Maranhão",((W50*0.15)+(X50*0.7))*VLOOKUP(P50,'MunicípiosEstados'!$S$2:$T$218,2,FALSE),
  O50="Mato Grosso",((W50*0.15)+(X50*0.7))*VLOOKUP(P50,'MunicípiosEstados'!$U$2:$V$143,2,FALSE),
  O50="Mato Grosso do Sul",((W50*0.15)+(X50*0.7))*VLOOKUP(P50,'MunicípiosEstados'!$W$2:$X$80,2,FALSE),
  O50="Minas Gerais",((W50*0.15)+(X50*0.7))*VLOOKUP(P50,'MunicípiosEstados'!$Y$2:$Z$854,2,FALSE),
  O50="Pará",((W50*0.15)+(X50*0.7))*VLOOKUP(P50,'MunicípiosEstados'!$AA$2:$AB$145,2,FALSE),
  O50="Paraíba",((W50*0.15)+(X50*0.7))*VLOOKUP(P50,'MunicípiosEstados'!$AC$2:$AD$224,2,FALSE),
  O50="Paraná",((W50*0.15)+(X50*0.7))*VLOOKUP(P50,'MunicípiosEstados'!$AE$2:$AF$400,2,FALSE),
  O50="Pernambuco",((W50*0.15)+(X50*0.7))*VLOOKUP(P50,'MunicípiosEstados'!$AG$2:$AH$186,2,FALSE),
  O50="Piauí",((W50*0.15)+(X50*0.7))*VLOOKUP(P50,'MunicípiosEstados'!$AI$2:$AJ$225,2,FALSE),
  O50="Rio Grande do Norte",((W50*0.15)+(X50*0.7))*VLOOKUP(P50,'MunicípiosEstados'!$AK$2:$AL$168,2,FALSE),
  O50="Rio Grande do Sul",((W50*0.15)+(X50*0.7))*VLOOKUP(P50,'MunicípiosEstados'!$AM$2:$AN$498,2,FALSE),
  O50="Rio de Janeiro",((W50*0.15)+(X50*0.7))*VLOOKUP(P50,'MunicípiosEstados'!$AO$2:$AP$93,2,FALSE),
  O50="Rondônia",((W50*0.15)+(X50*0.7))*VLOOKUP(P50,'MunicípiosEstados'!$AQ$2:$AR$53,2,FALSE),
  O50="Roraima",((W50*0.15)+(X50*0.7))*VLOOKUP(P50,'MunicípiosEstados'!$AS$2:$AT$16,2,FALSE),
  O50="Santa Catarina",((W50*0.15)+(X50*0.7))*VLOOKUP(P50,'MunicípiosEstados'!$AU$2:$AV$296,2,FALSE),
  O50="São Paulo",((W50*0.15)+(X50*0.7))*VLOOKUP(P50,'MunicípiosEstados'!$AW$2:$AX$646,2,FALSE),
  O50="Sergipe",((W50*0.15)+(X50*0.7))*VLOOKUP(P50,'MunicípiosEstados'!$AY$2:$AZ$76,2,FALSE),
  O50="Tocantins",((W50*0.15)+(X50*0.7))*VLOOKUP(P50,'MunicípiosEstados'!$BA$2:$BB$140,2,FALSE),
  O50="Exterior",((W50*0.15)+(X50*0.7))*VLOOKUP(P50,'MunicípiosEstados'!$BC$2:$BE$221,3,FALSE),TRUE,0
)
</f>
        <v>26875.875</v>
      </c>
      <c r="AL50" s="25">
        <f t="shared" si="3"/>
        <v>33875.875</v>
      </c>
      <c r="AO50" s="14"/>
      <c r="AP50" s="14"/>
      <c r="AQ50" s="14"/>
    </row>
    <row r="51" ht="22.5" hidden="1" customHeight="1">
      <c r="A51" s="15">
        <f t="shared" si="1"/>
        <v>50</v>
      </c>
      <c r="B51" s="16">
        <v>45973.481560914355</v>
      </c>
      <c r="C51" s="17" t="s">
        <v>607</v>
      </c>
      <c r="D51" s="27" t="s">
        <v>443</v>
      </c>
      <c r="E51" s="15" t="str">
        <f>VLOOKUP(G51,DiretoriaDepart.Coord.!$A$1:$C$72,2,FALSE)</f>
        <v>Extensão Rural</v>
      </c>
      <c r="F51" s="15" t="str">
        <f>VLOOKUP(G51,DiretoriaDepart.Coord.!$A$1:$C$72,3,FALSE)</f>
        <v>Projetos e Cadeias Produtivas</v>
      </c>
      <c r="G51" s="17" t="s">
        <v>608</v>
      </c>
      <c r="H51" s="15"/>
      <c r="I51" s="17" t="s">
        <v>745</v>
      </c>
      <c r="J51" s="17" t="s">
        <v>728</v>
      </c>
      <c r="K51" s="17">
        <v>25.0</v>
      </c>
      <c r="L51" s="15"/>
      <c r="M51" s="17" t="s">
        <v>746</v>
      </c>
      <c r="N51" s="17">
        <v>0.0</v>
      </c>
      <c r="O51" s="17" t="s">
        <v>714</v>
      </c>
      <c r="P51" s="17" t="s">
        <v>6</v>
      </c>
      <c r="Q51" s="20">
        <v>45862.333333333336</v>
      </c>
      <c r="R51" s="20">
        <v>45894.75</v>
      </c>
      <c r="S51" s="17" t="s">
        <v>451</v>
      </c>
      <c r="T51" s="17" t="s">
        <v>747</v>
      </c>
      <c r="U51" s="30" t="s">
        <v>748</v>
      </c>
      <c r="V51" s="30" t="s">
        <v>749</v>
      </c>
      <c r="W51" s="22">
        <v>0.0</v>
      </c>
      <c r="X51" s="22">
        <v>0.0</v>
      </c>
      <c r="Y51" s="36">
        <v>50000.0</v>
      </c>
      <c r="Z51" s="36">
        <v>0.0</v>
      </c>
      <c r="AA51" s="24">
        <v>0.0</v>
      </c>
      <c r="AB51" s="24">
        <v>0.0</v>
      </c>
      <c r="AC51" s="24">
        <v>0.0</v>
      </c>
      <c r="AD51" s="36">
        <v>0.0</v>
      </c>
      <c r="AE51" s="37">
        <v>0.0</v>
      </c>
      <c r="AF51" s="17" t="s">
        <v>451</v>
      </c>
      <c r="AG51" s="17">
        <v>0.0</v>
      </c>
      <c r="AH51" s="17" t="s">
        <v>464</v>
      </c>
      <c r="AI51" s="25">
        <f>IF(AF51="Sim",INT((R51-Q51+1))*K51*VLOOKUP(P51,'Tabelas Auxiliares'!$A$1:$C$400,3,FALSE),0)</f>
        <v>0</v>
      </c>
      <c r="AJ51" s="25">
        <f t="shared" si="2"/>
        <v>0</v>
      </c>
      <c r="AK51" s="25">
        <f>IFS(
  O51="Acre",((W51*0.15)+(X51*0.7))*VLOOKUP(P51,'MunicípiosEstados'!$A$2:$B$23,2,FALSE),
  O51="Alagoas",((W51*0.15)+(X51*0.7))*VLOOKUP(P51,'MunicípiosEstados'!$C$2:$D$103,2,FALSE),
  O51="Amapá",((W51*0.15)+(X51*0.7))*VLOOKUP(P51,'MunicípiosEstados'!$E$2:$F$17,2,FALSE),
  O51="Amazonas",((W51*0.15)+(X51*0.7))*VLOOKUP(P51,'MunicípiosEstados'!$G$2:$H$63,2,FALSE),
  O51="Bahia",((W51*0.15)+(X51*0.7))*VLOOKUP(P51,'MunicípiosEstados'!$I$2:$J$418,2,FALSE),
  O51="Ceará",((W51*0.15)+(X51*0.7))*VLOOKUP(P51,'MunicípiosEstados'!$K$2:$L$185,2,FALSE),
  O51="Distrito Federal",((W51*0.15)+(X51*0.7))*VLOOKUP(P51,'MunicípiosEstados'!$M$2:$N$2,2,FALSE),
  O51="Espírito Santo",((W51*0.15)+(X51*0.7))*VLOOKUP(P51,'MunicípiosEstados'!$O$2:$P$79,2,FALSE),
  O51="Goiás",((W51*0.15)+(X51*0.7))*VLOOKUP(P51,'MunicípiosEstados'!$Q$2:$R$247,2,FALSE),
  O51="Maranhão",((W51*0.15)+(X51*0.7))*VLOOKUP(P51,'MunicípiosEstados'!$S$2:$T$218,2,FALSE),
  O51="Mato Grosso",((W51*0.15)+(X51*0.7))*VLOOKUP(P51,'MunicípiosEstados'!$U$2:$V$143,2,FALSE),
  O51="Mato Grosso do Sul",((W51*0.15)+(X51*0.7))*VLOOKUP(P51,'MunicípiosEstados'!$W$2:$X$80,2,FALSE),
  O51="Minas Gerais",((W51*0.15)+(X51*0.7))*VLOOKUP(P51,'MunicípiosEstados'!$Y$2:$Z$854,2,FALSE),
  O51="Pará",((W51*0.15)+(X51*0.7))*VLOOKUP(P51,'MunicípiosEstados'!$AA$2:$AB$145,2,FALSE),
  O51="Paraíba",((W51*0.15)+(X51*0.7))*VLOOKUP(P51,'MunicípiosEstados'!$AC$2:$AD$224,2,FALSE),
  O51="Paraná",((W51*0.15)+(X51*0.7))*VLOOKUP(P51,'MunicípiosEstados'!$AE$2:$AF$400,2,FALSE),
  O51="Pernambuco",((W51*0.15)+(X51*0.7))*VLOOKUP(P51,'MunicípiosEstados'!$AG$2:$AH$186,2,FALSE),
  O51="Piauí",((W51*0.15)+(X51*0.7))*VLOOKUP(P51,'MunicípiosEstados'!$AI$2:$AJ$225,2,FALSE),
  O51="Rio Grande do Norte",((W51*0.15)+(X51*0.7))*VLOOKUP(P51,'MunicípiosEstados'!$AK$2:$AL$168,2,FALSE),
  O51="Rio Grande do Sul",((W51*0.15)+(X51*0.7))*VLOOKUP(P51,'MunicípiosEstados'!$AM$2:$AN$498,2,FALSE),
  O51="Rio de Janeiro",((W51*0.15)+(X51*0.7))*VLOOKUP(P51,'MunicípiosEstados'!$AO$2:$AP$93,2,FALSE),
  O51="Rondônia",((W51*0.15)+(X51*0.7))*VLOOKUP(P51,'MunicípiosEstados'!$AQ$2:$AR$53,2,FALSE),
  O51="Roraima",((W51*0.15)+(X51*0.7))*VLOOKUP(P51,'MunicípiosEstados'!$AS$2:$AT$16,2,FALSE),
  O51="Santa Catarina",((W51*0.15)+(X51*0.7))*VLOOKUP(P51,'MunicípiosEstados'!$AU$2:$AV$296,2,FALSE),
  O51="São Paulo",((W51*0.15)+(X51*0.7))*VLOOKUP(P51,'MunicípiosEstados'!$AW$2:$AX$646,2,FALSE),
  O51="Sergipe",((W51*0.15)+(X51*0.7))*VLOOKUP(P51,'MunicípiosEstados'!$AY$2:$AZ$76,2,FALSE),
  O51="Tocantins",((W51*0.15)+(X51*0.7))*VLOOKUP(P51,'MunicípiosEstados'!$BA$2:$BB$140,2,FALSE),
  O51="Exterior",((W51*0.15)+(X51*0.7))*VLOOKUP(P51,'MunicípiosEstados'!$BC$2:$BE$221,3,FALSE),TRUE,0
)
</f>
        <v>0</v>
      </c>
      <c r="AL51" s="25">
        <f t="shared" si="3"/>
        <v>50000</v>
      </c>
      <c r="AO51" s="14"/>
      <c r="AP51" s="14"/>
      <c r="AQ51" s="14"/>
    </row>
    <row r="52" ht="22.5" hidden="1" customHeight="1">
      <c r="A52" s="15">
        <f t="shared" si="1"/>
        <v>51</v>
      </c>
      <c r="B52" s="16">
        <v>45973.484416238425</v>
      </c>
      <c r="C52" s="17" t="s">
        <v>607</v>
      </c>
      <c r="D52" s="27" t="s">
        <v>443</v>
      </c>
      <c r="E52" s="15" t="str">
        <f>VLOOKUP(G52,DiretoriaDepart.Coord.!$A$1:$C$72,2,FALSE)</f>
        <v>Extensão Rural</v>
      </c>
      <c r="F52" s="15" t="str">
        <f>VLOOKUP(G52,DiretoriaDepart.Coord.!$A$1:$C$72,3,FALSE)</f>
        <v>Projetos e Cadeias Produtivas</v>
      </c>
      <c r="G52" s="17" t="s">
        <v>608</v>
      </c>
      <c r="H52" s="15"/>
      <c r="I52" s="17" t="s">
        <v>750</v>
      </c>
      <c r="J52" s="17" t="s">
        <v>728</v>
      </c>
      <c r="K52" s="17">
        <v>25.0</v>
      </c>
      <c r="L52" s="15"/>
      <c r="M52" s="17" t="s">
        <v>746</v>
      </c>
      <c r="N52" s="17">
        <v>0.0</v>
      </c>
      <c r="O52" s="17" t="s">
        <v>714</v>
      </c>
      <c r="P52" s="17" t="s">
        <v>6</v>
      </c>
      <c r="Q52" s="20">
        <v>45741.333333333336</v>
      </c>
      <c r="R52" s="20">
        <v>45742.75</v>
      </c>
      <c r="S52" s="17" t="s">
        <v>451</v>
      </c>
      <c r="T52" s="17" t="s">
        <v>747</v>
      </c>
      <c r="U52" s="30" t="s">
        <v>751</v>
      </c>
      <c r="V52" s="30" t="s">
        <v>751</v>
      </c>
      <c r="W52" s="22">
        <v>0.0</v>
      </c>
      <c r="X52" s="22">
        <v>0.0</v>
      </c>
      <c r="Y52" s="23">
        <v>50000.0</v>
      </c>
      <c r="Z52" s="23">
        <v>0.0</v>
      </c>
      <c r="AA52" s="24">
        <v>0.0</v>
      </c>
      <c r="AB52" s="24">
        <v>0.0</v>
      </c>
      <c r="AC52" s="24">
        <v>0.0</v>
      </c>
      <c r="AD52" s="23">
        <v>0.0</v>
      </c>
      <c r="AE52" s="24">
        <v>0.0</v>
      </c>
      <c r="AF52" s="17" t="s">
        <v>451</v>
      </c>
      <c r="AG52" s="17">
        <v>0.0</v>
      </c>
      <c r="AH52" s="17" t="s">
        <v>464</v>
      </c>
      <c r="AI52" s="25">
        <f>IF(AF52="Sim",INT((R52-Q52+1))*K52*VLOOKUP(P52,'Tabelas Auxiliares'!$A$1:$C$400,3,FALSE),0)</f>
        <v>0</v>
      </c>
      <c r="AJ52" s="25">
        <f t="shared" si="2"/>
        <v>0</v>
      </c>
      <c r="AK52" s="25">
        <f>IFS(
  O52="Acre",((W52*0.15)+(X52*0.7))*VLOOKUP(P52,'MunicípiosEstados'!$A$2:$B$23,2,FALSE),
  O52="Alagoas",((W52*0.15)+(X52*0.7))*VLOOKUP(P52,'MunicípiosEstados'!$C$2:$D$103,2,FALSE),
  O52="Amapá",((W52*0.15)+(X52*0.7))*VLOOKUP(P52,'MunicípiosEstados'!$E$2:$F$17,2,FALSE),
  O52="Amazonas",((W52*0.15)+(X52*0.7))*VLOOKUP(P52,'MunicípiosEstados'!$G$2:$H$63,2,FALSE),
  O52="Bahia",((W52*0.15)+(X52*0.7))*VLOOKUP(P52,'MunicípiosEstados'!$I$2:$J$418,2,FALSE),
  O52="Ceará",((W52*0.15)+(X52*0.7))*VLOOKUP(P52,'MunicípiosEstados'!$K$2:$L$185,2,FALSE),
  O52="Distrito Federal",((W52*0.15)+(X52*0.7))*VLOOKUP(P52,'MunicípiosEstados'!$M$2:$N$2,2,FALSE),
  O52="Espírito Santo",((W52*0.15)+(X52*0.7))*VLOOKUP(P52,'MunicípiosEstados'!$O$2:$P$79,2,FALSE),
  O52="Goiás",((W52*0.15)+(X52*0.7))*VLOOKUP(P52,'MunicípiosEstados'!$Q$2:$R$247,2,FALSE),
  O52="Maranhão",((W52*0.15)+(X52*0.7))*VLOOKUP(P52,'MunicípiosEstados'!$S$2:$T$218,2,FALSE),
  O52="Mato Grosso",((W52*0.15)+(X52*0.7))*VLOOKUP(P52,'MunicípiosEstados'!$U$2:$V$143,2,FALSE),
  O52="Mato Grosso do Sul",((W52*0.15)+(X52*0.7))*VLOOKUP(P52,'MunicípiosEstados'!$W$2:$X$80,2,FALSE),
  O52="Minas Gerais",((W52*0.15)+(X52*0.7))*VLOOKUP(P52,'MunicípiosEstados'!$Y$2:$Z$854,2,FALSE),
  O52="Pará",((W52*0.15)+(X52*0.7))*VLOOKUP(P52,'MunicípiosEstados'!$AA$2:$AB$145,2,FALSE),
  O52="Paraíba",((W52*0.15)+(X52*0.7))*VLOOKUP(P52,'MunicípiosEstados'!$AC$2:$AD$224,2,FALSE),
  O52="Paraná",((W52*0.15)+(X52*0.7))*VLOOKUP(P52,'MunicípiosEstados'!$AE$2:$AF$400,2,FALSE),
  O52="Pernambuco",((W52*0.15)+(X52*0.7))*VLOOKUP(P52,'MunicípiosEstados'!$AG$2:$AH$186,2,FALSE),
  O52="Piauí",((W52*0.15)+(X52*0.7))*VLOOKUP(P52,'MunicípiosEstados'!$AI$2:$AJ$225,2,FALSE),
  O52="Rio Grande do Norte",((W52*0.15)+(X52*0.7))*VLOOKUP(P52,'MunicípiosEstados'!$AK$2:$AL$168,2,FALSE),
  O52="Rio Grande do Sul",((W52*0.15)+(X52*0.7))*VLOOKUP(P52,'MunicípiosEstados'!$AM$2:$AN$498,2,FALSE),
  O52="Rio de Janeiro",((W52*0.15)+(X52*0.7))*VLOOKUP(P52,'MunicípiosEstados'!$AO$2:$AP$93,2,FALSE),
  O52="Rondônia",((W52*0.15)+(X52*0.7))*VLOOKUP(P52,'MunicípiosEstados'!$AQ$2:$AR$53,2,FALSE),
  O52="Roraima",((W52*0.15)+(X52*0.7))*VLOOKUP(P52,'MunicípiosEstados'!$AS$2:$AT$16,2,FALSE),
  O52="Santa Catarina",((W52*0.15)+(X52*0.7))*VLOOKUP(P52,'MunicípiosEstados'!$AU$2:$AV$296,2,FALSE),
  O52="São Paulo",((W52*0.15)+(X52*0.7))*VLOOKUP(P52,'MunicípiosEstados'!$AW$2:$AX$646,2,FALSE),
  O52="Sergipe",((W52*0.15)+(X52*0.7))*VLOOKUP(P52,'MunicípiosEstados'!$AY$2:$AZ$76,2,FALSE),
  O52="Tocantins",((W52*0.15)+(X52*0.7))*VLOOKUP(P52,'MunicípiosEstados'!$BA$2:$BB$140,2,FALSE),
  O52="Exterior",((W52*0.15)+(X52*0.7))*VLOOKUP(P52,'MunicípiosEstados'!$BC$2:$BE$221,3,FALSE),TRUE,0
)
</f>
        <v>0</v>
      </c>
      <c r="AL52" s="25">
        <f t="shared" si="3"/>
        <v>50000</v>
      </c>
    </row>
    <row r="53" ht="22.5" hidden="1" customHeight="1">
      <c r="A53" s="15">
        <f t="shared" si="1"/>
        <v>52</v>
      </c>
      <c r="B53" s="16">
        <v>45975.380959814815</v>
      </c>
      <c r="C53" s="17" t="s">
        <v>752</v>
      </c>
      <c r="D53" s="27" t="s">
        <v>443</v>
      </c>
      <c r="E53" s="15" t="str">
        <f>VLOOKUP(G53,DiretoriaDepart.Coord.!$A$1:$C$72,2,FALSE)</f>
        <v>Pesquisa e Inovação</v>
      </c>
      <c r="F53" s="15" t="str">
        <f>VLOOKUP(G53,DiretoriaDepart.Coord.!$A$1:$C$72,3,FALSE)</f>
        <v>Inovação e Comunicação Científica</v>
      </c>
      <c r="G53" s="17" t="s">
        <v>753</v>
      </c>
      <c r="H53" s="15"/>
      <c r="I53" s="17" t="s">
        <v>754</v>
      </c>
      <c r="J53" s="17" t="s">
        <v>490</v>
      </c>
      <c r="K53" s="17">
        <v>1.0</v>
      </c>
      <c r="L53" s="17" t="s">
        <v>755</v>
      </c>
      <c r="M53" s="17" t="s">
        <v>756</v>
      </c>
      <c r="N53" s="17" t="s">
        <v>757</v>
      </c>
      <c r="O53" s="17" t="s">
        <v>714</v>
      </c>
      <c r="P53" s="17" t="s">
        <v>138</v>
      </c>
      <c r="Q53" s="20">
        <v>45873.333333333336</v>
      </c>
      <c r="R53" s="20">
        <v>45875.75</v>
      </c>
      <c r="S53" s="17" t="s">
        <v>464</v>
      </c>
      <c r="T53" s="17" t="s">
        <v>452</v>
      </c>
      <c r="U53" s="30" t="s">
        <v>758</v>
      </c>
      <c r="V53" s="30" t="s">
        <v>759</v>
      </c>
      <c r="W53" s="22">
        <v>10.0</v>
      </c>
      <c r="X53" s="22">
        <v>4.0</v>
      </c>
      <c r="Y53" s="23">
        <v>1000.0</v>
      </c>
      <c r="Z53" s="23">
        <v>0.0</v>
      </c>
      <c r="AA53" s="24">
        <v>0.0</v>
      </c>
      <c r="AB53" s="24">
        <v>0.0</v>
      </c>
      <c r="AC53" s="24">
        <v>0.0</v>
      </c>
      <c r="AD53" s="23">
        <v>0.0</v>
      </c>
      <c r="AE53" s="24">
        <v>0.0</v>
      </c>
      <c r="AF53" s="17" t="s">
        <v>451</v>
      </c>
      <c r="AG53" s="17">
        <v>1200.0</v>
      </c>
      <c r="AH53" s="17" t="s">
        <v>451</v>
      </c>
      <c r="AI53" s="25">
        <f>IF(AF53="Sim",INT((R53-Q53+1))*K53*VLOOKUP(P53,'Tabelas Auxiliares'!$A$1:$C$400,3,FALSE),0)</f>
        <v>0</v>
      </c>
      <c r="AJ53" s="25">
        <f t="shared" si="2"/>
        <v>840</v>
      </c>
      <c r="AK53" s="25">
        <f>IFS(
  O53="Acre",((W53*0.15)+(X53*0.7))*VLOOKUP(P53,'MunicípiosEstados'!$A$2:$B$23,2,FALSE),
  O53="Alagoas",((W53*0.15)+(X53*0.7))*VLOOKUP(P53,'MunicípiosEstados'!$C$2:$D$103,2,FALSE),
  O53="Amapá",((W53*0.15)+(X53*0.7))*VLOOKUP(P53,'MunicípiosEstados'!$E$2:$F$17,2,FALSE),
  O53="Amazonas",((W53*0.15)+(X53*0.7))*VLOOKUP(P53,'MunicípiosEstados'!$G$2:$H$63,2,FALSE),
  O53="Bahia",((W53*0.15)+(X53*0.7))*VLOOKUP(P53,'MunicípiosEstados'!$I$2:$J$418,2,FALSE),
  O53="Ceará",((W53*0.15)+(X53*0.7))*VLOOKUP(P53,'MunicípiosEstados'!$K$2:$L$185,2,FALSE),
  O53="Distrito Federal",((W53*0.15)+(X53*0.7))*VLOOKUP(P53,'MunicípiosEstados'!$M$2:$N$2,2,FALSE),
  O53="Espírito Santo",((W53*0.15)+(X53*0.7))*VLOOKUP(P53,'MunicípiosEstados'!$O$2:$P$79,2,FALSE),
  O53="Goiás",((W53*0.15)+(X53*0.7))*VLOOKUP(P53,'MunicípiosEstados'!$Q$2:$R$247,2,FALSE),
  O53="Maranhão",((W53*0.15)+(X53*0.7))*VLOOKUP(P53,'MunicípiosEstados'!$S$2:$T$218,2,FALSE),
  O53="Mato Grosso",((W53*0.15)+(X53*0.7))*VLOOKUP(P53,'MunicípiosEstados'!$U$2:$V$143,2,FALSE),
  O53="Mato Grosso do Sul",((W53*0.15)+(X53*0.7))*VLOOKUP(P53,'MunicípiosEstados'!$W$2:$X$80,2,FALSE),
  O53="Minas Gerais",((W53*0.15)+(X53*0.7))*VLOOKUP(P53,'MunicípiosEstados'!$Y$2:$Z$854,2,FALSE),
  O53="Pará",((W53*0.15)+(X53*0.7))*VLOOKUP(P53,'MunicípiosEstados'!$AA$2:$AB$145,2,FALSE),
  O53="Paraíba",((W53*0.15)+(X53*0.7))*VLOOKUP(P53,'MunicípiosEstados'!$AC$2:$AD$224,2,FALSE),
  O53="Paraná",((W53*0.15)+(X53*0.7))*VLOOKUP(P53,'MunicípiosEstados'!$AE$2:$AF$400,2,FALSE),
  O53="Pernambuco",((W53*0.15)+(X53*0.7))*VLOOKUP(P53,'MunicípiosEstados'!$AG$2:$AH$186,2,FALSE),
  O53="Piauí",((W53*0.15)+(X53*0.7))*VLOOKUP(P53,'MunicípiosEstados'!$AI$2:$AJ$225,2,FALSE),
  O53="Rio Grande do Norte",((W53*0.15)+(X53*0.7))*VLOOKUP(P53,'MunicípiosEstados'!$AK$2:$AL$168,2,FALSE),
  O53="Rio Grande do Sul",((W53*0.15)+(X53*0.7))*VLOOKUP(P53,'MunicípiosEstados'!$AM$2:$AN$498,2,FALSE),
  O53="Rio de Janeiro",((W53*0.15)+(X53*0.7))*VLOOKUP(P53,'MunicípiosEstados'!$AO$2:$AP$93,2,FALSE),
  O53="Rondônia",((W53*0.15)+(X53*0.7))*VLOOKUP(P53,'MunicípiosEstados'!$AQ$2:$AR$53,2,FALSE),
  O53="Roraima",((W53*0.15)+(X53*0.7))*VLOOKUP(P53,'MunicípiosEstados'!$AS$2:$AT$16,2,FALSE),
  O53="Santa Catarina",((W53*0.15)+(X53*0.7))*VLOOKUP(P53,'MunicípiosEstados'!$AU$2:$AV$296,2,FALSE),
  O53="São Paulo",((W53*0.15)+(X53*0.7))*VLOOKUP(P53,'MunicípiosEstados'!$AW$2:$AX$646,2,FALSE),
  O53="Sergipe",((W53*0.15)+(X53*0.7))*VLOOKUP(P53,'MunicípiosEstados'!$AY$2:$AZ$76,2,FALSE),
  O53="Tocantins",((W53*0.15)+(X53*0.7))*VLOOKUP(P53,'MunicípiosEstados'!$BA$2:$BB$140,2,FALSE),
  O53="Exterior",((W53*0.15)+(X53*0.7))*VLOOKUP(P53,'MunicípiosEstados'!$BC$2:$BE$221,3,FALSE),TRUE,0
)
</f>
        <v>1249.365</v>
      </c>
      <c r="AL53" s="25">
        <f t="shared" si="3"/>
        <v>3089.365</v>
      </c>
      <c r="AN53" s="35"/>
    </row>
    <row r="54" ht="22.5" hidden="1" customHeight="1">
      <c r="A54" s="15">
        <f t="shared" si="1"/>
        <v>53</v>
      </c>
      <c r="B54" s="16">
        <v>45975.586734386576</v>
      </c>
      <c r="C54" s="17" t="s">
        <v>760</v>
      </c>
      <c r="D54" s="27" t="s">
        <v>443</v>
      </c>
      <c r="E54" s="15" t="str">
        <f>VLOOKUP(G54,DiretoriaDepart.Coord.!$A$1:$C$72,2,FALSE)</f>
        <v>Pesquisa e Inovação</v>
      </c>
      <c r="F54" s="15" t="str">
        <f>VLOOKUP(G54,DiretoriaDepart.Coord.!$A$1:$C$72,3,FALSE)</f>
        <v>Inovação e Comunicação Científica</v>
      </c>
      <c r="G54" s="17" t="s">
        <v>753</v>
      </c>
      <c r="H54" s="15"/>
      <c r="I54" s="17" t="s">
        <v>761</v>
      </c>
      <c r="J54" s="17" t="s">
        <v>490</v>
      </c>
      <c r="K54" s="17">
        <v>2.0</v>
      </c>
      <c r="L54" s="17" t="s">
        <v>762</v>
      </c>
      <c r="M54" s="17" t="s">
        <v>763</v>
      </c>
      <c r="N54" s="17">
        <v>0.0</v>
      </c>
      <c r="O54" s="17" t="s">
        <v>714</v>
      </c>
      <c r="P54" s="17" t="s">
        <v>138</v>
      </c>
      <c r="Q54" s="20">
        <v>45873.333333333336</v>
      </c>
      <c r="R54" s="20">
        <v>45875.75</v>
      </c>
      <c r="S54" s="17" t="s">
        <v>464</v>
      </c>
      <c r="T54" s="17" t="s">
        <v>452</v>
      </c>
      <c r="U54" s="30" t="s">
        <v>764</v>
      </c>
      <c r="V54" s="30" t="s">
        <v>765</v>
      </c>
      <c r="W54" s="22">
        <v>10.0</v>
      </c>
      <c r="X54" s="22">
        <v>4.0</v>
      </c>
      <c r="Y54" s="23">
        <v>1000.0</v>
      </c>
      <c r="Z54" s="23">
        <v>100.0</v>
      </c>
      <c r="AA54" s="24">
        <v>0.0</v>
      </c>
      <c r="AB54" s="24">
        <v>0.0</v>
      </c>
      <c r="AC54" s="24">
        <v>0.0</v>
      </c>
      <c r="AD54" s="23">
        <v>0.0</v>
      </c>
      <c r="AE54" s="24">
        <v>0.0</v>
      </c>
      <c r="AF54" s="17" t="s">
        <v>451</v>
      </c>
      <c r="AG54" s="17">
        <v>1200.0</v>
      </c>
      <c r="AH54" s="17" t="s">
        <v>451</v>
      </c>
      <c r="AI54" s="25">
        <f>IF(AF54="Sim",INT((R54-Q54+1))*K54*VLOOKUP(P54,'Tabelas Auxiliares'!$A$1:$C$400,3,FALSE),0)</f>
        <v>0</v>
      </c>
      <c r="AJ54" s="25">
        <f t="shared" si="2"/>
        <v>840</v>
      </c>
      <c r="AK54" s="25">
        <f>IFS(
  O54="Acre",((W54*0.15)+(X54*0.7))*VLOOKUP(P54,'MunicípiosEstados'!$A$2:$B$23,2,FALSE),
  O54="Alagoas",((W54*0.15)+(X54*0.7))*VLOOKUP(P54,'MunicípiosEstados'!$C$2:$D$103,2,FALSE),
  O54="Amapá",((W54*0.15)+(X54*0.7))*VLOOKUP(P54,'MunicípiosEstados'!$E$2:$F$17,2,FALSE),
  O54="Amazonas",((W54*0.15)+(X54*0.7))*VLOOKUP(P54,'MunicípiosEstados'!$G$2:$H$63,2,FALSE),
  O54="Bahia",((W54*0.15)+(X54*0.7))*VLOOKUP(P54,'MunicípiosEstados'!$I$2:$J$418,2,FALSE),
  O54="Ceará",((W54*0.15)+(X54*0.7))*VLOOKUP(P54,'MunicípiosEstados'!$K$2:$L$185,2,FALSE),
  O54="Distrito Federal",((W54*0.15)+(X54*0.7))*VLOOKUP(P54,'MunicípiosEstados'!$M$2:$N$2,2,FALSE),
  O54="Espírito Santo",((W54*0.15)+(X54*0.7))*VLOOKUP(P54,'MunicípiosEstados'!$O$2:$P$79,2,FALSE),
  O54="Goiás",((W54*0.15)+(X54*0.7))*VLOOKUP(P54,'MunicípiosEstados'!$Q$2:$R$247,2,FALSE),
  O54="Maranhão",((W54*0.15)+(X54*0.7))*VLOOKUP(P54,'MunicípiosEstados'!$S$2:$T$218,2,FALSE),
  O54="Mato Grosso",((W54*0.15)+(X54*0.7))*VLOOKUP(P54,'MunicípiosEstados'!$U$2:$V$143,2,FALSE),
  O54="Mato Grosso do Sul",((W54*0.15)+(X54*0.7))*VLOOKUP(P54,'MunicípiosEstados'!$W$2:$X$80,2,FALSE),
  O54="Minas Gerais",((W54*0.15)+(X54*0.7))*VLOOKUP(P54,'MunicípiosEstados'!$Y$2:$Z$854,2,FALSE),
  O54="Pará",((W54*0.15)+(X54*0.7))*VLOOKUP(P54,'MunicípiosEstados'!$AA$2:$AB$145,2,FALSE),
  O54="Paraíba",((W54*0.15)+(X54*0.7))*VLOOKUP(P54,'MunicípiosEstados'!$AC$2:$AD$224,2,FALSE),
  O54="Paraná",((W54*0.15)+(X54*0.7))*VLOOKUP(P54,'MunicípiosEstados'!$AE$2:$AF$400,2,FALSE),
  O54="Pernambuco",((W54*0.15)+(X54*0.7))*VLOOKUP(P54,'MunicípiosEstados'!$AG$2:$AH$186,2,FALSE),
  O54="Piauí",((W54*0.15)+(X54*0.7))*VLOOKUP(P54,'MunicípiosEstados'!$AI$2:$AJ$225,2,FALSE),
  O54="Rio Grande do Norte",((W54*0.15)+(X54*0.7))*VLOOKUP(P54,'MunicípiosEstados'!$AK$2:$AL$168,2,FALSE),
  O54="Rio Grande do Sul",((W54*0.15)+(X54*0.7))*VLOOKUP(P54,'MunicípiosEstados'!$AM$2:$AN$498,2,FALSE),
  O54="Rio de Janeiro",((W54*0.15)+(X54*0.7))*VLOOKUP(P54,'MunicípiosEstados'!$AO$2:$AP$93,2,FALSE),
  O54="Rondônia",((W54*0.15)+(X54*0.7))*VLOOKUP(P54,'MunicípiosEstados'!$AQ$2:$AR$53,2,FALSE),
  O54="Roraima",((W54*0.15)+(X54*0.7))*VLOOKUP(P54,'MunicípiosEstados'!$AS$2:$AT$16,2,FALSE),
  O54="Santa Catarina",((W54*0.15)+(X54*0.7))*VLOOKUP(P54,'MunicípiosEstados'!$AU$2:$AV$296,2,FALSE),
  O54="São Paulo",((W54*0.15)+(X54*0.7))*VLOOKUP(P54,'MunicípiosEstados'!$AW$2:$AX$646,2,FALSE),
  O54="Sergipe",((W54*0.15)+(X54*0.7))*VLOOKUP(P54,'MunicípiosEstados'!$AY$2:$AZ$76,2,FALSE),
  O54="Tocantins",((W54*0.15)+(X54*0.7))*VLOOKUP(P54,'MunicípiosEstados'!$BA$2:$BB$140,2,FALSE),
  O54="Exterior",((W54*0.15)+(X54*0.7))*VLOOKUP(P54,'MunicípiosEstados'!$BC$2:$BE$221,3,FALSE),TRUE,0
)
</f>
        <v>1249.365</v>
      </c>
      <c r="AL54" s="25">
        <f t="shared" si="3"/>
        <v>3189.365</v>
      </c>
      <c r="AN54" s="35"/>
    </row>
    <row r="55" ht="22.5" hidden="1" customHeight="1">
      <c r="A55" s="15">
        <f t="shared" si="1"/>
        <v>54</v>
      </c>
      <c r="B55" s="16">
        <v>45975.61775972223</v>
      </c>
      <c r="C55" s="17" t="s">
        <v>766</v>
      </c>
      <c r="D55" s="27" t="s">
        <v>443</v>
      </c>
      <c r="E55" s="15" t="str">
        <f>VLOOKUP(G55,DiretoriaDepart.Coord.!$A$1:$C$72,2,FALSE)</f>
        <v>Pesquisa e Inovação</v>
      </c>
      <c r="F55" s="15" t="str">
        <f>VLOOKUP(G55,DiretoriaDepart.Coord.!$A$1:$C$72,3,FALSE)</f>
        <v>Inovação e Comunicação Científica</v>
      </c>
      <c r="G55" s="17" t="s">
        <v>767</v>
      </c>
      <c r="H55" s="15"/>
      <c r="I55" s="17" t="s">
        <v>768</v>
      </c>
      <c r="J55" s="17" t="s">
        <v>728</v>
      </c>
      <c r="K55" s="17">
        <v>2.0</v>
      </c>
      <c r="L55" s="17" t="s">
        <v>769</v>
      </c>
      <c r="M55" s="17" t="s">
        <v>770</v>
      </c>
      <c r="N55" s="34" t="s">
        <v>581</v>
      </c>
      <c r="O55" s="17" t="s">
        <v>714</v>
      </c>
      <c r="P55" s="17" t="s">
        <v>158</v>
      </c>
      <c r="Q55" s="20">
        <v>45809.333333333336</v>
      </c>
      <c r="R55" s="20">
        <v>45813.708333333336</v>
      </c>
      <c r="S55" s="17" t="s">
        <v>451</v>
      </c>
      <c r="T55" s="17" t="s">
        <v>452</v>
      </c>
      <c r="U55" s="30" t="s">
        <v>771</v>
      </c>
      <c r="V55" s="30" t="s">
        <v>772</v>
      </c>
      <c r="W55" s="22">
        <v>6.0</v>
      </c>
      <c r="X55" s="22">
        <v>4.0</v>
      </c>
      <c r="Y55" s="23">
        <v>0.0</v>
      </c>
      <c r="Z55" s="23">
        <v>0.0</v>
      </c>
      <c r="AA55" s="24">
        <v>0.0</v>
      </c>
      <c r="AB55" s="24">
        <v>0.0</v>
      </c>
      <c r="AC55" s="24">
        <v>0.0</v>
      </c>
      <c r="AD55" s="23">
        <v>0.0</v>
      </c>
      <c r="AE55" s="24">
        <v>0.0</v>
      </c>
      <c r="AF55" s="17" t="s">
        <v>451</v>
      </c>
      <c r="AG55" s="17">
        <v>700.0</v>
      </c>
      <c r="AH55" s="17" t="s">
        <v>451</v>
      </c>
      <c r="AI55" s="25">
        <f>IF(AF55="Sim",INT((R55-Q55+1))*K55*VLOOKUP(P55,'Tabelas Auxiliares'!$A$1:$C$400,3,FALSE),0)</f>
        <v>0</v>
      </c>
      <c r="AJ55" s="25">
        <f t="shared" si="2"/>
        <v>490</v>
      </c>
      <c r="AK55" s="25">
        <f>IFS(
  O55="Acre",((W55*0.15)+(X55*0.7))*VLOOKUP(P55,'MunicípiosEstados'!$A$2:$B$23,2,FALSE),
  O55="Alagoas",((W55*0.15)+(X55*0.7))*VLOOKUP(P55,'MunicípiosEstados'!$C$2:$D$103,2,FALSE),
  O55="Amapá",((W55*0.15)+(X55*0.7))*VLOOKUP(P55,'MunicípiosEstados'!$E$2:$F$17,2,FALSE),
  O55="Amazonas",((W55*0.15)+(X55*0.7))*VLOOKUP(P55,'MunicípiosEstados'!$G$2:$H$63,2,FALSE),
  O55="Bahia",((W55*0.15)+(X55*0.7))*VLOOKUP(P55,'MunicípiosEstados'!$I$2:$J$418,2,FALSE),
  O55="Ceará",((W55*0.15)+(X55*0.7))*VLOOKUP(P55,'MunicípiosEstados'!$K$2:$L$185,2,FALSE),
  O55="Distrito Federal",((W55*0.15)+(X55*0.7))*VLOOKUP(P55,'MunicípiosEstados'!$M$2:$N$2,2,FALSE),
  O55="Espírito Santo",((W55*0.15)+(X55*0.7))*VLOOKUP(P55,'MunicípiosEstados'!$O$2:$P$79,2,FALSE),
  O55="Goiás",((W55*0.15)+(X55*0.7))*VLOOKUP(P55,'MunicípiosEstados'!$Q$2:$R$247,2,FALSE),
  O55="Maranhão",((W55*0.15)+(X55*0.7))*VLOOKUP(P55,'MunicípiosEstados'!$S$2:$T$218,2,FALSE),
  O55="Mato Grosso",((W55*0.15)+(X55*0.7))*VLOOKUP(P55,'MunicípiosEstados'!$U$2:$V$143,2,FALSE),
  O55="Mato Grosso do Sul",((W55*0.15)+(X55*0.7))*VLOOKUP(P55,'MunicípiosEstados'!$W$2:$X$80,2,FALSE),
  O55="Minas Gerais",((W55*0.15)+(X55*0.7))*VLOOKUP(P55,'MunicípiosEstados'!$Y$2:$Z$854,2,FALSE),
  O55="Pará",((W55*0.15)+(X55*0.7))*VLOOKUP(P55,'MunicípiosEstados'!$AA$2:$AB$145,2,FALSE),
  O55="Paraíba",((W55*0.15)+(X55*0.7))*VLOOKUP(P55,'MunicípiosEstados'!$AC$2:$AD$224,2,FALSE),
  O55="Paraná",((W55*0.15)+(X55*0.7))*VLOOKUP(P55,'MunicípiosEstados'!$AE$2:$AF$400,2,FALSE),
  O55="Pernambuco",((W55*0.15)+(X55*0.7))*VLOOKUP(P55,'MunicípiosEstados'!$AG$2:$AH$186,2,FALSE),
  O55="Piauí",((W55*0.15)+(X55*0.7))*VLOOKUP(P55,'MunicípiosEstados'!$AI$2:$AJ$225,2,FALSE),
  O55="Rio Grande do Norte",((W55*0.15)+(X55*0.7))*VLOOKUP(P55,'MunicípiosEstados'!$AK$2:$AL$168,2,FALSE),
  O55="Rio Grande do Sul",((W55*0.15)+(X55*0.7))*VLOOKUP(P55,'MunicípiosEstados'!$AM$2:$AN$498,2,FALSE),
  O55="Rio de Janeiro",((W55*0.15)+(X55*0.7))*VLOOKUP(P55,'MunicípiosEstados'!$AO$2:$AP$93,2,FALSE),
  O55="Rondônia",((W55*0.15)+(X55*0.7))*VLOOKUP(P55,'MunicípiosEstados'!$AQ$2:$AR$53,2,FALSE),
  O55="Roraima",((W55*0.15)+(X55*0.7))*VLOOKUP(P55,'MunicípiosEstados'!$AS$2:$AT$16,2,FALSE),
  O55="Santa Catarina",((W55*0.15)+(X55*0.7))*VLOOKUP(P55,'MunicípiosEstados'!$AU$2:$AV$296,2,FALSE),
  O55="São Paulo",((W55*0.15)+(X55*0.7))*VLOOKUP(P55,'MunicípiosEstados'!$AW$2:$AX$646,2,FALSE),
  O55="Sergipe",((W55*0.15)+(X55*0.7))*VLOOKUP(P55,'MunicípiosEstados'!$AY$2:$AZ$76,2,FALSE),
  O55="Tocantins",((W55*0.15)+(X55*0.7))*VLOOKUP(P55,'MunicípiosEstados'!$BA$2:$BB$140,2,FALSE),
  O55="Exterior",((W55*0.15)+(X55*0.7))*VLOOKUP(P55,'MunicípiosEstados'!$BC$2:$BE$221,3,FALSE),TRUE,0
)
</f>
        <v>1075.035</v>
      </c>
      <c r="AL55" s="25">
        <f t="shared" si="3"/>
        <v>1565.035</v>
      </c>
      <c r="AN55" s="35"/>
    </row>
    <row r="56" ht="22.5" hidden="1" customHeight="1">
      <c r="A56" s="15">
        <f t="shared" si="1"/>
        <v>55</v>
      </c>
      <c r="B56" s="16">
        <v>45975.6286488426</v>
      </c>
      <c r="C56" s="17" t="s">
        <v>766</v>
      </c>
      <c r="D56" s="27" t="s">
        <v>443</v>
      </c>
      <c r="E56" s="15" t="str">
        <f>VLOOKUP(G56,DiretoriaDepart.Coord.!$A$1:$C$72,2,FALSE)</f>
        <v>Pesquisa e Inovação</v>
      </c>
      <c r="F56" s="15" t="str">
        <f>VLOOKUP(G56,DiretoriaDepart.Coord.!$A$1:$C$72,3,FALSE)</f>
        <v>Inovação e Comunicação Científica</v>
      </c>
      <c r="G56" s="17" t="s">
        <v>767</v>
      </c>
      <c r="H56" s="15"/>
      <c r="I56" s="17" t="s">
        <v>773</v>
      </c>
      <c r="J56" s="17" t="s">
        <v>728</v>
      </c>
      <c r="K56" s="34" t="s">
        <v>774</v>
      </c>
      <c r="L56" s="17" t="s">
        <v>775</v>
      </c>
      <c r="M56" s="17" t="s">
        <v>776</v>
      </c>
      <c r="N56" s="17">
        <v>0.0</v>
      </c>
      <c r="O56" s="19" t="s">
        <v>714</v>
      </c>
      <c r="P56" s="19" t="s">
        <v>777</v>
      </c>
      <c r="Q56" s="38">
        <v>45718.333333333336</v>
      </c>
      <c r="R56" s="38">
        <v>45722.333333333336</v>
      </c>
      <c r="S56" s="17" t="s">
        <v>451</v>
      </c>
      <c r="T56" s="17" t="s">
        <v>452</v>
      </c>
      <c r="U56" s="30" t="s">
        <v>778</v>
      </c>
      <c r="V56" s="30" t="s">
        <v>779</v>
      </c>
      <c r="W56" s="22">
        <v>6.0</v>
      </c>
      <c r="X56" s="22">
        <v>4.0</v>
      </c>
      <c r="Y56" s="23">
        <v>0.0</v>
      </c>
      <c r="Z56" s="23">
        <v>0.0</v>
      </c>
      <c r="AA56" s="24">
        <v>0.0</v>
      </c>
      <c r="AB56" s="24">
        <v>0.0</v>
      </c>
      <c r="AC56" s="24">
        <v>0.0</v>
      </c>
      <c r="AD56" s="23">
        <v>0.0</v>
      </c>
      <c r="AE56" s="24">
        <v>0.0</v>
      </c>
      <c r="AF56" s="17" t="s">
        <v>451</v>
      </c>
      <c r="AG56" s="17">
        <v>800.0</v>
      </c>
      <c r="AH56" s="17" t="s">
        <v>451</v>
      </c>
      <c r="AI56" s="25">
        <f>IF(AF56="Sim",INT((R56-Q56+1))*K56*VLOOKUP(P56,'Tabelas Auxiliares'!$A$1:$C$400,3,FALSE),0)</f>
        <v>0</v>
      </c>
      <c r="AJ56" s="25">
        <f t="shared" si="2"/>
        <v>560</v>
      </c>
      <c r="AK56" s="25">
        <f>IFS(
  O56="Acre",((W56*0.15)+(X56*0.7))*VLOOKUP(P56,'MunicípiosEstados'!$A$2:$B$23,2,FALSE),
  O56="Alagoas",((W56*0.15)+(X56*0.7))*VLOOKUP(P56,'MunicípiosEstados'!$C$2:$D$103,2,FALSE),
  O56="Amapá",((W56*0.15)+(X56*0.7))*VLOOKUP(P56,'MunicípiosEstados'!$E$2:$F$17,2,FALSE),
  O56="Amazonas",((W56*0.15)+(X56*0.7))*VLOOKUP(P56,'MunicípiosEstados'!$G$2:$H$63,2,FALSE),
  O56="Bahia",((W56*0.15)+(X56*0.7))*VLOOKUP(P56,'MunicípiosEstados'!$I$2:$J$418,2,FALSE),
  O56="Ceará",((W56*0.15)+(X56*0.7))*VLOOKUP(P56,'MunicípiosEstados'!$K$2:$L$185,2,FALSE),
  O56="Distrito Federal",((W56*0.15)+(X56*0.7))*VLOOKUP(P56,'MunicípiosEstados'!$M$2:$N$2,2,FALSE),
  O56="Espírito Santo",((W56*0.15)+(X56*0.7))*VLOOKUP(P56,'MunicípiosEstados'!$O$2:$P$79,2,FALSE),
  O56="Goiás",((W56*0.15)+(X56*0.7))*VLOOKUP(P56,'MunicípiosEstados'!$Q$2:$R$247,2,FALSE),
  O56="Maranhão",((W56*0.15)+(X56*0.7))*VLOOKUP(P56,'MunicípiosEstados'!$S$2:$T$218,2,FALSE),
  O56="Mato Grosso",((W56*0.15)+(X56*0.7))*VLOOKUP(P56,'MunicípiosEstados'!$U$2:$V$143,2,FALSE),
  O56="Mato Grosso do Sul",((W56*0.15)+(X56*0.7))*VLOOKUP(P56,'MunicípiosEstados'!$W$2:$X$80,2,FALSE),
  O56="Minas Gerais",((W56*0.15)+(X56*0.7))*VLOOKUP(P56,'MunicípiosEstados'!$Y$2:$Z$854,2,FALSE),
  O56="Pará",((W56*0.15)+(X56*0.7))*VLOOKUP(P56,'MunicípiosEstados'!$AA$2:$AB$145,2,FALSE),
  O56="Paraíba",((W56*0.15)+(X56*0.7))*VLOOKUP(P56,'MunicípiosEstados'!$AC$2:$AD$224,2,FALSE),
  O56="Paraná",((W56*0.15)+(X56*0.7))*VLOOKUP(P56,'MunicípiosEstados'!$AE$2:$AF$400,2,FALSE),
  O56="Pernambuco",((W56*0.15)+(X56*0.7))*VLOOKUP(P56,'MunicípiosEstados'!$AG$2:$AH$186,2,FALSE),
  O56="Piauí",((W56*0.15)+(X56*0.7))*VLOOKUP(P56,'MunicípiosEstados'!$AI$2:$AJ$225,2,FALSE),
  O56="Rio Grande do Norte",((W56*0.15)+(X56*0.7))*VLOOKUP(P56,'MunicípiosEstados'!$AK$2:$AL$168,2,FALSE),
  O56="Rio Grande do Sul",((W56*0.15)+(X56*0.7))*VLOOKUP(P56,'MunicípiosEstados'!$AM$2:$AN$498,2,FALSE),
  O56="Rio de Janeiro",((W56*0.15)+(X56*0.7))*VLOOKUP(P56,'MunicípiosEstados'!$AO$2:$AP$93,2,FALSE),
  O56="Rondônia",((W56*0.15)+(X56*0.7))*VLOOKUP(P56,'MunicípiosEstados'!$AQ$2:$AR$53,2,FALSE),
  O56="Roraima",((W56*0.15)+(X56*0.7))*VLOOKUP(P56,'MunicípiosEstados'!$AS$2:$AT$16,2,FALSE),
  O56="Santa Catarina",((W56*0.15)+(X56*0.7))*VLOOKUP(P56,'MunicípiosEstados'!$AU$2:$AV$296,2,FALSE),
  O56="São Paulo",((W56*0.15)+(X56*0.7))*VLOOKUP(P56,'MunicípiosEstados'!$AW$2:$AX$646,2,FALSE),
  O56="Sergipe",((W56*0.15)+(X56*0.7))*VLOOKUP(P56,'MunicípiosEstados'!$AY$2:$AZ$76,2,FALSE),
  O56="Tocantins",((W56*0.15)+(X56*0.7))*VLOOKUP(P56,'MunicípiosEstados'!$BA$2:$BB$140,2,FALSE),
  O56="Exterior",((W56*0.15)+(X56*0.7))*VLOOKUP(P56,'MunicípiosEstados'!$BC$2:$BE$221,3,FALSE),TRUE,0
)
</f>
        <v>1075.035</v>
      </c>
      <c r="AL56" s="25">
        <f t="shared" si="3"/>
        <v>1635.035</v>
      </c>
      <c r="AN56" s="35"/>
    </row>
    <row r="57" ht="22.5" hidden="1" customHeight="1">
      <c r="A57" s="15">
        <f t="shared" si="1"/>
        <v>56</v>
      </c>
      <c r="B57" s="16">
        <v>45975.633064884256</v>
      </c>
      <c r="C57" s="17" t="s">
        <v>766</v>
      </c>
      <c r="D57" s="27" t="s">
        <v>443</v>
      </c>
      <c r="E57" s="15" t="str">
        <f>VLOOKUP(G57,DiretoriaDepart.Coord.!$A$1:$C$72,2,FALSE)</f>
        <v>Pesquisa e Inovação</v>
      </c>
      <c r="F57" s="15" t="str">
        <f>VLOOKUP(G57,DiretoriaDepart.Coord.!$A$1:$C$72,3,FALSE)</f>
        <v>Inovação e Comunicação Científica</v>
      </c>
      <c r="G57" s="17" t="s">
        <v>767</v>
      </c>
      <c r="H57" s="15"/>
      <c r="I57" s="17" t="s">
        <v>780</v>
      </c>
      <c r="J57" s="17" t="s">
        <v>728</v>
      </c>
      <c r="K57" s="17">
        <v>2.0</v>
      </c>
      <c r="L57" s="17" t="s">
        <v>781</v>
      </c>
      <c r="M57" s="17" t="s">
        <v>770</v>
      </c>
      <c r="N57" s="17">
        <v>0.0</v>
      </c>
      <c r="O57" s="19" t="s">
        <v>714</v>
      </c>
      <c r="P57" s="19" t="s">
        <v>777</v>
      </c>
      <c r="Q57" s="38">
        <v>45781.333333333336</v>
      </c>
      <c r="R57" s="38">
        <v>45792.333333333336</v>
      </c>
      <c r="S57" s="17" t="s">
        <v>451</v>
      </c>
      <c r="T57" s="17" t="s">
        <v>452</v>
      </c>
      <c r="U57" s="30" t="s">
        <v>782</v>
      </c>
      <c r="V57" s="30" t="s">
        <v>783</v>
      </c>
      <c r="W57" s="22">
        <v>12.0</v>
      </c>
      <c r="X57" s="22">
        <v>12.0</v>
      </c>
      <c r="Y57" s="23">
        <v>0.0</v>
      </c>
      <c r="Z57" s="23">
        <v>0.0</v>
      </c>
      <c r="AA57" s="24">
        <v>0.0</v>
      </c>
      <c r="AB57" s="24">
        <v>0.0</v>
      </c>
      <c r="AC57" s="24">
        <v>0.0</v>
      </c>
      <c r="AD57" s="23">
        <v>0.0</v>
      </c>
      <c r="AE57" s="24">
        <v>0.0</v>
      </c>
      <c r="AF57" s="17" t="s">
        <v>451</v>
      </c>
      <c r="AG57" s="17">
        <v>1500.0</v>
      </c>
      <c r="AH57" s="17" t="s">
        <v>451</v>
      </c>
      <c r="AI57" s="25">
        <f>IF(AF57="Sim",INT((R57-Q57+1))*K57*VLOOKUP(P57,'Tabelas Auxiliares'!$A$1:$C$400,3,FALSE),0)</f>
        <v>0</v>
      </c>
      <c r="AJ57" s="25">
        <f t="shared" si="2"/>
        <v>1050</v>
      </c>
      <c r="AK57" s="25">
        <f>IFS(
  O57="Acre",((W57*0.15)+(X57*0.7))*VLOOKUP(P57,'MunicípiosEstados'!$A$2:$B$23,2,FALSE),
  O57="Alagoas",((W57*0.15)+(X57*0.7))*VLOOKUP(P57,'MunicípiosEstados'!$C$2:$D$103,2,FALSE),
  O57="Amapá",((W57*0.15)+(X57*0.7))*VLOOKUP(P57,'MunicípiosEstados'!$E$2:$F$17,2,FALSE),
  O57="Amazonas",((W57*0.15)+(X57*0.7))*VLOOKUP(P57,'MunicípiosEstados'!$G$2:$H$63,2,FALSE),
  O57="Bahia",((W57*0.15)+(X57*0.7))*VLOOKUP(P57,'MunicípiosEstados'!$I$2:$J$418,2,FALSE),
  O57="Ceará",((W57*0.15)+(X57*0.7))*VLOOKUP(P57,'MunicípiosEstados'!$K$2:$L$185,2,FALSE),
  O57="Distrito Federal",((W57*0.15)+(X57*0.7))*VLOOKUP(P57,'MunicípiosEstados'!$M$2:$N$2,2,FALSE),
  O57="Espírito Santo",((W57*0.15)+(X57*0.7))*VLOOKUP(P57,'MunicípiosEstados'!$O$2:$P$79,2,FALSE),
  O57="Goiás",((W57*0.15)+(X57*0.7))*VLOOKUP(P57,'MunicípiosEstados'!$Q$2:$R$247,2,FALSE),
  O57="Maranhão",((W57*0.15)+(X57*0.7))*VLOOKUP(P57,'MunicípiosEstados'!$S$2:$T$218,2,FALSE),
  O57="Mato Grosso",((W57*0.15)+(X57*0.7))*VLOOKUP(P57,'MunicípiosEstados'!$U$2:$V$143,2,FALSE),
  O57="Mato Grosso do Sul",((W57*0.15)+(X57*0.7))*VLOOKUP(P57,'MunicípiosEstados'!$W$2:$X$80,2,FALSE),
  O57="Minas Gerais",((W57*0.15)+(X57*0.7))*VLOOKUP(P57,'MunicípiosEstados'!$Y$2:$Z$854,2,FALSE),
  O57="Pará",((W57*0.15)+(X57*0.7))*VLOOKUP(P57,'MunicípiosEstados'!$AA$2:$AB$145,2,FALSE),
  O57="Paraíba",((W57*0.15)+(X57*0.7))*VLOOKUP(P57,'MunicípiosEstados'!$AC$2:$AD$224,2,FALSE),
  O57="Paraná",((W57*0.15)+(X57*0.7))*VLOOKUP(P57,'MunicípiosEstados'!$AE$2:$AF$400,2,FALSE),
  O57="Pernambuco",((W57*0.15)+(X57*0.7))*VLOOKUP(P57,'MunicípiosEstados'!$AG$2:$AH$186,2,FALSE),
  O57="Piauí",((W57*0.15)+(X57*0.7))*VLOOKUP(P57,'MunicípiosEstados'!$AI$2:$AJ$225,2,FALSE),
  O57="Rio Grande do Norte",((W57*0.15)+(X57*0.7))*VLOOKUP(P57,'MunicípiosEstados'!$AK$2:$AL$168,2,FALSE),
  O57="Rio Grande do Sul",((W57*0.15)+(X57*0.7))*VLOOKUP(P57,'MunicípiosEstados'!$AM$2:$AN$498,2,FALSE),
  O57="Rio de Janeiro",((W57*0.15)+(X57*0.7))*VLOOKUP(P57,'MunicípiosEstados'!$AO$2:$AP$93,2,FALSE),
  O57="Rondônia",((W57*0.15)+(X57*0.7))*VLOOKUP(P57,'MunicípiosEstados'!$AQ$2:$AR$53,2,FALSE),
  O57="Roraima",((W57*0.15)+(X57*0.7))*VLOOKUP(P57,'MunicípiosEstados'!$AS$2:$AT$16,2,FALSE),
  O57="Santa Catarina",((W57*0.15)+(X57*0.7))*VLOOKUP(P57,'MunicípiosEstados'!$AU$2:$AV$296,2,FALSE),
  O57="São Paulo",((W57*0.15)+(X57*0.7))*VLOOKUP(P57,'MunicípiosEstados'!$AW$2:$AX$646,2,FALSE),
  O57="Sergipe",((W57*0.15)+(X57*0.7))*VLOOKUP(P57,'MunicípiosEstados'!$AY$2:$AZ$76,2,FALSE),
  O57="Tocantins",((W57*0.15)+(X57*0.7))*VLOOKUP(P57,'MunicípiosEstados'!$BA$2:$BB$140,2,FALSE),
  O57="Exterior",((W57*0.15)+(X57*0.7))*VLOOKUP(P57,'MunicípiosEstados'!$BC$2:$BE$221,3,FALSE),TRUE,0
)
</f>
        <v>2963.61</v>
      </c>
      <c r="AL57" s="25">
        <f t="shared" si="3"/>
        <v>4013.61</v>
      </c>
      <c r="AN57" s="35"/>
    </row>
    <row r="58" ht="22.5" hidden="1" customHeight="1">
      <c r="A58" s="15">
        <f t="shared" si="1"/>
        <v>57</v>
      </c>
      <c r="B58" s="16">
        <v>45975.63955740741</v>
      </c>
      <c r="C58" s="17" t="s">
        <v>766</v>
      </c>
      <c r="D58" s="27" t="s">
        <v>443</v>
      </c>
      <c r="E58" s="15" t="str">
        <f>VLOOKUP(G58,DiretoriaDepart.Coord.!$A$1:$C$72,2,FALSE)</f>
        <v>Pesquisa e Inovação</v>
      </c>
      <c r="F58" s="15" t="str">
        <f>VLOOKUP(G58,DiretoriaDepart.Coord.!$A$1:$C$72,3,FALSE)</f>
        <v>Inovação e Comunicação Científica</v>
      </c>
      <c r="G58" s="17" t="s">
        <v>767</v>
      </c>
      <c r="H58" s="15"/>
      <c r="I58" s="17" t="s">
        <v>784</v>
      </c>
      <c r="J58" s="17" t="s">
        <v>728</v>
      </c>
      <c r="K58" s="17">
        <v>2.0</v>
      </c>
      <c r="L58" s="17" t="s">
        <v>785</v>
      </c>
      <c r="M58" s="17" t="s">
        <v>770</v>
      </c>
      <c r="N58" s="17">
        <v>0.0</v>
      </c>
      <c r="O58" s="19" t="s">
        <v>714</v>
      </c>
      <c r="P58" s="19" t="s">
        <v>777</v>
      </c>
      <c r="Q58" s="38">
        <v>45886.333333333336</v>
      </c>
      <c r="R58" s="38">
        <v>45890.708333333336</v>
      </c>
      <c r="S58" s="17" t="s">
        <v>451</v>
      </c>
      <c r="T58" s="17" t="s">
        <v>452</v>
      </c>
      <c r="U58" s="30" t="s">
        <v>786</v>
      </c>
      <c r="V58" s="30" t="s">
        <v>787</v>
      </c>
      <c r="W58" s="22">
        <v>6.0</v>
      </c>
      <c r="X58" s="22">
        <v>8.0</v>
      </c>
      <c r="Y58" s="23">
        <v>0.0</v>
      </c>
      <c r="Z58" s="23">
        <v>0.0</v>
      </c>
      <c r="AA58" s="24">
        <v>0.0</v>
      </c>
      <c r="AB58" s="24">
        <v>0.0</v>
      </c>
      <c r="AC58" s="24">
        <v>0.0</v>
      </c>
      <c r="AD58" s="23">
        <v>0.0</v>
      </c>
      <c r="AE58" s="24">
        <v>0.0</v>
      </c>
      <c r="AF58" s="17" t="s">
        <v>451</v>
      </c>
      <c r="AG58" s="17">
        <v>750.0</v>
      </c>
      <c r="AH58" s="17" t="s">
        <v>451</v>
      </c>
      <c r="AI58" s="25">
        <f>IF(AF58="Sim",INT((R58-Q58+1))*K58*VLOOKUP(P58,'Tabelas Auxiliares'!$A$1:$C$400,3,FALSE),0)</f>
        <v>0</v>
      </c>
      <c r="AJ58" s="25">
        <f t="shared" si="2"/>
        <v>525</v>
      </c>
      <c r="AK58" s="25">
        <f>IFS(
  O58="Acre",((W58*0.15)+(X58*0.7))*VLOOKUP(P58,'MunicípiosEstados'!$A$2:$B$23,2,FALSE),
  O58="Alagoas",((W58*0.15)+(X58*0.7))*VLOOKUP(P58,'MunicípiosEstados'!$C$2:$D$103,2,FALSE),
  O58="Amapá",((W58*0.15)+(X58*0.7))*VLOOKUP(P58,'MunicípiosEstados'!$E$2:$F$17,2,FALSE),
  O58="Amazonas",((W58*0.15)+(X58*0.7))*VLOOKUP(P58,'MunicípiosEstados'!$G$2:$H$63,2,FALSE),
  O58="Bahia",((W58*0.15)+(X58*0.7))*VLOOKUP(P58,'MunicípiosEstados'!$I$2:$J$418,2,FALSE),
  O58="Ceará",((W58*0.15)+(X58*0.7))*VLOOKUP(P58,'MunicípiosEstados'!$K$2:$L$185,2,FALSE),
  O58="Distrito Federal",((W58*0.15)+(X58*0.7))*VLOOKUP(P58,'MunicípiosEstados'!$M$2:$N$2,2,FALSE),
  O58="Espírito Santo",((W58*0.15)+(X58*0.7))*VLOOKUP(P58,'MunicípiosEstados'!$O$2:$P$79,2,FALSE),
  O58="Goiás",((W58*0.15)+(X58*0.7))*VLOOKUP(P58,'MunicípiosEstados'!$Q$2:$R$247,2,FALSE),
  O58="Maranhão",((W58*0.15)+(X58*0.7))*VLOOKUP(P58,'MunicípiosEstados'!$S$2:$T$218,2,FALSE),
  O58="Mato Grosso",((W58*0.15)+(X58*0.7))*VLOOKUP(P58,'MunicípiosEstados'!$U$2:$V$143,2,FALSE),
  O58="Mato Grosso do Sul",((W58*0.15)+(X58*0.7))*VLOOKUP(P58,'MunicípiosEstados'!$W$2:$X$80,2,FALSE),
  O58="Minas Gerais",((W58*0.15)+(X58*0.7))*VLOOKUP(P58,'MunicípiosEstados'!$Y$2:$Z$854,2,FALSE),
  O58="Pará",((W58*0.15)+(X58*0.7))*VLOOKUP(P58,'MunicípiosEstados'!$AA$2:$AB$145,2,FALSE),
  O58="Paraíba",((W58*0.15)+(X58*0.7))*VLOOKUP(P58,'MunicípiosEstados'!$AC$2:$AD$224,2,FALSE),
  O58="Paraná",((W58*0.15)+(X58*0.7))*VLOOKUP(P58,'MunicípiosEstados'!$AE$2:$AF$400,2,FALSE),
  O58="Pernambuco",((W58*0.15)+(X58*0.7))*VLOOKUP(P58,'MunicípiosEstados'!$AG$2:$AH$186,2,FALSE),
  O58="Piauí",((W58*0.15)+(X58*0.7))*VLOOKUP(P58,'MunicípiosEstados'!$AI$2:$AJ$225,2,FALSE),
  O58="Rio Grande do Norte",((W58*0.15)+(X58*0.7))*VLOOKUP(P58,'MunicípiosEstados'!$AK$2:$AL$168,2,FALSE),
  O58="Rio Grande do Sul",((W58*0.15)+(X58*0.7))*VLOOKUP(P58,'MunicípiosEstados'!$AM$2:$AN$498,2,FALSE),
  O58="Rio de Janeiro",((W58*0.15)+(X58*0.7))*VLOOKUP(P58,'MunicípiosEstados'!$AO$2:$AP$93,2,FALSE),
  O58="Rondônia",((W58*0.15)+(X58*0.7))*VLOOKUP(P58,'MunicípiosEstados'!$AQ$2:$AR$53,2,FALSE),
  O58="Roraima",((W58*0.15)+(X58*0.7))*VLOOKUP(P58,'MunicípiosEstados'!$AS$2:$AT$16,2,FALSE),
  O58="Santa Catarina",((W58*0.15)+(X58*0.7))*VLOOKUP(P58,'MunicípiosEstados'!$AU$2:$AV$296,2,FALSE),
  O58="São Paulo",((W58*0.15)+(X58*0.7))*VLOOKUP(P58,'MunicípiosEstados'!$AW$2:$AX$646,2,FALSE),
  O58="Sergipe",((W58*0.15)+(X58*0.7))*VLOOKUP(P58,'MunicípiosEstados'!$AY$2:$AZ$76,2,FALSE),
  O58="Tocantins",((W58*0.15)+(X58*0.7))*VLOOKUP(P58,'MunicípiosEstados'!$BA$2:$BB$140,2,FALSE),
  O58="Exterior",((W58*0.15)+(X58*0.7))*VLOOKUP(P58,'MunicípiosEstados'!$BC$2:$BE$221,3,FALSE),TRUE,0
)
</f>
        <v>1888.575</v>
      </c>
      <c r="AL58" s="25">
        <f t="shared" si="3"/>
        <v>2413.575</v>
      </c>
      <c r="AN58" s="35"/>
    </row>
    <row r="59" ht="22.5" hidden="1" customHeight="1">
      <c r="A59" s="15">
        <f t="shared" si="1"/>
        <v>58</v>
      </c>
      <c r="B59" s="16">
        <v>45975.64605585649</v>
      </c>
      <c r="C59" s="17" t="s">
        <v>766</v>
      </c>
      <c r="D59" s="27" t="s">
        <v>443</v>
      </c>
      <c r="E59" s="15" t="str">
        <f>VLOOKUP(G59,DiretoriaDepart.Coord.!$A$1:$C$72,2,FALSE)</f>
        <v>Pesquisa e Inovação</v>
      </c>
      <c r="F59" s="15" t="str">
        <f>VLOOKUP(G59,DiretoriaDepart.Coord.!$A$1:$C$72,3,FALSE)</f>
        <v>Inovação e Comunicação Científica</v>
      </c>
      <c r="G59" s="17" t="s">
        <v>767</v>
      </c>
      <c r="H59" s="15"/>
      <c r="I59" s="17" t="s">
        <v>788</v>
      </c>
      <c r="J59" s="17" t="s">
        <v>728</v>
      </c>
      <c r="K59" s="17">
        <v>2.0</v>
      </c>
      <c r="L59" s="17" t="s">
        <v>789</v>
      </c>
      <c r="M59" s="17" t="s">
        <v>770</v>
      </c>
      <c r="N59" s="17">
        <v>0.0</v>
      </c>
      <c r="O59" s="17" t="s">
        <v>714</v>
      </c>
      <c r="P59" s="17" t="s">
        <v>790</v>
      </c>
      <c r="Q59" s="20">
        <v>45753.333333333336</v>
      </c>
      <c r="R59" s="20">
        <v>45978.708333333336</v>
      </c>
      <c r="S59" s="17" t="s">
        <v>451</v>
      </c>
      <c r="T59" s="17" t="s">
        <v>452</v>
      </c>
      <c r="U59" s="30" t="s">
        <v>791</v>
      </c>
      <c r="V59" s="30" t="s">
        <v>792</v>
      </c>
      <c r="W59" s="22">
        <v>12.0</v>
      </c>
      <c r="X59" s="22">
        <v>0.0</v>
      </c>
      <c r="Y59" s="23">
        <v>0.0</v>
      </c>
      <c r="Z59" s="23">
        <v>0.0</v>
      </c>
      <c r="AA59" s="24">
        <v>0.0</v>
      </c>
      <c r="AB59" s="24">
        <v>0.0</v>
      </c>
      <c r="AC59" s="24">
        <v>0.0</v>
      </c>
      <c r="AD59" s="23">
        <v>0.0</v>
      </c>
      <c r="AE59" s="24">
        <v>0.0</v>
      </c>
      <c r="AF59" s="17" t="s">
        <v>451</v>
      </c>
      <c r="AG59" s="17">
        <v>560.0</v>
      </c>
      <c r="AH59" s="17" t="s">
        <v>451</v>
      </c>
      <c r="AI59" s="25">
        <f>IF(AF59="Sim",INT((R59-Q59+1))*K59*VLOOKUP(P59,'Tabelas Auxiliares'!$A$1:$C$400,3,FALSE),0)</f>
        <v>0</v>
      </c>
      <c r="AJ59" s="25">
        <f t="shared" si="2"/>
        <v>392</v>
      </c>
      <c r="AK59" s="25">
        <f>IFS(
  O59="Acre",((W59*0.15)+(X59*0.7))*VLOOKUP(P59,'MunicípiosEstados'!$A$2:$B$23,2,FALSE),
  O59="Alagoas",((W59*0.15)+(X59*0.7))*VLOOKUP(P59,'MunicípiosEstados'!$C$2:$D$103,2,FALSE),
  O59="Amapá",((W59*0.15)+(X59*0.7))*VLOOKUP(P59,'MunicípiosEstados'!$E$2:$F$17,2,FALSE),
  O59="Amazonas",((W59*0.15)+(X59*0.7))*VLOOKUP(P59,'MunicípiosEstados'!$G$2:$H$63,2,FALSE),
  O59="Bahia",((W59*0.15)+(X59*0.7))*VLOOKUP(P59,'MunicípiosEstados'!$I$2:$J$418,2,FALSE),
  O59="Ceará",((W59*0.15)+(X59*0.7))*VLOOKUP(P59,'MunicípiosEstados'!$K$2:$L$185,2,FALSE),
  O59="Distrito Federal",((W59*0.15)+(X59*0.7))*VLOOKUP(P59,'MunicípiosEstados'!$M$2:$N$2,2,FALSE),
  O59="Espírito Santo",((W59*0.15)+(X59*0.7))*VLOOKUP(P59,'MunicípiosEstados'!$O$2:$P$79,2,FALSE),
  O59="Goiás",((W59*0.15)+(X59*0.7))*VLOOKUP(P59,'MunicípiosEstados'!$Q$2:$R$247,2,FALSE),
  O59="Maranhão",((W59*0.15)+(X59*0.7))*VLOOKUP(P59,'MunicípiosEstados'!$S$2:$T$218,2,FALSE),
  O59="Mato Grosso",((W59*0.15)+(X59*0.7))*VLOOKUP(P59,'MunicípiosEstados'!$U$2:$V$143,2,FALSE),
  O59="Mato Grosso do Sul",((W59*0.15)+(X59*0.7))*VLOOKUP(P59,'MunicípiosEstados'!$W$2:$X$80,2,FALSE),
  O59="Minas Gerais",((W59*0.15)+(X59*0.7))*VLOOKUP(P59,'MunicípiosEstados'!$Y$2:$Z$854,2,FALSE),
  O59="Pará",((W59*0.15)+(X59*0.7))*VLOOKUP(P59,'MunicípiosEstados'!$AA$2:$AB$145,2,FALSE),
  O59="Paraíba",((W59*0.15)+(X59*0.7))*VLOOKUP(P59,'MunicípiosEstados'!$AC$2:$AD$224,2,FALSE),
  O59="Paraná",((W59*0.15)+(X59*0.7))*VLOOKUP(P59,'MunicípiosEstados'!$AE$2:$AF$400,2,FALSE),
  O59="Pernambuco",((W59*0.15)+(X59*0.7))*VLOOKUP(P59,'MunicípiosEstados'!$AG$2:$AH$186,2,FALSE),
  O59="Piauí",((W59*0.15)+(X59*0.7))*VLOOKUP(P59,'MunicípiosEstados'!$AI$2:$AJ$225,2,FALSE),
  O59="Rio Grande do Norte",((W59*0.15)+(X59*0.7))*VLOOKUP(P59,'MunicípiosEstados'!$AK$2:$AL$168,2,FALSE),
  O59="Rio Grande do Sul",((W59*0.15)+(X59*0.7))*VLOOKUP(P59,'MunicípiosEstados'!$AM$2:$AN$498,2,FALSE),
  O59="Rio de Janeiro",((W59*0.15)+(X59*0.7))*VLOOKUP(P59,'MunicípiosEstados'!$AO$2:$AP$93,2,FALSE),
  O59="Rondônia",((W59*0.15)+(X59*0.7))*VLOOKUP(P59,'MunicípiosEstados'!$AQ$2:$AR$53,2,FALSE),
  O59="Roraima",((W59*0.15)+(X59*0.7))*VLOOKUP(P59,'MunicípiosEstados'!$AS$2:$AT$16,2,FALSE),
  O59="Santa Catarina",((W59*0.15)+(X59*0.7))*VLOOKUP(P59,'MunicípiosEstados'!$AU$2:$AV$296,2,FALSE),
  O59="São Paulo",((W59*0.15)+(X59*0.7))*VLOOKUP(P59,'MunicípiosEstados'!$AW$2:$AX$646,2,FALSE),
  O59="Sergipe",((W59*0.15)+(X59*0.7))*VLOOKUP(P59,'MunicípiosEstados'!$AY$2:$AZ$76,2,FALSE),
  O59="Tocantins",((W59*0.15)+(X59*0.7))*VLOOKUP(P59,'MunicípiosEstados'!$BA$2:$BB$140,2,FALSE),
  O59="Exterior",((W59*0.15)+(X59*0.7))*VLOOKUP(P59,'MunicípiosEstados'!$BC$2:$BE$221,3,FALSE),TRUE,0
)
</f>
        <v>522.99</v>
      </c>
      <c r="AL59" s="25">
        <f t="shared" si="3"/>
        <v>914.99</v>
      </c>
      <c r="AN59" s="35"/>
    </row>
    <row r="60" ht="22.5" hidden="1" customHeight="1">
      <c r="A60" s="15">
        <f t="shared" si="1"/>
        <v>59</v>
      </c>
      <c r="B60" s="16">
        <v>45975.665120000005</v>
      </c>
      <c r="C60" s="17" t="s">
        <v>766</v>
      </c>
      <c r="D60" s="27" t="s">
        <v>443</v>
      </c>
      <c r="E60" s="15" t="str">
        <f>VLOOKUP(G60,DiretoriaDepart.Coord.!$A$1:$C$72,2,FALSE)</f>
        <v>Pesquisa e Inovação</v>
      </c>
      <c r="F60" s="15" t="str">
        <f>VLOOKUP(G60,DiretoriaDepart.Coord.!$A$1:$C$72,3,FALSE)</f>
        <v>Inovação e Comunicação Científica</v>
      </c>
      <c r="G60" s="17" t="s">
        <v>767</v>
      </c>
      <c r="H60" s="15"/>
      <c r="I60" s="17" t="s">
        <v>793</v>
      </c>
      <c r="J60" s="17" t="s">
        <v>728</v>
      </c>
      <c r="K60" s="17">
        <v>1.0</v>
      </c>
      <c r="L60" s="17" t="s">
        <v>794</v>
      </c>
      <c r="M60" s="17" t="s">
        <v>795</v>
      </c>
      <c r="N60" s="17">
        <v>0.0</v>
      </c>
      <c r="O60" s="17" t="s">
        <v>714</v>
      </c>
      <c r="P60" s="17" t="s">
        <v>790</v>
      </c>
      <c r="Q60" s="20">
        <v>45662.583333333336</v>
      </c>
      <c r="R60" s="20">
        <v>45998.708333333336</v>
      </c>
      <c r="S60" s="17" t="s">
        <v>451</v>
      </c>
      <c r="T60" s="17" t="s">
        <v>452</v>
      </c>
      <c r="U60" s="30" t="s">
        <v>796</v>
      </c>
      <c r="V60" s="30" t="s">
        <v>797</v>
      </c>
      <c r="W60" s="22">
        <v>0.0</v>
      </c>
      <c r="X60" s="22">
        <v>0.0</v>
      </c>
      <c r="Y60" s="23">
        <v>2700.0</v>
      </c>
      <c r="Z60" s="23">
        <v>0.0</v>
      </c>
      <c r="AA60" s="24">
        <v>0.0</v>
      </c>
      <c r="AB60" s="24">
        <v>0.0</v>
      </c>
      <c r="AC60" s="24">
        <v>0.0</v>
      </c>
      <c r="AD60" s="23">
        <v>0.0</v>
      </c>
      <c r="AE60" s="24">
        <v>0.0</v>
      </c>
      <c r="AF60" s="17" t="s">
        <v>451</v>
      </c>
      <c r="AG60" s="17">
        <v>0.0</v>
      </c>
      <c r="AH60" s="17" t="s">
        <v>451</v>
      </c>
      <c r="AI60" s="25">
        <f>IF(AF60="Sim",INT((R60-Q60+1))*K60*VLOOKUP(P60,'Tabelas Auxiliares'!$A$1:$C$400,3,FALSE),0)</f>
        <v>0</v>
      </c>
      <c r="AJ60" s="25">
        <f t="shared" si="2"/>
        <v>0</v>
      </c>
      <c r="AK60" s="25">
        <f>IFS(
  O60="Acre",((W60*0.15)+(X60*0.7))*VLOOKUP(P60,'MunicípiosEstados'!$A$2:$B$23,2,FALSE),
  O60="Alagoas",((W60*0.15)+(X60*0.7))*VLOOKUP(P60,'MunicípiosEstados'!$C$2:$D$103,2,FALSE),
  O60="Amapá",((W60*0.15)+(X60*0.7))*VLOOKUP(P60,'MunicípiosEstados'!$E$2:$F$17,2,FALSE),
  O60="Amazonas",((W60*0.15)+(X60*0.7))*VLOOKUP(P60,'MunicípiosEstados'!$G$2:$H$63,2,FALSE),
  O60="Bahia",((W60*0.15)+(X60*0.7))*VLOOKUP(P60,'MunicípiosEstados'!$I$2:$J$418,2,FALSE),
  O60="Ceará",((W60*0.15)+(X60*0.7))*VLOOKUP(P60,'MunicípiosEstados'!$K$2:$L$185,2,FALSE),
  O60="Distrito Federal",((W60*0.15)+(X60*0.7))*VLOOKUP(P60,'MunicípiosEstados'!$M$2:$N$2,2,FALSE),
  O60="Espírito Santo",((W60*0.15)+(X60*0.7))*VLOOKUP(P60,'MunicípiosEstados'!$O$2:$P$79,2,FALSE),
  O60="Goiás",((W60*0.15)+(X60*0.7))*VLOOKUP(P60,'MunicípiosEstados'!$Q$2:$R$247,2,FALSE),
  O60="Maranhão",((W60*0.15)+(X60*0.7))*VLOOKUP(P60,'MunicípiosEstados'!$S$2:$T$218,2,FALSE),
  O60="Mato Grosso",((W60*0.15)+(X60*0.7))*VLOOKUP(P60,'MunicípiosEstados'!$U$2:$V$143,2,FALSE),
  O60="Mato Grosso do Sul",((W60*0.15)+(X60*0.7))*VLOOKUP(P60,'MunicípiosEstados'!$W$2:$X$80,2,FALSE),
  O60="Minas Gerais",((W60*0.15)+(X60*0.7))*VLOOKUP(P60,'MunicípiosEstados'!$Y$2:$Z$854,2,FALSE),
  O60="Pará",((W60*0.15)+(X60*0.7))*VLOOKUP(P60,'MunicípiosEstados'!$AA$2:$AB$145,2,FALSE),
  O60="Paraíba",((W60*0.15)+(X60*0.7))*VLOOKUP(P60,'MunicípiosEstados'!$AC$2:$AD$224,2,FALSE),
  O60="Paraná",((W60*0.15)+(X60*0.7))*VLOOKUP(P60,'MunicípiosEstados'!$AE$2:$AF$400,2,FALSE),
  O60="Pernambuco",((W60*0.15)+(X60*0.7))*VLOOKUP(P60,'MunicípiosEstados'!$AG$2:$AH$186,2,FALSE),
  O60="Piauí",((W60*0.15)+(X60*0.7))*VLOOKUP(P60,'MunicípiosEstados'!$AI$2:$AJ$225,2,FALSE),
  O60="Rio Grande do Norte",((W60*0.15)+(X60*0.7))*VLOOKUP(P60,'MunicípiosEstados'!$AK$2:$AL$168,2,FALSE),
  O60="Rio Grande do Sul",((W60*0.15)+(X60*0.7))*VLOOKUP(P60,'MunicípiosEstados'!$AM$2:$AN$498,2,FALSE),
  O60="Rio de Janeiro",((W60*0.15)+(X60*0.7))*VLOOKUP(P60,'MunicípiosEstados'!$AO$2:$AP$93,2,FALSE),
  O60="Rondônia",((W60*0.15)+(X60*0.7))*VLOOKUP(P60,'MunicípiosEstados'!$AQ$2:$AR$53,2,FALSE),
  O60="Roraima",((W60*0.15)+(X60*0.7))*VLOOKUP(P60,'MunicípiosEstados'!$AS$2:$AT$16,2,FALSE),
  O60="Santa Catarina",((W60*0.15)+(X60*0.7))*VLOOKUP(P60,'MunicípiosEstados'!$AU$2:$AV$296,2,FALSE),
  O60="São Paulo",((W60*0.15)+(X60*0.7))*VLOOKUP(P60,'MunicípiosEstados'!$AW$2:$AX$646,2,FALSE),
  O60="Sergipe",((W60*0.15)+(X60*0.7))*VLOOKUP(P60,'MunicípiosEstados'!$AY$2:$AZ$76,2,FALSE),
  O60="Tocantins",((W60*0.15)+(X60*0.7))*VLOOKUP(P60,'MunicípiosEstados'!$BA$2:$BB$140,2,FALSE),
  O60="Exterior",((W60*0.15)+(X60*0.7))*VLOOKUP(P60,'MunicípiosEstados'!$BC$2:$BE$221,3,FALSE),TRUE,0
)
</f>
        <v>0</v>
      </c>
      <c r="AL60" s="25">
        <f t="shared" si="3"/>
        <v>2700</v>
      </c>
      <c r="AN60" s="35"/>
    </row>
    <row r="61" ht="22.5" hidden="1" customHeight="1">
      <c r="A61" s="15">
        <f t="shared" si="1"/>
        <v>60</v>
      </c>
      <c r="B61" s="16">
        <v>45975.670876793985</v>
      </c>
      <c r="C61" s="17" t="s">
        <v>766</v>
      </c>
      <c r="D61" s="27" t="s">
        <v>443</v>
      </c>
      <c r="E61" s="15" t="str">
        <f>VLOOKUP(G61,DiretoriaDepart.Coord.!$A$1:$C$72,2,FALSE)</f>
        <v>Pesquisa e Inovação</v>
      </c>
      <c r="F61" s="15" t="str">
        <f>VLOOKUP(G61,DiretoriaDepart.Coord.!$A$1:$C$72,3,FALSE)</f>
        <v>Inovação e Comunicação Científica</v>
      </c>
      <c r="G61" s="17" t="s">
        <v>767</v>
      </c>
      <c r="H61" s="15"/>
      <c r="I61" s="17" t="s">
        <v>798</v>
      </c>
      <c r="J61" s="17" t="s">
        <v>728</v>
      </c>
      <c r="K61" s="34" t="s">
        <v>799</v>
      </c>
      <c r="L61" s="15"/>
      <c r="M61" s="17" t="s">
        <v>770</v>
      </c>
      <c r="N61" s="17">
        <v>4.0</v>
      </c>
      <c r="O61" s="17" t="s">
        <v>714</v>
      </c>
      <c r="P61" s="17" t="s">
        <v>790</v>
      </c>
      <c r="Q61" s="20">
        <v>45845.333333333336</v>
      </c>
      <c r="R61" s="20">
        <v>45847.333333333336</v>
      </c>
      <c r="S61" s="17" t="s">
        <v>451</v>
      </c>
      <c r="T61" s="17" t="s">
        <v>452</v>
      </c>
      <c r="U61" s="30" t="s">
        <v>800</v>
      </c>
      <c r="V61" s="30" t="s">
        <v>801</v>
      </c>
      <c r="W61" s="22">
        <v>18.0</v>
      </c>
      <c r="X61" s="22">
        <v>0.0</v>
      </c>
      <c r="Y61" s="23">
        <v>0.0</v>
      </c>
      <c r="Z61" s="23">
        <v>0.0</v>
      </c>
      <c r="AA61" s="24">
        <v>0.0</v>
      </c>
      <c r="AB61" s="24">
        <v>0.0</v>
      </c>
      <c r="AC61" s="24">
        <v>0.0</v>
      </c>
      <c r="AD61" s="23">
        <v>0.0</v>
      </c>
      <c r="AE61" s="24">
        <v>0.0</v>
      </c>
      <c r="AF61" s="17" t="s">
        <v>451</v>
      </c>
      <c r="AG61" s="17">
        <v>0.0</v>
      </c>
      <c r="AH61" s="17" t="s">
        <v>464</v>
      </c>
      <c r="AI61" s="25">
        <f>IF(AF61="Sim",INT((R61-Q61+1))*K61*VLOOKUP(P61,'Tabelas Auxiliares'!$A$1:$C$400,3,FALSE),0)</f>
        <v>0</v>
      </c>
      <c r="AJ61" s="25">
        <f t="shared" si="2"/>
        <v>0</v>
      </c>
      <c r="AK61" s="25">
        <f>IFS(
  O61="Acre",((W61*0.15)+(X61*0.7))*VLOOKUP(P61,'MunicípiosEstados'!$A$2:$B$23,2,FALSE),
  O61="Alagoas",((W61*0.15)+(X61*0.7))*VLOOKUP(P61,'MunicípiosEstados'!$C$2:$D$103,2,FALSE),
  O61="Amapá",((W61*0.15)+(X61*0.7))*VLOOKUP(P61,'MunicípiosEstados'!$E$2:$F$17,2,FALSE),
  O61="Amazonas",((W61*0.15)+(X61*0.7))*VLOOKUP(P61,'MunicípiosEstados'!$G$2:$H$63,2,FALSE),
  O61="Bahia",((W61*0.15)+(X61*0.7))*VLOOKUP(P61,'MunicípiosEstados'!$I$2:$J$418,2,FALSE),
  O61="Ceará",((W61*0.15)+(X61*0.7))*VLOOKUP(P61,'MunicípiosEstados'!$K$2:$L$185,2,FALSE),
  O61="Distrito Federal",((W61*0.15)+(X61*0.7))*VLOOKUP(P61,'MunicípiosEstados'!$M$2:$N$2,2,FALSE),
  O61="Espírito Santo",((W61*0.15)+(X61*0.7))*VLOOKUP(P61,'MunicípiosEstados'!$O$2:$P$79,2,FALSE),
  O61="Goiás",((W61*0.15)+(X61*0.7))*VLOOKUP(P61,'MunicípiosEstados'!$Q$2:$R$247,2,FALSE),
  O61="Maranhão",((W61*0.15)+(X61*0.7))*VLOOKUP(P61,'MunicípiosEstados'!$S$2:$T$218,2,FALSE),
  O61="Mato Grosso",((W61*0.15)+(X61*0.7))*VLOOKUP(P61,'MunicípiosEstados'!$U$2:$V$143,2,FALSE),
  O61="Mato Grosso do Sul",((W61*0.15)+(X61*0.7))*VLOOKUP(P61,'MunicípiosEstados'!$W$2:$X$80,2,FALSE),
  O61="Minas Gerais",((W61*0.15)+(X61*0.7))*VLOOKUP(P61,'MunicípiosEstados'!$Y$2:$Z$854,2,FALSE),
  O61="Pará",((W61*0.15)+(X61*0.7))*VLOOKUP(P61,'MunicípiosEstados'!$AA$2:$AB$145,2,FALSE),
  O61="Paraíba",((W61*0.15)+(X61*0.7))*VLOOKUP(P61,'MunicípiosEstados'!$AC$2:$AD$224,2,FALSE),
  O61="Paraná",((W61*0.15)+(X61*0.7))*VLOOKUP(P61,'MunicípiosEstados'!$AE$2:$AF$400,2,FALSE),
  O61="Pernambuco",((W61*0.15)+(X61*0.7))*VLOOKUP(P61,'MunicípiosEstados'!$AG$2:$AH$186,2,FALSE),
  O61="Piauí",((W61*0.15)+(X61*0.7))*VLOOKUP(P61,'MunicípiosEstados'!$AI$2:$AJ$225,2,FALSE),
  O61="Rio Grande do Norte",((W61*0.15)+(X61*0.7))*VLOOKUP(P61,'MunicípiosEstados'!$AK$2:$AL$168,2,FALSE),
  O61="Rio Grande do Sul",((W61*0.15)+(X61*0.7))*VLOOKUP(P61,'MunicípiosEstados'!$AM$2:$AN$498,2,FALSE),
  O61="Rio de Janeiro",((W61*0.15)+(X61*0.7))*VLOOKUP(P61,'MunicípiosEstados'!$AO$2:$AP$93,2,FALSE),
  O61="Rondônia",((W61*0.15)+(X61*0.7))*VLOOKUP(P61,'MunicípiosEstados'!$AQ$2:$AR$53,2,FALSE),
  O61="Roraima",((W61*0.15)+(X61*0.7))*VLOOKUP(P61,'MunicípiosEstados'!$AS$2:$AT$16,2,FALSE),
  O61="Santa Catarina",((W61*0.15)+(X61*0.7))*VLOOKUP(P61,'MunicípiosEstados'!$AU$2:$AV$296,2,FALSE),
  O61="São Paulo",((W61*0.15)+(X61*0.7))*VLOOKUP(P61,'MunicípiosEstados'!$AW$2:$AX$646,2,FALSE),
  O61="Sergipe",((W61*0.15)+(X61*0.7))*VLOOKUP(P61,'MunicípiosEstados'!$AY$2:$AZ$76,2,FALSE),
  O61="Tocantins",((W61*0.15)+(X61*0.7))*VLOOKUP(P61,'MunicípiosEstados'!$BA$2:$BB$140,2,FALSE),
  O61="Exterior",((W61*0.15)+(X61*0.7))*VLOOKUP(P61,'MunicípiosEstados'!$BC$2:$BE$221,3,FALSE),TRUE,0
)
</f>
        <v>784.485</v>
      </c>
      <c r="AL61" s="25">
        <f t="shared" si="3"/>
        <v>784.485</v>
      </c>
      <c r="AN61" s="35"/>
    </row>
    <row r="62" ht="22.5" hidden="1" customHeight="1">
      <c r="A62" s="15">
        <f t="shared" si="1"/>
        <v>61</v>
      </c>
      <c r="B62" s="16">
        <v>45978.34509695602</v>
      </c>
      <c r="C62" s="17" t="s">
        <v>802</v>
      </c>
      <c r="D62" s="27" t="s">
        <v>443</v>
      </c>
      <c r="E62" s="15" t="str">
        <f>VLOOKUP(G62,DiretoriaDepart.Coord.!$A$1:$C$72,2,FALSE)</f>
        <v>Extensão Rural</v>
      </c>
      <c r="F62" s="15" t="str">
        <f>VLOOKUP(G62,DiretoriaDepart.Coord.!$A$1:$C$72,3,FALSE)</f>
        <v>Projetos e Cadeias Produtivas</v>
      </c>
      <c r="G62" s="17" t="s">
        <v>608</v>
      </c>
      <c r="H62" s="15"/>
      <c r="I62" s="17" t="s">
        <v>803</v>
      </c>
      <c r="J62" s="17" t="s">
        <v>728</v>
      </c>
      <c r="K62" s="17">
        <v>20.0</v>
      </c>
      <c r="L62" s="15"/>
      <c r="M62" s="17" t="s">
        <v>804</v>
      </c>
      <c r="N62" s="17">
        <v>5.0</v>
      </c>
      <c r="O62" s="17" t="s">
        <v>714</v>
      </c>
      <c r="P62" s="17" t="s">
        <v>49</v>
      </c>
      <c r="Q62" s="20">
        <v>45736.333333333336</v>
      </c>
      <c r="R62" s="20">
        <v>45736.708333333336</v>
      </c>
      <c r="S62" s="17" t="s">
        <v>451</v>
      </c>
      <c r="T62" s="17" t="s">
        <v>452</v>
      </c>
      <c r="U62" s="30" t="s">
        <v>805</v>
      </c>
      <c r="V62" s="30" t="s">
        <v>806</v>
      </c>
      <c r="W62" s="22">
        <v>20.0</v>
      </c>
      <c r="X62" s="22">
        <v>0.0</v>
      </c>
      <c r="Y62" s="36">
        <v>0.0</v>
      </c>
      <c r="Z62" s="36">
        <v>0.0</v>
      </c>
      <c r="AA62" s="24">
        <v>0.0</v>
      </c>
      <c r="AB62" s="24">
        <v>0.0</v>
      </c>
      <c r="AC62" s="24">
        <v>0.0</v>
      </c>
      <c r="AD62" s="36">
        <v>0.0</v>
      </c>
      <c r="AE62" s="37">
        <v>0.0</v>
      </c>
      <c r="AF62" s="17" t="s">
        <v>464</v>
      </c>
      <c r="AG62" s="17">
        <v>400.0</v>
      </c>
      <c r="AH62" s="17" t="s">
        <v>451</v>
      </c>
      <c r="AI62" s="25">
        <f>IF(AF62="Sim",INT((R62-Q62+1))*K62*VLOOKUP(P62,'Tabelas Auxiliares'!$A$1:$C$400,3,FALSE),0)</f>
        <v>431.6</v>
      </c>
      <c r="AJ62" s="25">
        <f t="shared" si="2"/>
        <v>280</v>
      </c>
      <c r="AK62" s="25">
        <f>IFS(
  O62="Acre",((W62*0.15)+(X62*0.7))*VLOOKUP(P62,'MunicípiosEstados'!$A$2:$B$23,2,FALSE),
  O62="Alagoas",((W62*0.15)+(X62*0.7))*VLOOKUP(P62,'MunicípiosEstados'!$C$2:$D$103,2,FALSE),
  O62="Amapá",((W62*0.15)+(X62*0.7))*VLOOKUP(P62,'MunicípiosEstados'!$E$2:$F$17,2,FALSE),
  O62="Amazonas",((W62*0.15)+(X62*0.7))*VLOOKUP(P62,'MunicípiosEstados'!$G$2:$H$63,2,FALSE),
  O62="Bahia",((W62*0.15)+(X62*0.7))*VLOOKUP(P62,'MunicípiosEstados'!$I$2:$J$418,2,FALSE),
  O62="Ceará",((W62*0.15)+(X62*0.7))*VLOOKUP(P62,'MunicípiosEstados'!$K$2:$L$185,2,FALSE),
  O62="Distrito Federal",((W62*0.15)+(X62*0.7))*VLOOKUP(P62,'MunicípiosEstados'!$M$2:$N$2,2,FALSE),
  O62="Espírito Santo",((W62*0.15)+(X62*0.7))*VLOOKUP(P62,'MunicípiosEstados'!$O$2:$P$79,2,FALSE),
  O62="Goiás",((W62*0.15)+(X62*0.7))*VLOOKUP(P62,'MunicípiosEstados'!$Q$2:$R$247,2,FALSE),
  O62="Maranhão",((W62*0.15)+(X62*0.7))*VLOOKUP(P62,'MunicípiosEstados'!$S$2:$T$218,2,FALSE),
  O62="Mato Grosso",((W62*0.15)+(X62*0.7))*VLOOKUP(P62,'MunicípiosEstados'!$U$2:$V$143,2,FALSE),
  O62="Mato Grosso do Sul",((W62*0.15)+(X62*0.7))*VLOOKUP(P62,'MunicípiosEstados'!$W$2:$X$80,2,FALSE),
  O62="Minas Gerais",((W62*0.15)+(X62*0.7))*VLOOKUP(P62,'MunicípiosEstados'!$Y$2:$Z$854,2,FALSE),
  O62="Pará",((W62*0.15)+(X62*0.7))*VLOOKUP(P62,'MunicípiosEstados'!$AA$2:$AB$145,2,FALSE),
  O62="Paraíba",((W62*0.15)+(X62*0.7))*VLOOKUP(P62,'MunicípiosEstados'!$AC$2:$AD$224,2,FALSE),
  O62="Paraná",((W62*0.15)+(X62*0.7))*VLOOKUP(P62,'MunicípiosEstados'!$AE$2:$AF$400,2,FALSE),
  O62="Pernambuco",((W62*0.15)+(X62*0.7))*VLOOKUP(P62,'MunicípiosEstados'!$AG$2:$AH$186,2,FALSE),
  O62="Piauí",((W62*0.15)+(X62*0.7))*VLOOKUP(P62,'MunicípiosEstados'!$AI$2:$AJ$225,2,FALSE),
  O62="Rio Grande do Norte",((W62*0.15)+(X62*0.7))*VLOOKUP(P62,'MunicípiosEstados'!$AK$2:$AL$168,2,FALSE),
  O62="Rio Grande do Sul",((W62*0.15)+(X62*0.7))*VLOOKUP(P62,'MunicípiosEstados'!$AM$2:$AN$498,2,FALSE),
  O62="Rio de Janeiro",((W62*0.15)+(X62*0.7))*VLOOKUP(P62,'MunicípiosEstados'!$AO$2:$AP$93,2,FALSE),
  O62="Rondônia",((W62*0.15)+(X62*0.7))*VLOOKUP(P62,'MunicípiosEstados'!$AQ$2:$AR$53,2,FALSE),
  O62="Roraima",((W62*0.15)+(X62*0.7))*VLOOKUP(P62,'MunicípiosEstados'!$AS$2:$AT$16,2,FALSE),
  O62="Santa Catarina",((W62*0.15)+(X62*0.7))*VLOOKUP(P62,'MunicípiosEstados'!$AU$2:$AV$296,2,FALSE),
  O62="São Paulo",((W62*0.15)+(X62*0.7))*VLOOKUP(P62,'MunicípiosEstados'!$AW$2:$AX$646,2,FALSE),
  O62="Sergipe",((W62*0.15)+(X62*0.7))*VLOOKUP(P62,'MunicípiosEstados'!$AY$2:$AZ$76,2,FALSE),
  O62="Tocantins",((W62*0.15)+(X62*0.7))*VLOOKUP(P62,'MunicípiosEstados'!$BA$2:$BB$140,2,FALSE),
  O62="Exterior",((W62*0.15)+(X62*0.7))*VLOOKUP(P62,'MunicípiosEstados'!$BC$2:$BE$221,3,FALSE),TRUE,0
)
</f>
        <v>871.65</v>
      </c>
      <c r="AL62" s="25">
        <f t="shared" si="3"/>
        <v>1583.25</v>
      </c>
      <c r="AO62" s="14"/>
      <c r="AP62" s="14"/>
      <c r="AQ62" s="14"/>
    </row>
    <row r="63" ht="22.5" hidden="1" customHeight="1">
      <c r="A63" s="15">
        <f t="shared" si="1"/>
        <v>62</v>
      </c>
      <c r="B63" s="16">
        <v>45978.392128391206</v>
      </c>
      <c r="C63" s="17" t="s">
        <v>807</v>
      </c>
      <c r="D63" s="27" t="s">
        <v>443</v>
      </c>
      <c r="E63" s="15" t="str">
        <f>VLOOKUP(G63,DiretoriaDepart.Coord.!$A$1:$C$72,2,FALSE)</f>
        <v>Extensão Rural</v>
      </c>
      <c r="F63" s="15" t="str">
        <f>VLOOKUP(G63,DiretoriaDepart.Coord.!$A$1:$C$72,3,FALSE)</f>
        <v>Projetos e Cadeias Produtivas</v>
      </c>
      <c r="G63" s="17" t="s">
        <v>488</v>
      </c>
      <c r="H63" s="15"/>
      <c r="I63" s="17" t="s">
        <v>808</v>
      </c>
      <c r="J63" s="17" t="s">
        <v>446</v>
      </c>
      <c r="K63" s="17">
        <v>60.0</v>
      </c>
      <c r="L63" s="19" t="s">
        <v>809</v>
      </c>
      <c r="M63" s="17" t="s">
        <v>810</v>
      </c>
      <c r="N63" s="17">
        <v>30.0</v>
      </c>
      <c r="O63" s="17" t="s">
        <v>714</v>
      </c>
      <c r="P63" s="17" t="s">
        <v>30</v>
      </c>
      <c r="Q63" s="20">
        <v>45727.333333333336</v>
      </c>
      <c r="R63" s="20">
        <v>45728.708333333336</v>
      </c>
      <c r="S63" s="17" t="s">
        <v>464</v>
      </c>
      <c r="T63" s="17" t="s">
        <v>452</v>
      </c>
      <c r="U63" s="30" t="s">
        <v>811</v>
      </c>
      <c r="V63" s="30" t="s">
        <v>812</v>
      </c>
      <c r="W63" s="22">
        <v>60.0</v>
      </c>
      <c r="X63" s="22">
        <v>6.0</v>
      </c>
      <c r="Y63" s="23">
        <v>0.0</v>
      </c>
      <c r="Z63" s="23">
        <v>500.0</v>
      </c>
      <c r="AA63" s="24">
        <v>0.0</v>
      </c>
      <c r="AB63" s="24">
        <v>0.0</v>
      </c>
      <c r="AC63" s="24">
        <v>0.0</v>
      </c>
      <c r="AD63" s="23">
        <v>0.0</v>
      </c>
      <c r="AE63" s="24">
        <v>0.0</v>
      </c>
      <c r="AF63" s="17" t="s">
        <v>464</v>
      </c>
      <c r="AG63" s="17">
        <v>700.0</v>
      </c>
      <c r="AH63" s="17" t="s">
        <v>464</v>
      </c>
      <c r="AI63" s="25">
        <f>IF(AF63="Sim",INT((R63-Q63+1))*K63*VLOOKUP(P63,'Tabelas Auxiliares'!$A$1:$C$400,3,FALSE),0)</f>
        <v>2716.8</v>
      </c>
      <c r="AJ63" s="25">
        <f t="shared" si="2"/>
        <v>490</v>
      </c>
      <c r="AK63" s="25">
        <f>IFS(
  O63="Acre",((W63*0.15)+(X63*0.7))*VLOOKUP(P63,'MunicípiosEstados'!$A$2:$B$23,2,FALSE),
  O63="Alagoas",((W63*0.15)+(X63*0.7))*VLOOKUP(P63,'MunicípiosEstados'!$C$2:$D$103,2,FALSE),
  O63="Amapá",((W63*0.15)+(X63*0.7))*VLOOKUP(P63,'MunicípiosEstados'!$E$2:$F$17,2,FALSE),
  O63="Amazonas",((W63*0.15)+(X63*0.7))*VLOOKUP(P63,'MunicípiosEstados'!$G$2:$H$63,2,FALSE),
  O63="Bahia",((W63*0.15)+(X63*0.7))*VLOOKUP(P63,'MunicípiosEstados'!$I$2:$J$418,2,FALSE),
  O63="Ceará",((W63*0.15)+(X63*0.7))*VLOOKUP(P63,'MunicípiosEstados'!$K$2:$L$185,2,FALSE),
  O63="Distrito Federal",((W63*0.15)+(X63*0.7))*VLOOKUP(P63,'MunicípiosEstados'!$M$2:$N$2,2,FALSE),
  O63="Espírito Santo",((W63*0.15)+(X63*0.7))*VLOOKUP(P63,'MunicípiosEstados'!$O$2:$P$79,2,FALSE),
  O63="Goiás",((W63*0.15)+(X63*0.7))*VLOOKUP(P63,'MunicípiosEstados'!$Q$2:$R$247,2,FALSE),
  O63="Maranhão",((W63*0.15)+(X63*0.7))*VLOOKUP(P63,'MunicípiosEstados'!$S$2:$T$218,2,FALSE),
  O63="Mato Grosso",((W63*0.15)+(X63*0.7))*VLOOKUP(P63,'MunicípiosEstados'!$U$2:$V$143,2,FALSE),
  O63="Mato Grosso do Sul",((W63*0.15)+(X63*0.7))*VLOOKUP(P63,'MunicípiosEstados'!$W$2:$X$80,2,FALSE),
  O63="Minas Gerais",((W63*0.15)+(X63*0.7))*VLOOKUP(P63,'MunicípiosEstados'!$Y$2:$Z$854,2,FALSE),
  O63="Pará",((W63*0.15)+(X63*0.7))*VLOOKUP(P63,'MunicípiosEstados'!$AA$2:$AB$145,2,FALSE),
  O63="Paraíba",((W63*0.15)+(X63*0.7))*VLOOKUP(P63,'MunicípiosEstados'!$AC$2:$AD$224,2,FALSE),
  O63="Paraná",((W63*0.15)+(X63*0.7))*VLOOKUP(P63,'MunicípiosEstados'!$AE$2:$AF$400,2,FALSE),
  O63="Pernambuco",((W63*0.15)+(X63*0.7))*VLOOKUP(P63,'MunicípiosEstados'!$AG$2:$AH$186,2,FALSE),
  O63="Piauí",((W63*0.15)+(X63*0.7))*VLOOKUP(P63,'MunicípiosEstados'!$AI$2:$AJ$225,2,FALSE),
  O63="Rio Grande do Norte",((W63*0.15)+(X63*0.7))*VLOOKUP(P63,'MunicípiosEstados'!$AK$2:$AL$168,2,FALSE),
  O63="Rio Grande do Sul",((W63*0.15)+(X63*0.7))*VLOOKUP(P63,'MunicípiosEstados'!$AM$2:$AN$498,2,FALSE),
  O63="Rio de Janeiro",((W63*0.15)+(X63*0.7))*VLOOKUP(P63,'MunicípiosEstados'!$AO$2:$AP$93,2,FALSE),
  O63="Rondônia",((W63*0.15)+(X63*0.7))*VLOOKUP(P63,'MunicípiosEstados'!$AQ$2:$AR$53,2,FALSE),
  O63="Roraima",((W63*0.15)+(X63*0.7))*VLOOKUP(P63,'MunicípiosEstados'!$AS$2:$AT$16,2,FALSE),
  O63="Santa Catarina",((W63*0.15)+(X63*0.7))*VLOOKUP(P63,'MunicípiosEstados'!$AU$2:$AV$296,2,FALSE),
  O63="São Paulo",((W63*0.15)+(X63*0.7))*VLOOKUP(P63,'MunicípiosEstados'!$AW$2:$AX$646,2,FALSE),
  O63="Sergipe",((W63*0.15)+(X63*0.7))*VLOOKUP(P63,'MunicípiosEstados'!$AY$2:$AZ$76,2,FALSE),
  O63="Tocantins",((W63*0.15)+(X63*0.7))*VLOOKUP(P63,'MunicípiosEstados'!$BA$2:$BB$140,2,FALSE),
  O63="Exterior",((W63*0.15)+(X63*0.7))*VLOOKUP(P63,'MunicípiosEstados'!$BC$2:$BE$221,3,FALSE),TRUE,0
)
</f>
        <v>3835.26</v>
      </c>
      <c r="AL63" s="25">
        <f t="shared" si="3"/>
        <v>7542.06</v>
      </c>
    </row>
    <row r="64" ht="22.5" hidden="1" customHeight="1">
      <c r="A64" s="15">
        <f t="shared" si="1"/>
        <v>63</v>
      </c>
      <c r="B64" s="16">
        <v>45978.50265621528</v>
      </c>
      <c r="C64" s="17" t="s">
        <v>802</v>
      </c>
      <c r="D64" s="27" t="s">
        <v>443</v>
      </c>
      <c r="E64" s="15" t="str">
        <f>VLOOKUP(G64,DiretoriaDepart.Coord.!$A$1:$C$72,2,FALSE)</f>
        <v>Extensão Rural</v>
      </c>
      <c r="F64" s="15" t="str">
        <f>VLOOKUP(G64,DiretoriaDepart.Coord.!$A$1:$C$72,3,FALSE)</f>
        <v>Projetos e Cadeias Produtivas</v>
      </c>
      <c r="G64" s="17" t="s">
        <v>608</v>
      </c>
      <c r="H64" s="15"/>
      <c r="I64" s="17" t="s">
        <v>813</v>
      </c>
      <c r="J64" s="17" t="s">
        <v>728</v>
      </c>
      <c r="K64" s="17">
        <v>20.0</v>
      </c>
      <c r="L64" s="15"/>
      <c r="M64" s="17" t="s">
        <v>814</v>
      </c>
      <c r="N64" s="17">
        <v>5.0</v>
      </c>
      <c r="O64" s="17" t="s">
        <v>714</v>
      </c>
      <c r="P64" s="17" t="s">
        <v>49</v>
      </c>
      <c r="Q64" s="20">
        <v>45770.333333333336</v>
      </c>
      <c r="R64" s="20">
        <v>45770.708333333336</v>
      </c>
      <c r="S64" s="17" t="s">
        <v>451</v>
      </c>
      <c r="T64" s="17" t="s">
        <v>452</v>
      </c>
      <c r="U64" s="30" t="s">
        <v>815</v>
      </c>
      <c r="V64" s="30" t="s">
        <v>816</v>
      </c>
      <c r="W64" s="22">
        <v>20.0</v>
      </c>
      <c r="X64" s="22">
        <v>0.0</v>
      </c>
      <c r="Y64" s="36">
        <v>0.0</v>
      </c>
      <c r="Z64" s="23">
        <v>0.0</v>
      </c>
      <c r="AA64" s="24">
        <v>0.0</v>
      </c>
      <c r="AB64" s="24">
        <v>0.0</v>
      </c>
      <c r="AC64" s="24">
        <v>0.0</v>
      </c>
      <c r="AD64" s="23">
        <v>0.0</v>
      </c>
      <c r="AE64" s="24">
        <v>0.0</v>
      </c>
      <c r="AF64" s="17" t="s">
        <v>464</v>
      </c>
      <c r="AG64" s="17">
        <v>400.0</v>
      </c>
      <c r="AH64" s="17" t="s">
        <v>451</v>
      </c>
      <c r="AI64" s="25">
        <f>IF(AF64="Sim",INT((R64-Q64+1))*K64*VLOOKUP(P64,'Tabelas Auxiliares'!$A$1:$C$400,3,FALSE),0)</f>
        <v>431.6</v>
      </c>
      <c r="AJ64" s="25">
        <f t="shared" si="2"/>
        <v>280</v>
      </c>
      <c r="AK64" s="25">
        <f>IFS(
  O64="Acre",((W64*0.15)+(X64*0.7))*VLOOKUP(P64,'MunicípiosEstados'!$A$2:$B$23,2,FALSE),
  O64="Alagoas",((W64*0.15)+(X64*0.7))*VLOOKUP(P64,'MunicípiosEstados'!$C$2:$D$103,2,FALSE),
  O64="Amapá",((W64*0.15)+(X64*0.7))*VLOOKUP(P64,'MunicípiosEstados'!$E$2:$F$17,2,FALSE),
  O64="Amazonas",((W64*0.15)+(X64*0.7))*VLOOKUP(P64,'MunicípiosEstados'!$G$2:$H$63,2,FALSE),
  O64="Bahia",((W64*0.15)+(X64*0.7))*VLOOKUP(P64,'MunicípiosEstados'!$I$2:$J$418,2,FALSE),
  O64="Ceará",((W64*0.15)+(X64*0.7))*VLOOKUP(P64,'MunicípiosEstados'!$K$2:$L$185,2,FALSE),
  O64="Distrito Federal",((W64*0.15)+(X64*0.7))*VLOOKUP(P64,'MunicípiosEstados'!$M$2:$N$2,2,FALSE),
  O64="Espírito Santo",((W64*0.15)+(X64*0.7))*VLOOKUP(P64,'MunicípiosEstados'!$O$2:$P$79,2,FALSE),
  O64="Goiás",((W64*0.15)+(X64*0.7))*VLOOKUP(P64,'MunicípiosEstados'!$Q$2:$R$247,2,FALSE),
  O64="Maranhão",((W64*0.15)+(X64*0.7))*VLOOKUP(P64,'MunicípiosEstados'!$S$2:$T$218,2,FALSE),
  O64="Mato Grosso",((W64*0.15)+(X64*0.7))*VLOOKUP(P64,'MunicípiosEstados'!$U$2:$V$143,2,FALSE),
  O64="Mato Grosso do Sul",((W64*0.15)+(X64*0.7))*VLOOKUP(P64,'MunicípiosEstados'!$W$2:$X$80,2,FALSE),
  O64="Minas Gerais",((W64*0.15)+(X64*0.7))*VLOOKUP(P64,'MunicípiosEstados'!$Y$2:$Z$854,2,FALSE),
  O64="Pará",((W64*0.15)+(X64*0.7))*VLOOKUP(P64,'MunicípiosEstados'!$AA$2:$AB$145,2,FALSE),
  O64="Paraíba",((W64*0.15)+(X64*0.7))*VLOOKUP(P64,'MunicípiosEstados'!$AC$2:$AD$224,2,FALSE),
  O64="Paraná",((W64*0.15)+(X64*0.7))*VLOOKUP(P64,'MunicípiosEstados'!$AE$2:$AF$400,2,FALSE),
  O64="Pernambuco",((W64*0.15)+(X64*0.7))*VLOOKUP(P64,'MunicípiosEstados'!$AG$2:$AH$186,2,FALSE),
  O64="Piauí",((W64*0.15)+(X64*0.7))*VLOOKUP(P64,'MunicípiosEstados'!$AI$2:$AJ$225,2,FALSE),
  O64="Rio Grande do Norte",((W64*0.15)+(X64*0.7))*VLOOKUP(P64,'MunicípiosEstados'!$AK$2:$AL$168,2,FALSE),
  O64="Rio Grande do Sul",((W64*0.15)+(X64*0.7))*VLOOKUP(P64,'MunicípiosEstados'!$AM$2:$AN$498,2,FALSE),
  O64="Rio de Janeiro",((W64*0.15)+(X64*0.7))*VLOOKUP(P64,'MunicípiosEstados'!$AO$2:$AP$93,2,FALSE),
  O64="Rondônia",((W64*0.15)+(X64*0.7))*VLOOKUP(P64,'MunicípiosEstados'!$AQ$2:$AR$53,2,FALSE),
  O64="Roraima",((W64*0.15)+(X64*0.7))*VLOOKUP(P64,'MunicípiosEstados'!$AS$2:$AT$16,2,FALSE),
  O64="Santa Catarina",((W64*0.15)+(X64*0.7))*VLOOKUP(P64,'MunicípiosEstados'!$AU$2:$AV$296,2,FALSE),
  O64="São Paulo",((W64*0.15)+(X64*0.7))*VLOOKUP(P64,'MunicípiosEstados'!$AW$2:$AX$646,2,FALSE),
  O64="Sergipe",((W64*0.15)+(X64*0.7))*VLOOKUP(P64,'MunicípiosEstados'!$AY$2:$AZ$76,2,FALSE),
  O64="Tocantins",((W64*0.15)+(X64*0.7))*VLOOKUP(P64,'MunicípiosEstados'!$BA$2:$BB$140,2,FALSE),
  O64="Exterior",((W64*0.15)+(X64*0.7))*VLOOKUP(P64,'MunicípiosEstados'!$BC$2:$BE$221,3,FALSE),TRUE,0
)
</f>
        <v>871.65</v>
      </c>
      <c r="AL64" s="25">
        <f t="shared" si="3"/>
        <v>1583.25</v>
      </c>
    </row>
    <row r="65" ht="22.5" hidden="1" customHeight="1">
      <c r="A65" s="15">
        <f t="shared" si="1"/>
        <v>64</v>
      </c>
      <c r="B65" s="16">
        <v>45978.539109930556</v>
      </c>
      <c r="C65" s="17" t="s">
        <v>802</v>
      </c>
      <c r="D65" s="27" t="s">
        <v>443</v>
      </c>
      <c r="E65" s="15" t="str">
        <f>VLOOKUP(G65,DiretoriaDepart.Coord.!$A$1:$C$72,2,FALSE)</f>
        <v>Extensão Rural</v>
      </c>
      <c r="F65" s="15" t="str">
        <f>VLOOKUP(G65,DiretoriaDepart.Coord.!$A$1:$C$72,3,FALSE)</f>
        <v>Projetos e Cadeias Produtivas</v>
      </c>
      <c r="G65" s="17" t="s">
        <v>608</v>
      </c>
      <c r="H65" s="15"/>
      <c r="I65" s="17" t="s">
        <v>817</v>
      </c>
      <c r="J65" s="17" t="s">
        <v>728</v>
      </c>
      <c r="K65" s="17">
        <v>20.0</v>
      </c>
      <c r="L65" s="15"/>
      <c r="M65" s="17" t="s">
        <v>804</v>
      </c>
      <c r="N65" s="17">
        <v>5.0</v>
      </c>
      <c r="O65" s="17" t="s">
        <v>714</v>
      </c>
      <c r="P65" s="17" t="s">
        <v>49</v>
      </c>
      <c r="Q65" s="20">
        <v>45805.333333333336</v>
      </c>
      <c r="R65" s="20">
        <v>45805.708333333336</v>
      </c>
      <c r="S65" s="17" t="s">
        <v>464</v>
      </c>
      <c r="T65" s="17" t="s">
        <v>452</v>
      </c>
      <c r="U65" s="30" t="s">
        <v>818</v>
      </c>
      <c r="V65" s="30" t="s">
        <v>819</v>
      </c>
      <c r="W65" s="22">
        <v>20.0</v>
      </c>
      <c r="X65" s="22">
        <v>0.0</v>
      </c>
      <c r="Y65" s="23">
        <v>0.0</v>
      </c>
      <c r="Z65" s="23">
        <v>0.0</v>
      </c>
      <c r="AA65" s="24">
        <v>0.0</v>
      </c>
      <c r="AB65" s="24">
        <v>0.0</v>
      </c>
      <c r="AC65" s="24">
        <v>0.0</v>
      </c>
      <c r="AD65" s="23">
        <v>0.0</v>
      </c>
      <c r="AE65" s="24">
        <v>0.0</v>
      </c>
      <c r="AF65" s="17" t="s">
        <v>464</v>
      </c>
      <c r="AG65" s="17">
        <v>400.0</v>
      </c>
      <c r="AH65" s="17" t="s">
        <v>451</v>
      </c>
      <c r="AI65" s="25">
        <f>IF(AF65="Sim",INT((R65-Q65+1))*K65*VLOOKUP(P65,'Tabelas Auxiliares'!$A$1:$C$400,3,FALSE),0)</f>
        <v>431.6</v>
      </c>
      <c r="AJ65" s="25">
        <f t="shared" si="2"/>
        <v>280</v>
      </c>
      <c r="AK65" s="25">
        <f>IFS(
  O65="Acre",((W65*0.15)+(X65*0.7))*VLOOKUP(P65,'MunicípiosEstados'!$A$2:$B$23,2,FALSE),
  O65="Alagoas",((W65*0.15)+(X65*0.7))*VLOOKUP(P65,'MunicípiosEstados'!$C$2:$D$103,2,FALSE),
  O65="Amapá",((W65*0.15)+(X65*0.7))*VLOOKUP(P65,'MunicípiosEstados'!$E$2:$F$17,2,FALSE),
  O65="Amazonas",((W65*0.15)+(X65*0.7))*VLOOKUP(P65,'MunicípiosEstados'!$G$2:$H$63,2,FALSE),
  O65="Bahia",((W65*0.15)+(X65*0.7))*VLOOKUP(P65,'MunicípiosEstados'!$I$2:$J$418,2,FALSE),
  O65="Ceará",((W65*0.15)+(X65*0.7))*VLOOKUP(P65,'MunicípiosEstados'!$K$2:$L$185,2,FALSE),
  O65="Distrito Federal",((W65*0.15)+(X65*0.7))*VLOOKUP(P65,'MunicípiosEstados'!$M$2:$N$2,2,FALSE),
  O65="Espírito Santo",((W65*0.15)+(X65*0.7))*VLOOKUP(P65,'MunicípiosEstados'!$O$2:$P$79,2,FALSE),
  O65="Goiás",((W65*0.15)+(X65*0.7))*VLOOKUP(P65,'MunicípiosEstados'!$Q$2:$R$247,2,FALSE),
  O65="Maranhão",((W65*0.15)+(X65*0.7))*VLOOKUP(P65,'MunicípiosEstados'!$S$2:$T$218,2,FALSE),
  O65="Mato Grosso",((W65*0.15)+(X65*0.7))*VLOOKUP(P65,'MunicípiosEstados'!$U$2:$V$143,2,FALSE),
  O65="Mato Grosso do Sul",((W65*0.15)+(X65*0.7))*VLOOKUP(P65,'MunicípiosEstados'!$W$2:$X$80,2,FALSE),
  O65="Minas Gerais",((W65*0.15)+(X65*0.7))*VLOOKUP(P65,'MunicípiosEstados'!$Y$2:$Z$854,2,FALSE),
  O65="Pará",((W65*0.15)+(X65*0.7))*VLOOKUP(P65,'MunicípiosEstados'!$AA$2:$AB$145,2,FALSE),
  O65="Paraíba",((W65*0.15)+(X65*0.7))*VLOOKUP(P65,'MunicípiosEstados'!$AC$2:$AD$224,2,FALSE),
  O65="Paraná",((W65*0.15)+(X65*0.7))*VLOOKUP(P65,'MunicípiosEstados'!$AE$2:$AF$400,2,FALSE),
  O65="Pernambuco",((W65*0.15)+(X65*0.7))*VLOOKUP(P65,'MunicípiosEstados'!$AG$2:$AH$186,2,FALSE),
  O65="Piauí",((W65*0.15)+(X65*0.7))*VLOOKUP(P65,'MunicípiosEstados'!$AI$2:$AJ$225,2,FALSE),
  O65="Rio Grande do Norte",((W65*0.15)+(X65*0.7))*VLOOKUP(P65,'MunicípiosEstados'!$AK$2:$AL$168,2,FALSE),
  O65="Rio Grande do Sul",((W65*0.15)+(X65*0.7))*VLOOKUP(P65,'MunicípiosEstados'!$AM$2:$AN$498,2,FALSE),
  O65="Rio de Janeiro",((W65*0.15)+(X65*0.7))*VLOOKUP(P65,'MunicípiosEstados'!$AO$2:$AP$93,2,FALSE),
  O65="Rondônia",((W65*0.15)+(X65*0.7))*VLOOKUP(P65,'MunicípiosEstados'!$AQ$2:$AR$53,2,FALSE),
  O65="Roraima",((W65*0.15)+(X65*0.7))*VLOOKUP(P65,'MunicípiosEstados'!$AS$2:$AT$16,2,FALSE),
  O65="Santa Catarina",((W65*0.15)+(X65*0.7))*VLOOKUP(P65,'MunicípiosEstados'!$AU$2:$AV$296,2,FALSE),
  O65="São Paulo",((W65*0.15)+(X65*0.7))*VLOOKUP(P65,'MunicípiosEstados'!$AW$2:$AX$646,2,FALSE),
  O65="Sergipe",((W65*0.15)+(X65*0.7))*VLOOKUP(P65,'MunicípiosEstados'!$AY$2:$AZ$76,2,FALSE),
  O65="Tocantins",((W65*0.15)+(X65*0.7))*VLOOKUP(P65,'MunicípiosEstados'!$BA$2:$BB$140,2,FALSE),
  O65="Exterior",((W65*0.15)+(X65*0.7))*VLOOKUP(P65,'MunicípiosEstados'!$BC$2:$BE$221,3,FALSE),TRUE,0
)
</f>
        <v>871.65</v>
      </c>
      <c r="AL65" s="25">
        <f t="shared" si="3"/>
        <v>1583.25</v>
      </c>
    </row>
    <row r="66" ht="22.5" hidden="1" customHeight="1">
      <c r="A66" s="15">
        <f t="shared" si="1"/>
        <v>65</v>
      </c>
      <c r="B66" s="16">
        <v>45978.58250797454</v>
      </c>
      <c r="C66" s="17" t="s">
        <v>802</v>
      </c>
      <c r="D66" s="27" t="s">
        <v>443</v>
      </c>
      <c r="E66" s="15" t="str">
        <f>VLOOKUP(G66,DiretoriaDepart.Coord.!$A$1:$C$72,2,FALSE)</f>
        <v>Extensão Rural</v>
      </c>
      <c r="F66" s="15" t="str">
        <f>VLOOKUP(G66,DiretoriaDepart.Coord.!$A$1:$C$72,3,FALSE)</f>
        <v>Projetos e Cadeias Produtivas</v>
      </c>
      <c r="G66" s="17" t="s">
        <v>608</v>
      </c>
      <c r="H66" s="15"/>
      <c r="I66" s="17" t="s">
        <v>820</v>
      </c>
      <c r="J66" s="17" t="s">
        <v>728</v>
      </c>
      <c r="K66" s="17">
        <v>20.0</v>
      </c>
      <c r="L66" s="15"/>
      <c r="M66" s="17" t="s">
        <v>804</v>
      </c>
      <c r="N66" s="17">
        <v>5.0</v>
      </c>
      <c r="O66" s="17" t="s">
        <v>714</v>
      </c>
      <c r="P66" s="17" t="s">
        <v>49</v>
      </c>
      <c r="Q66" s="20">
        <v>45987.333333333336</v>
      </c>
      <c r="R66" s="20">
        <v>45987.708333333336</v>
      </c>
      <c r="S66" s="17" t="s">
        <v>451</v>
      </c>
      <c r="T66" s="17" t="s">
        <v>452</v>
      </c>
      <c r="U66" s="30" t="s">
        <v>821</v>
      </c>
      <c r="V66" s="30" t="s">
        <v>822</v>
      </c>
      <c r="W66" s="22">
        <v>20.0</v>
      </c>
      <c r="X66" s="22">
        <v>0.0</v>
      </c>
      <c r="Y66" s="23">
        <v>0.0</v>
      </c>
      <c r="Z66" s="23">
        <v>0.0</v>
      </c>
      <c r="AA66" s="24">
        <v>0.0</v>
      </c>
      <c r="AB66" s="24">
        <v>0.0</v>
      </c>
      <c r="AC66" s="24">
        <v>0.0</v>
      </c>
      <c r="AD66" s="23">
        <v>0.0</v>
      </c>
      <c r="AE66" s="24">
        <v>0.0</v>
      </c>
      <c r="AF66" s="17" t="s">
        <v>464</v>
      </c>
      <c r="AG66" s="17">
        <v>400.0</v>
      </c>
      <c r="AH66" s="17" t="s">
        <v>451</v>
      </c>
      <c r="AI66" s="25">
        <f>IF(AF66="Sim",INT((R66-Q66+1))*K66*VLOOKUP(P66,'Tabelas Auxiliares'!$A$1:$C$400,3,FALSE),0)</f>
        <v>431.6</v>
      </c>
      <c r="AJ66" s="25">
        <f t="shared" si="2"/>
        <v>280</v>
      </c>
      <c r="AK66" s="25">
        <f>IFS(
  O66="Acre",((W66*0.15)+(X66*0.7))*VLOOKUP(P66,'MunicípiosEstados'!$A$2:$B$23,2,FALSE),
  O66="Alagoas",((W66*0.15)+(X66*0.7))*VLOOKUP(P66,'MunicípiosEstados'!$C$2:$D$103,2,FALSE),
  O66="Amapá",((W66*0.15)+(X66*0.7))*VLOOKUP(P66,'MunicípiosEstados'!$E$2:$F$17,2,FALSE),
  O66="Amazonas",((W66*0.15)+(X66*0.7))*VLOOKUP(P66,'MunicípiosEstados'!$G$2:$H$63,2,FALSE),
  O66="Bahia",((W66*0.15)+(X66*0.7))*VLOOKUP(P66,'MunicípiosEstados'!$I$2:$J$418,2,FALSE),
  O66="Ceará",((W66*0.15)+(X66*0.7))*VLOOKUP(P66,'MunicípiosEstados'!$K$2:$L$185,2,FALSE),
  O66="Distrito Federal",((W66*0.15)+(X66*0.7))*VLOOKUP(P66,'MunicípiosEstados'!$M$2:$N$2,2,FALSE),
  O66="Espírito Santo",((W66*0.15)+(X66*0.7))*VLOOKUP(P66,'MunicípiosEstados'!$O$2:$P$79,2,FALSE),
  O66="Goiás",((W66*0.15)+(X66*0.7))*VLOOKUP(P66,'MunicípiosEstados'!$Q$2:$R$247,2,FALSE),
  O66="Maranhão",((W66*0.15)+(X66*0.7))*VLOOKUP(P66,'MunicípiosEstados'!$S$2:$T$218,2,FALSE),
  O66="Mato Grosso",((W66*0.15)+(X66*0.7))*VLOOKUP(P66,'MunicípiosEstados'!$U$2:$V$143,2,FALSE),
  O66="Mato Grosso do Sul",((W66*0.15)+(X66*0.7))*VLOOKUP(P66,'MunicípiosEstados'!$W$2:$X$80,2,FALSE),
  O66="Minas Gerais",((W66*0.15)+(X66*0.7))*VLOOKUP(P66,'MunicípiosEstados'!$Y$2:$Z$854,2,FALSE),
  O66="Pará",((W66*0.15)+(X66*0.7))*VLOOKUP(P66,'MunicípiosEstados'!$AA$2:$AB$145,2,FALSE),
  O66="Paraíba",((W66*0.15)+(X66*0.7))*VLOOKUP(P66,'MunicípiosEstados'!$AC$2:$AD$224,2,FALSE),
  O66="Paraná",((W66*0.15)+(X66*0.7))*VLOOKUP(P66,'MunicípiosEstados'!$AE$2:$AF$400,2,FALSE),
  O66="Pernambuco",((W66*0.15)+(X66*0.7))*VLOOKUP(P66,'MunicípiosEstados'!$AG$2:$AH$186,2,FALSE),
  O66="Piauí",((W66*0.15)+(X66*0.7))*VLOOKUP(P66,'MunicípiosEstados'!$AI$2:$AJ$225,2,FALSE),
  O66="Rio Grande do Norte",((W66*0.15)+(X66*0.7))*VLOOKUP(P66,'MunicípiosEstados'!$AK$2:$AL$168,2,FALSE),
  O66="Rio Grande do Sul",((W66*0.15)+(X66*0.7))*VLOOKUP(P66,'MunicípiosEstados'!$AM$2:$AN$498,2,FALSE),
  O66="Rio de Janeiro",((W66*0.15)+(X66*0.7))*VLOOKUP(P66,'MunicípiosEstados'!$AO$2:$AP$93,2,FALSE),
  O66="Rondônia",((W66*0.15)+(X66*0.7))*VLOOKUP(P66,'MunicípiosEstados'!$AQ$2:$AR$53,2,FALSE),
  O66="Roraima",((W66*0.15)+(X66*0.7))*VLOOKUP(P66,'MunicípiosEstados'!$AS$2:$AT$16,2,FALSE),
  O66="Santa Catarina",((W66*0.15)+(X66*0.7))*VLOOKUP(P66,'MunicípiosEstados'!$AU$2:$AV$296,2,FALSE),
  O66="São Paulo",((W66*0.15)+(X66*0.7))*VLOOKUP(P66,'MunicípiosEstados'!$AW$2:$AX$646,2,FALSE),
  O66="Sergipe",((W66*0.15)+(X66*0.7))*VLOOKUP(P66,'MunicípiosEstados'!$AY$2:$AZ$76,2,FALSE),
  O66="Tocantins",((W66*0.15)+(X66*0.7))*VLOOKUP(P66,'MunicípiosEstados'!$BA$2:$BB$140,2,FALSE),
  O66="Exterior",((W66*0.15)+(X66*0.7))*VLOOKUP(P66,'MunicípiosEstados'!$BC$2:$BE$221,3,FALSE),TRUE,0
)
</f>
        <v>871.65</v>
      </c>
      <c r="AL66" s="25">
        <f t="shared" si="3"/>
        <v>1583.25</v>
      </c>
    </row>
    <row r="67" ht="22.5" hidden="1" customHeight="1">
      <c r="A67" s="15">
        <f t="shared" si="1"/>
        <v>66</v>
      </c>
      <c r="B67" s="16">
        <v>45978.58908627315</v>
      </c>
      <c r="C67" s="17" t="s">
        <v>802</v>
      </c>
      <c r="D67" s="27" t="s">
        <v>443</v>
      </c>
      <c r="E67" s="15" t="str">
        <f>VLOOKUP(G67,DiretoriaDepart.Coord.!$A$1:$C$72,2,FALSE)</f>
        <v>Extensão Rural</v>
      </c>
      <c r="F67" s="15" t="str">
        <f>VLOOKUP(G67,DiretoriaDepart.Coord.!$A$1:$C$72,3,FALSE)</f>
        <v>Projetos e Cadeias Produtivas</v>
      </c>
      <c r="G67" s="17" t="s">
        <v>608</v>
      </c>
      <c r="H67" s="15"/>
      <c r="I67" s="17" t="s">
        <v>823</v>
      </c>
      <c r="J67" s="17" t="s">
        <v>728</v>
      </c>
      <c r="K67" s="17">
        <v>25.0</v>
      </c>
      <c r="L67" s="15"/>
      <c r="M67" s="17" t="s">
        <v>824</v>
      </c>
      <c r="N67" s="17">
        <v>10.0</v>
      </c>
      <c r="O67" s="17" t="s">
        <v>714</v>
      </c>
      <c r="P67" s="17" t="s">
        <v>400</v>
      </c>
      <c r="Q67" s="20">
        <v>45714.333333333336</v>
      </c>
      <c r="R67" s="20">
        <v>45715.708333333336</v>
      </c>
      <c r="S67" s="17" t="s">
        <v>451</v>
      </c>
      <c r="T67" s="17" t="s">
        <v>452</v>
      </c>
      <c r="U67" s="30" t="s">
        <v>825</v>
      </c>
      <c r="V67" s="30" t="s">
        <v>826</v>
      </c>
      <c r="W67" s="22">
        <v>50.0</v>
      </c>
      <c r="X67" s="22">
        <v>0.0</v>
      </c>
      <c r="Y67" s="23">
        <v>0.0</v>
      </c>
      <c r="Z67" s="23">
        <v>0.0</v>
      </c>
      <c r="AA67" s="24">
        <v>0.0</v>
      </c>
      <c r="AB67" s="24">
        <v>0.0</v>
      </c>
      <c r="AC67" s="24">
        <v>0.0</v>
      </c>
      <c r="AD67" s="23">
        <v>0.0</v>
      </c>
      <c r="AE67" s="24">
        <v>0.0</v>
      </c>
      <c r="AF67" s="17" t="s">
        <v>464</v>
      </c>
      <c r="AG67" s="17">
        <v>600.0</v>
      </c>
      <c r="AH67" s="17" t="s">
        <v>451</v>
      </c>
      <c r="AI67" s="25">
        <f>IF(AF67="Sim",INT((R67-Q67+1))*K67*VLOOKUP(P67,'Tabelas Auxiliares'!$A$1:$C$400,3,FALSE),0)</f>
        <v>1079</v>
      </c>
      <c r="AJ67" s="25">
        <f t="shared" si="2"/>
        <v>420</v>
      </c>
      <c r="AK67" s="25">
        <f>IFS(
  O67="Acre",((W67*0.15)+(X67*0.7))*VLOOKUP(P67,'MunicípiosEstados'!$A$2:$B$23,2,FALSE),
  O67="Alagoas",((W67*0.15)+(X67*0.7))*VLOOKUP(P67,'MunicípiosEstados'!$C$2:$D$103,2,FALSE),
  O67="Amapá",((W67*0.15)+(X67*0.7))*VLOOKUP(P67,'MunicípiosEstados'!$E$2:$F$17,2,FALSE),
  O67="Amazonas",((W67*0.15)+(X67*0.7))*VLOOKUP(P67,'MunicípiosEstados'!$G$2:$H$63,2,FALSE),
  O67="Bahia",((W67*0.15)+(X67*0.7))*VLOOKUP(P67,'MunicípiosEstados'!$I$2:$J$418,2,FALSE),
  O67="Ceará",((W67*0.15)+(X67*0.7))*VLOOKUP(P67,'MunicípiosEstados'!$K$2:$L$185,2,FALSE),
  O67="Distrito Federal",((W67*0.15)+(X67*0.7))*VLOOKUP(P67,'MunicípiosEstados'!$M$2:$N$2,2,FALSE),
  O67="Espírito Santo",((W67*0.15)+(X67*0.7))*VLOOKUP(P67,'MunicípiosEstados'!$O$2:$P$79,2,FALSE),
  O67="Goiás",((W67*0.15)+(X67*0.7))*VLOOKUP(P67,'MunicípiosEstados'!$Q$2:$R$247,2,FALSE),
  O67="Maranhão",((W67*0.15)+(X67*0.7))*VLOOKUP(P67,'MunicípiosEstados'!$S$2:$T$218,2,FALSE),
  O67="Mato Grosso",((W67*0.15)+(X67*0.7))*VLOOKUP(P67,'MunicípiosEstados'!$U$2:$V$143,2,FALSE),
  O67="Mato Grosso do Sul",((W67*0.15)+(X67*0.7))*VLOOKUP(P67,'MunicípiosEstados'!$W$2:$X$80,2,FALSE),
  O67="Minas Gerais",((W67*0.15)+(X67*0.7))*VLOOKUP(P67,'MunicípiosEstados'!$Y$2:$Z$854,2,FALSE),
  O67="Pará",((W67*0.15)+(X67*0.7))*VLOOKUP(P67,'MunicípiosEstados'!$AA$2:$AB$145,2,FALSE),
  O67="Paraíba",((W67*0.15)+(X67*0.7))*VLOOKUP(P67,'MunicípiosEstados'!$AC$2:$AD$224,2,FALSE),
  O67="Paraná",((W67*0.15)+(X67*0.7))*VLOOKUP(P67,'MunicípiosEstados'!$AE$2:$AF$400,2,FALSE),
  O67="Pernambuco",((W67*0.15)+(X67*0.7))*VLOOKUP(P67,'MunicípiosEstados'!$AG$2:$AH$186,2,FALSE),
  O67="Piauí",((W67*0.15)+(X67*0.7))*VLOOKUP(P67,'MunicípiosEstados'!$AI$2:$AJ$225,2,FALSE),
  O67="Rio Grande do Norte",((W67*0.15)+(X67*0.7))*VLOOKUP(P67,'MunicípiosEstados'!$AK$2:$AL$168,2,FALSE),
  O67="Rio Grande do Sul",((W67*0.15)+(X67*0.7))*VLOOKUP(P67,'MunicípiosEstados'!$AM$2:$AN$498,2,FALSE),
  O67="Rio de Janeiro",((W67*0.15)+(X67*0.7))*VLOOKUP(P67,'MunicípiosEstados'!$AO$2:$AP$93,2,FALSE),
  O67="Rondônia",((W67*0.15)+(X67*0.7))*VLOOKUP(P67,'MunicípiosEstados'!$AQ$2:$AR$53,2,FALSE),
  O67="Roraima",((W67*0.15)+(X67*0.7))*VLOOKUP(P67,'MunicípiosEstados'!$AS$2:$AT$16,2,FALSE),
  O67="Santa Catarina",((W67*0.15)+(X67*0.7))*VLOOKUP(P67,'MunicípiosEstados'!$AU$2:$AV$296,2,FALSE),
  O67="São Paulo",((W67*0.15)+(X67*0.7))*VLOOKUP(P67,'MunicípiosEstados'!$AW$2:$AX$646,2,FALSE),
  O67="Sergipe",((W67*0.15)+(X67*0.7))*VLOOKUP(P67,'MunicípiosEstados'!$AY$2:$AZ$76,2,FALSE),
  O67="Tocantins",((W67*0.15)+(X67*0.7))*VLOOKUP(P67,'MunicípiosEstados'!$BA$2:$BB$140,2,FALSE),
  O67="Exterior",((W67*0.15)+(X67*0.7))*VLOOKUP(P67,'MunicípiosEstados'!$BC$2:$BE$221,3,FALSE),TRUE,0
)
</f>
        <v>2179.125</v>
      </c>
      <c r="AL67" s="25">
        <f t="shared" si="3"/>
        <v>3678.125</v>
      </c>
    </row>
    <row r="68" ht="22.5" hidden="1" customHeight="1">
      <c r="A68" s="15">
        <f t="shared" si="1"/>
        <v>67</v>
      </c>
      <c r="B68" s="16">
        <v>45978.60090875</v>
      </c>
      <c r="C68" s="17" t="s">
        <v>531</v>
      </c>
      <c r="D68" s="27" t="s">
        <v>443</v>
      </c>
      <c r="E68" s="15" t="str">
        <f>VLOOKUP(G68,DiretoriaDepart.Coord.!$A$1:$C$72,2,FALSE)</f>
        <v>Pesquisa e Inovação</v>
      </c>
      <c r="F68" s="15" t="str">
        <f>VLOOKUP(G68,DiretoriaDepart.Coord.!$A$1:$C$72,3,FALSE)</f>
        <v>Pesquisa e Capacitação</v>
      </c>
      <c r="G68" s="17" t="s">
        <v>827</v>
      </c>
      <c r="H68" s="15"/>
      <c r="I68" s="17" t="s">
        <v>828</v>
      </c>
      <c r="J68" s="17" t="s">
        <v>829</v>
      </c>
      <c r="K68" s="17">
        <v>1.0</v>
      </c>
      <c r="L68" s="15"/>
      <c r="M68" s="17" t="s">
        <v>830</v>
      </c>
      <c r="N68" s="17">
        <v>500.0</v>
      </c>
      <c r="O68" s="17" t="s">
        <v>714</v>
      </c>
      <c r="P68" s="17" t="s">
        <v>18</v>
      </c>
      <c r="Q68" s="20">
        <v>45728.333333333336</v>
      </c>
      <c r="R68" s="20">
        <v>45740.708333333336</v>
      </c>
      <c r="S68" s="17" t="s">
        <v>464</v>
      </c>
      <c r="T68" s="17" t="s">
        <v>452</v>
      </c>
      <c r="U68" s="30" t="s">
        <v>831</v>
      </c>
      <c r="V68" s="30" t="s">
        <v>832</v>
      </c>
      <c r="W68" s="22">
        <v>10.0</v>
      </c>
      <c r="X68" s="22">
        <v>4.0</v>
      </c>
      <c r="Y68" s="23">
        <v>500.0</v>
      </c>
      <c r="Z68" s="23">
        <v>0.0</v>
      </c>
      <c r="AA68" s="24">
        <v>0.0</v>
      </c>
      <c r="AB68" s="24">
        <v>0.0</v>
      </c>
      <c r="AC68" s="24">
        <v>0.0</v>
      </c>
      <c r="AD68" s="23">
        <v>0.0</v>
      </c>
      <c r="AE68" s="24">
        <v>0.0</v>
      </c>
      <c r="AF68" s="17" t="s">
        <v>451</v>
      </c>
      <c r="AG68" s="17">
        <v>500.0</v>
      </c>
      <c r="AH68" s="17" t="s">
        <v>464</v>
      </c>
      <c r="AI68" s="25">
        <f>IF(AF68="Sim",INT((R68-Q68+1))*K68*VLOOKUP(P68,'Tabelas Auxiliares'!$A$1:$C$400,3,FALSE),0)</f>
        <v>0</v>
      </c>
      <c r="AJ68" s="25">
        <f t="shared" si="2"/>
        <v>350</v>
      </c>
      <c r="AK68" s="25">
        <f>IFS(
  O68="Acre",((W68*0.15)+(X68*0.7))*VLOOKUP(P68,'MunicípiosEstados'!$A$2:$B$23,2,FALSE),
  O68="Alagoas",((W68*0.15)+(X68*0.7))*VLOOKUP(P68,'MunicípiosEstados'!$C$2:$D$103,2,FALSE),
  O68="Amapá",((W68*0.15)+(X68*0.7))*VLOOKUP(P68,'MunicípiosEstados'!$E$2:$F$17,2,FALSE),
  O68="Amazonas",((W68*0.15)+(X68*0.7))*VLOOKUP(P68,'MunicípiosEstados'!$G$2:$H$63,2,FALSE),
  O68="Bahia",((W68*0.15)+(X68*0.7))*VLOOKUP(P68,'MunicípiosEstados'!$I$2:$J$418,2,FALSE),
  O68="Ceará",((W68*0.15)+(X68*0.7))*VLOOKUP(P68,'MunicípiosEstados'!$K$2:$L$185,2,FALSE),
  O68="Distrito Federal",((W68*0.15)+(X68*0.7))*VLOOKUP(P68,'MunicípiosEstados'!$M$2:$N$2,2,FALSE),
  O68="Espírito Santo",((W68*0.15)+(X68*0.7))*VLOOKUP(P68,'MunicípiosEstados'!$O$2:$P$79,2,FALSE),
  O68="Goiás",((W68*0.15)+(X68*0.7))*VLOOKUP(P68,'MunicípiosEstados'!$Q$2:$R$247,2,FALSE),
  O68="Maranhão",((W68*0.15)+(X68*0.7))*VLOOKUP(P68,'MunicípiosEstados'!$S$2:$T$218,2,FALSE),
  O68="Mato Grosso",((W68*0.15)+(X68*0.7))*VLOOKUP(P68,'MunicípiosEstados'!$U$2:$V$143,2,FALSE),
  O68="Mato Grosso do Sul",((W68*0.15)+(X68*0.7))*VLOOKUP(P68,'MunicípiosEstados'!$W$2:$X$80,2,FALSE),
  O68="Minas Gerais",((W68*0.15)+(X68*0.7))*VLOOKUP(P68,'MunicípiosEstados'!$Y$2:$Z$854,2,FALSE),
  O68="Pará",((W68*0.15)+(X68*0.7))*VLOOKUP(P68,'MunicípiosEstados'!$AA$2:$AB$145,2,FALSE),
  O68="Paraíba",((W68*0.15)+(X68*0.7))*VLOOKUP(P68,'MunicípiosEstados'!$AC$2:$AD$224,2,FALSE),
  O68="Paraná",((W68*0.15)+(X68*0.7))*VLOOKUP(P68,'MunicípiosEstados'!$AE$2:$AF$400,2,FALSE),
  O68="Pernambuco",((W68*0.15)+(X68*0.7))*VLOOKUP(P68,'MunicípiosEstados'!$AG$2:$AH$186,2,FALSE),
  O68="Piauí",((W68*0.15)+(X68*0.7))*VLOOKUP(P68,'MunicípiosEstados'!$AI$2:$AJ$225,2,FALSE),
  O68="Rio Grande do Norte",((W68*0.15)+(X68*0.7))*VLOOKUP(P68,'MunicípiosEstados'!$AK$2:$AL$168,2,FALSE),
  O68="Rio Grande do Sul",((W68*0.15)+(X68*0.7))*VLOOKUP(P68,'MunicípiosEstados'!$AM$2:$AN$498,2,FALSE),
  O68="Rio de Janeiro",((W68*0.15)+(X68*0.7))*VLOOKUP(P68,'MunicípiosEstados'!$AO$2:$AP$93,2,FALSE),
  O68="Rondônia",((W68*0.15)+(X68*0.7))*VLOOKUP(P68,'MunicípiosEstados'!$AQ$2:$AR$53,2,FALSE),
  O68="Roraima",((W68*0.15)+(X68*0.7))*VLOOKUP(P68,'MunicípiosEstados'!$AS$2:$AT$16,2,FALSE),
  O68="Santa Catarina",((W68*0.15)+(X68*0.7))*VLOOKUP(P68,'MunicípiosEstados'!$AU$2:$AV$296,2,FALSE),
  O68="São Paulo",((W68*0.15)+(X68*0.7))*VLOOKUP(P68,'MunicípiosEstados'!$AW$2:$AX$646,2,FALSE),
  O68="Sergipe",((W68*0.15)+(X68*0.7))*VLOOKUP(P68,'MunicípiosEstados'!$AY$2:$AZ$76,2,FALSE),
  O68="Tocantins",((W68*0.15)+(X68*0.7))*VLOOKUP(P68,'MunicípiosEstados'!$BA$2:$BB$140,2,FALSE),
  O68="Exterior",((W68*0.15)+(X68*0.7))*VLOOKUP(P68,'MunicípiosEstados'!$BC$2:$BE$221,3,FALSE),TRUE,0
)
</f>
        <v>1249.365</v>
      </c>
      <c r="AL68" s="25">
        <f t="shared" si="3"/>
        <v>2099.365</v>
      </c>
      <c r="AN68" s="35"/>
    </row>
    <row r="69" ht="22.5" hidden="1" customHeight="1">
      <c r="A69" s="15">
        <f t="shared" si="1"/>
        <v>68</v>
      </c>
      <c r="B69" s="16">
        <v>45979.450055636575</v>
      </c>
      <c r="C69" s="17" t="s">
        <v>637</v>
      </c>
      <c r="D69" s="27" t="s">
        <v>443</v>
      </c>
      <c r="E69" s="15" t="str">
        <f>VLOOKUP(G69,DiretoriaDepart.Coord.!$A$1:$C$72,2,FALSE)</f>
        <v>Pesquisa e Inovação</v>
      </c>
      <c r="F69" s="15" t="str">
        <f>VLOOKUP(G69,DiretoriaDepart.Coord.!$A$1:$C$72,3,FALSE)</f>
        <v>Pesquisa e Capacitação</v>
      </c>
      <c r="G69" s="17" t="s">
        <v>630</v>
      </c>
      <c r="H69" s="15"/>
      <c r="I69" s="19" t="s">
        <v>833</v>
      </c>
      <c r="J69" s="17" t="s">
        <v>728</v>
      </c>
      <c r="K69" s="17">
        <v>10.0</v>
      </c>
      <c r="L69" s="15"/>
      <c r="M69" s="17" t="s">
        <v>834</v>
      </c>
      <c r="N69" s="17">
        <v>15.0</v>
      </c>
      <c r="O69" s="17" t="s">
        <v>714</v>
      </c>
      <c r="P69" s="17" t="s">
        <v>18</v>
      </c>
      <c r="Q69" s="20">
        <v>45796.333333333336</v>
      </c>
      <c r="R69" s="20">
        <v>45797.708333333336</v>
      </c>
      <c r="S69" s="17" t="s">
        <v>451</v>
      </c>
      <c r="T69" s="17" t="s">
        <v>452</v>
      </c>
      <c r="U69" s="30" t="s">
        <v>835</v>
      </c>
      <c r="V69" s="30" t="s">
        <v>836</v>
      </c>
      <c r="W69" s="22">
        <v>70.0</v>
      </c>
      <c r="X69" s="22">
        <v>20.0</v>
      </c>
      <c r="Y69" s="23">
        <v>0.0</v>
      </c>
      <c r="Z69" s="23">
        <v>0.0</v>
      </c>
      <c r="AA69" s="24">
        <v>0.0</v>
      </c>
      <c r="AB69" s="24">
        <v>0.0</v>
      </c>
      <c r="AC69" s="24">
        <v>0.0</v>
      </c>
      <c r="AD69" s="23">
        <v>500.0</v>
      </c>
      <c r="AE69" s="24">
        <v>0.0</v>
      </c>
      <c r="AF69" s="17" t="s">
        <v>464</v>
      </c>
      <c r="AG69" s="17">
        <v>500.0</v>
      </c>
      <c r="AH69" s="17" t="s">
        <v>464</v>
      </c>
      <c r="AI69" s="25">
        <f>IF(AF69="Sim",INT((R69-Q69+1))*K69*VLOOKUP(P69,'Tabelas Auxiliares'!$A$1:$C$400,3,FALSE),0)</f>
        <v>452.8</v>
      </c>
      <c r="AJ69" s="25">
        <f t="shared" si="2"/>
        <v>350</v>
      </c>
      <c r="AK69" s="25">
        <f>IFS(
  O69="Acre",((W69*0.15)+(X69*0.7))*VLOOKUP(P69,'MunicípiosEstados'!$A$2:$B$23,2,FALSE),
  O69="Alagoas",((W69*0.15)+(X69*0.7))*VLOOKUP(P69,'MunicípiosEstados'!$C$2:$D$103,2,FALSE),
  O69="Amapá",((W69*0.15)+(X69*0.7))*VLOOKUP(P69,'MunicípiosEstados'!$E$2:$F$17,2,FALSE),
  O69="Amazonas",((W69*0.15)+(X69*0.7))*VLOOKUP(P69,'MunicípiosEstados'!$G$2:$H$63,2,FALSE),
  O69="Bahia",((W69*0.15)+(X69*0.7))*VLOOKUP(P69,'MunicípiosEstados'!$I$2:$J$418,2,FALSE),
  O69="Ceará",((W69*0.15)+(X69*0.7))*VLOOKUP(P69,'MunicípiosEstados'!$K$2:$L$185,2,FALSE),
  O69="Distrito Federal",((W69*0.15)+(X69*0.7))*VLOOKUP(P69,'MunicípiosEstados'!$M$2:$N$2,2,FALSE),
  O69="Espírito Santo",((W69*0.15)+(X69*0.7))*VLOOKUP(P69,'MunicípiosEstados'!$O$2:$P$79,2,FALSE),
  O69="Goiás",((W69*0.15)+(X69*0.7))*VLOOKUP(P69,'MunicípiosEstados'!$Q$2:$R$247,2,FALSE),
  O69="Maranhão",((W69*0.15)+(X69*0.7))*VLOOKUP(P69,'MunicípiosEstados'!$S$2:$T$218,2,FALSE),
  O69="Mato Grosso",((W69*0.15)+(X69*0.7))*VLOOKUP(P69,'MunicípiosEstados'!$U$2:$V$143,2,FALSE),
  O69="Mato Grosso do Sul",((W69*0.15)+(X69*0.7))*VLOOKUP(P69,'MunicípiosEstados'!$W$2:$X$80,2,FALSE),
  O69="Minas Gerais",((W69*0.15)+(X69*0.7))*VLOOKUP(P69,'MunicípiosEstados'!$Y$2:$Z$854,2,FALSE),
  O69="Pará",((W69*0.15)+(X69*0.7))*VLOOKUP(P69,'MunicípiosEstados'!$AA$2:$AB$145,2,FALSE),
  O69="Paraíba",((W69*0.15)+(X69*0.7))*VLOOKUP(P69,'MunicípiosEstados'!$AC$2:$AD$224,2,FALSE),
  O69="Paraná",((W69*0.15)+(X69*0.7))*VLOOKUP(P69,'MunicípiosEstados'!$AE$2:$AF$400,2,FALSE),
  O69="Pernambuco",((W69*0.15)+(X69*0.7))*VLOOKUP(P69,'MunicípiosEstados'!$AG$2:$AH$186,2,FALSE),
  O69="Piauí",((W69*0.15)+(X69*0.7))*VLOOKUP(P69,'MunicípiosEstados'!$AI$2:$AJ$225,2,FALSE),
  O69="Rio Grande do Norte",((W69*0.15)+(X69*0.7))*VLOOKUP(P69,'MunicípiosEstados'!$AK$2:$AL$168,2,FALSE),
  O69="Rio Grande do Sul",((W69*0.15)+(X69*0.7))*VLOOKUP(P69,'MunicípiosEstados'!$AM$2:$AN$498,2,FALSE),
  O69="Rio de Janeiro",((W69*0.15)+(X69*0.7))*VLOOKUP(P69,'MunicípiosEstados'!$AO$2:$AP$93,2,FALSE),
  O69="Rondônia",((W69*0.15)+(X69*0.7))*VLOOKUP(P69,'MunicípiosEstados'!$AQ$2:$AR$53,2,FALSE),
  O69="Roraima",((W69*0.15)+(X69*0.7))*VLOOKUP(P69,'MunicípiosEstados'!$AS$2:$AT$16,2,FALSE),
  O69="Santa Catarina",((W69*0.15)+(X69*0.7))*VLOOKUP(P69,'MunicípiosEstados'!$AU$2:$AV$296,2,FALSE),
  O69="São Paulo",((W69*0.15)+(X69*0.7))*VLOOKUP(P69,'MunicípiosEstados'!$AW$2:$AX$646,2,FALSE),
  O69="Sergipe",((W69*0.15)+(X69*0.7))*VLOOKUP(P69,'MunicípiosEstados'!$AY$2:$AZ$76,2,FALSE),
  O69="Tocantins",((W69*0.15)+(X69*0.7))*VLOOKUP(P69,'MunicípiosEstados'!$BA$2:$BB$140,2,FALSE),
  O69="Exterior",((W69*0.15)+(X69*0.7))*VLOOKUP(P69,'MunicípiosEstados'!$BC$2:$BE$221,3,FALSE),TRUE,0
)
</f>
        <v>7118.475</v>
      </c>
      <c r="AL69" s="25">
        <f t="shared" si="3"/>
        <v>8421.275</v>
      </c>
      <c r="AN69" s="35"/>
    </row>
    <row r="70" ht="22.5" hidden="1" customHeight="1">
      <c r="A70" s="15">
        <f t="shared" si="1"/>
        <v>69</v>
      </c>
      <c r="B70" s="16">
        <v>45979.50669361111</v>
      </c>
      <c r="C70" s="17" t="s">
        <v>536</v>
      </c>
      <c r="D70" s="27" t="s">
        <v>443</v>
      </c>
      <c r="E70" s="15" t="str">
        <f>VLOOKUP(G70,DiretoriaDepart.Coord.!$A$1:$C$72,2,FALSE)</f>
        <v>Pesquisa e Inovação</v>
      </c>
      <c r="F70" s="15" t="str">
        <f>VLOOKUP(G70,DiretoriaDepart.Coord.!$A$1:$C$72,3,FALSE)</f>
        <v>Inovação e Comunicação Científica</v>
      </c>
      <c r="G70" s="17" t="s">
        <v>537</v>
      </c>
      <c r="H70" s="15"/>
      <c r="I70" s="17" t="s">
        <v>837</v>
      </c>
      <c r="J70" s="17" t="s">
        <v>490</v>
      </c>
      <c r="K70" s="17">
        <v>1.0</v>
      </c>
      <c r="L70" s="17" t="s">
        <v>539</v>
      </c>
      <c r="M70" s="17" t="s">
        <v>838</v>
      </c>
      <c r="N70" s="17">
        <v>4000.0</v>
      </c>
      <c r="O70" s="17" t="s">
        <v>714</v>
      </c>
      <c r="P70" s="17" t="s">
        <v>138</v>
      </c>
      <c r="Q70" s="20">
        <v>45894.333333333336</v>
      </c>
      <c r="R70" s="20">
        <v>45897.708333333336</v>
      </c>
      <c r="S70" s="17" t="s">
        <v>464</v>
      </c>
      <c r="T70" s="17" t="s">
        <v>452</v>
      </c>
      <c r="U70" s="30" t="s">
        <v>839</v>
      </c>
      <c r="V70" s="30" t="s">
        <v>840</v>
      </c>
      <c r="W70" s="22">
        <v>5.0</v>
      </c>
      <c r="X70" s="22">
        <v>5.0</v>
      </c>
      <c r="Y70" s="23">
        <v>2000.0</v>
      </c>
      <c r="Z70" s="23">
        <v>180.0</v>
      </c>
      <c r="AA70" s="24">
        <v>868.0</v>
      </c>
      <c r="AB70" s="24">
        <v>200.0</v>
      </c>
      <c r="AC70" s="24">
        <v>400.0</v>
      </c>
      <c r="AD70" s="23">
        <v>0.0</v>
      </c>
      <c r="AE70" s="24">
        <v>0.0</v>
      </c>
      <c r="AF70" s="17" t="s">
        <v>451</v>
      </c>
      <c r="AG70" s="17">
        <v>0.0</v>
      </c>
      <c r="AH70" s="17" t="s">
        <v>451</v>
      </c>
      <c r="AI70" s="25">
        <f>IF(AF70="Sim",INT((R70-Q70+1))*K70*VLOOKUP(P70,'Tabelas Auxiliares'!$A$1:$C$400,3,FALSE),0)</f>
        <v>0</v>
      </c>
      <c r="AJ70" s="25">
        <f t="shared" si="2"/>
        <v>0</v>
      </c>
      <c r="AK70" s="25">
        <f>IFS(
  O70="Acre",((W70*0.15)+(X70*0.7))*VLOOKUP(P70,'MunicípiosEstados'!$A$2:$B$23,2,FALSE),
  O70="Alagoas",((W70*0.15)+(X70*0.7))*VLOOKUP(P70,'MunicípiosEstados'!$C$2:$D$103,2,FALSE),
  O70="Amapá",((W70*0.15)+(X70*0.7))*VLOOKUP(P70,'MunicípiosEstados'!$E$2:$F$17,2,FALSE),
  O70="Amazonas",((W70*0.15)+(X70*0.7))*VLOOKUP(P70,'MunicípiosEstados'!$G$2:$H$63,2,FALSE),
  O70="Bahia",((W70*0.15)+(X70*0.7))*VLOOKUP(P70,'MunicípiosEstados'!$I$2:$J$418,2,FALSE),
  O70="Ceará",((W70*0.15)+(X70*0.7))*VLOOKUP(P70,'MunicípiosEstados'!$K$2:$L$185,2,FALSE),
  O70="Distrito Federal",((W70*0.15)+(X70*0.7))*VLOOKUP(P70,'MunicípiosEstados'!$M$2:$N$2,2,FALSE),
  O70="Espírito Santo",((W70*0.15)+(X70*0.7))*VLOOKUP(P70,'MunicípiosEstados'!$O$2:$P$79,2,FALSE),
  O70="Goiás",((W70*0.15)+(X70*0.7))*VLOOKUP(P70,'MunicípiosEstados'!$Q$2:$R$247,2,FALSE),
  O70="Maranhão",((W70*0.15)+(X70*0.7))*VLOOKUP(P70,'MunicípiosEstados'!$S$2:$T$218,2,FALSE),
  O70="Mato Grosso",((W70*0.15)+(X70*0.7))*VLOOKUP(P70,'MunicípiosEstados'!$U$2:$V$143,2,FALSE),
  O70="Mato Grosso do Sul",((W70*0.15)+(X70*0.7))*VLOOKUP(P70,'MunicípiosEstados'!$W$2:$X$80,2,FALSE),
  O70="Minas Gerais",((W70*0.15)+(X70*0.7))*VLOOKUP(P70,'MunicípiosEstados'!$Y$2:$Z$854,2,FALSE),
  O70="Pará",((W70*0.15)+(X70*0.7))*VLOOKUP(P70,'MunicípiosEstados'!$AA$2:$AB$145,2,FALSE),
  O70="Paraíba",((W70*0.15)+(X70*0.7))*VLOOKUP(P70,'MunicípiosEstados'!$AC$2:$AD$224,2,FALSE),
  O70="Paraná",((W70*0.15)+(X70*0.7))*VLOOKUP(P70,'MunicípiosEstados'!$AE$2:$AF$400,2,FALSE),
  O70="Pernambuco",((W70*0.15)+(X70*0.7))*VLOOKUP(P70,'MunicípiosEstados'!$AG$2:$AH$186,2,FALSE),
  O70="Piauí",((W70*0.15)+(X70*0.7))*VLOOKUP(P70,'MunicípiosEstados'!$AI$2:$AJ$225,2,FALSE),
  O70="Rio Grande do Norte",((W70*0.15)+(X70*0.7))*VLOOKUP(P70,'MunicípiosEstados'!$AK$2:$AL$168,2,FALSE),
  O70="Rio Grande do Sul",((W70*0.15)+(X70*0.7))*VLOOKUP(P70,'MunicípiosEstados'!$AM$2:$AN$498,2,FALSE),
  O70="Rio de Janeiro",((W70*0.15)+(X70*0.7))*VLOOKUP(P70,'MunicípiosEstados'!$AO$2:$AP$93,2,FALSE),
  O70="Rondônia",((W70*0.15)+(X70*0.7))*VLOOKUP(P70,'MunicípiosEstados'!$AQ$2:$AR$53,2,FALSE),
  O70="Roraima",((W70*0.15)+(X70*0.7))*VLOOKUP(P70,'MunicípiosEstados'!$AS$2:$AT$16,2,FALSE),
  O70="Santa Catarina",((W70*0.15)+(X70*0.7))*VLOOKUP(P70,'MunicípiosEstados'!$AU$2:$AV$296,2,FALSE),
  O70="São Paulo",((W70*0.15)+(X70*0.7))*VLOOKUP(P70,'MunicípiosEstados'!$AW$2:$AX$646,2,FALSE),
  O70="Sergipe",((W70*0.15)+(X70*0.7))*VLOOKUP(P70,'MunicípiosEstados'!$AY$2:$AZ$76,2,FALSE),
  O70="Tocantins",((W70*0.15)+(X70*0.7))*VLOOKUP(P70,'MunicípiosEstados'!$BA$2:$BB$140,2,FALSE),
  O70="Exterior",((W70*0.15)+(X70*0.7))*VLOOKUP(P70,'MunicípiosEstados'!$BC$2:$BE$221,3,FALSE),TRUE,0
)
</f>
        <v>1234.8375</v>
      </c>
      <c r="AL70" s="25">
        <f t="shared" si="3"/>
        <v>4882.8375</v>
      </c>
      <c r="AN70" s="35"/>
    </row>
    <row r="71" ht="22.5" hidden="1" customHeight="1">
      <c r="A71" s="15">
        <f t="shared" si="1"/>
        <v>70</v>
      </c>
      <c r="B71" s="16">
        <v>45979.61183300926</v>
      </c>
      <c r="C71" s="17" t="s">
        <v>841</v>
      </c>
      <c r="D71" s="27" t="s">
        <v>443</v>
      </c>
      <c r="E71" s="15" t="str">
        <f>VLOOKUP(G71,DiretoriaDepart.Coord.!$A$1:$C$72,2,FALSE)</f>
        <v>Extensão Rural</v>
      </c>
      <c r="F71" s="15" t="str">
        <f>VLOOKUP(G71,DiretoriaDepart.Coord.!$A$1:$C$72,3,FALSE)</f>
        <v>Sustentabilidade</v>
      </c>
      <c r="G71" s="17" t="s">
        <v>842</v>
      </c>
      <c r="H71" s="15"/>
      <c r="I71" s="17" t="s">
        <v>843</v>
      </c>
      <c r="J71" s="17" t="s">
        <v>652</v>
      </c>
      <c r="K71" s="17">
        <v>4.0</v>
      </c>
      <c r="L71" s="19" t="s">
        <v>844</v>
      </c>
      <c r="M71" s="17" t="s">
        <v>845</v>
      </c>
      <c r="N71" s="17">
        <v>4.0</v>
      </c>
      <c r="O71" s="17" t="s">
        <v>714</v>
      </c>
      <c r="P71" s="17" t="s">
        <v>23</v>
      </c>
      <c r="Q71" s="20">
        <v>45697.333333333336</v>
      </c>
      <c r="R71" s="20">
        <v>45701.708333333336</v>
      </c>
      <c r="S71" s="17" t="s">
        <v>464</v>
      </c>
      <c r="T71" s="17" t="s">
        <v>452</v>
      </c>
      <c r="U71" s="30" t="s">
        <v>846</v>
      </c>
      <c r="V71" s="30" t="s">
        <v>847</v>
      </c>
      <c r="W71" s="22">
        <v>48.0</v>
      </c>
      <c r="X71" s="22">
        <v>24.0</v>
      </c>
      <c r="Y71" s="23">
        <v>0.0</v>
      </c>
      <c r="Z71" s="23">
        <v>0.0</v>
      </c>
      <c r="AA71" s="24">
        <v>0.0</v>
      </c>
      <c r="AB71" s="24">
        <v>0.0</v>
      </c>
      <c r="AC71" s="24">
        <v>0.0</v>
      </c>
      <c r="AD71" s="23">
        <v>0.0</v>
      </c>
      <c r="AE71" s="24">
        <v>0.0</v>
      </c>
      <c r="AF71" s="17" t="s">
        <v>451</v>
      </c>
      <c r="AG71" s="17">
        <v>1900.0</v>
      </c>
      <c r="AH71" s="17" t="s">
        <v>451</v>
      </c>
      <c r="AI71" s="25">
        <f>IF(AF71="Sim",INT((R71-Q71+1))*K71*VLOOKUP(P71,'Tabelas Auxiliares'!$A$1:$C$400,3,FALSE),0)</f>
        <v>0</v>
      </c>
      <c r="AJ71" s="25">
        <f t="shared" si="2"/>
        <v>1330</v>
      </c>
      <c r="AK71" s="25">
        <f>IFS(
  O71="Acre",((W71*0.15)+(X71*0.7))*VLOOKUP(P71,'MunicípiosEstados'!$A$2:$B$23,2,FALSE),
  O71="Alagoas",((W71*0.15)+(X71*0.7))*VLOOKUP(P71,'MunicípiosEstados'!$C$2:$D$103,2,FALSE),
  O71="Amapá",((W71*0.15)+(X71*0.7))*VLOOKUP(P71,'MunicípiosEstados'!$E$2:$F$17,2,FALSE),
  O71="Amazonas",((W71*0.15)+(X71*0.7))*VLOOKUP(P71,'MunicípiosEstados'!$G$2:$H$63,2,FALSE),
  O71="Bahia",((W71*0.15)+(X71*0.7))*VLOOKUP(P71,'MunicípiosEstados'!$I$2:$J$418,2,FALSE),
  O71="Ceará",((W71*0.15)+(X71*0.7))*VLOOKUP(P71,'MunicípiosEstados'!$K$2:$L$185,2,FALSE),
  O71="Distrito Federal",((W71*0.15)+(X71*0.7))*VLOOKUP(P71,'MunicípiosEstados'!$M$2:$N$2,2,FALSE),
  O71="Espírito Santo",((W71*0.15)+(X71*0.7))*VLOOKUP(P71,'MunicípiosEstados'!$O$2:$P$79,2,FALSE),
  O71="Goiás",((W71*0.15)+(X71*0.7))*VLOOKUP(P71,'MunicípiosEstados'!$Q$2:$R$247,2,FALSE),
  O71="Maranhão",((W71*0.15)+(X71*0.7))*VLOOKUP(P71,'MunicípiosEstados'!$S$2:$T$218,2,FALSE),
  O71="Mato Grosso",((W71*0.15)+(X71*0.7))*VLOOKUP(P71,'MunicípiosEstados'!$U$2:$V$143,2,FALSE),
  O71="Mato Grosso do Sul",((W71*0.15)+(X71*0.7))*VLOOKUP(P71,'MunicípiosEstados'!$W$2:$X$80,2,FALSE),
  O71="Minas Gerais",((W71*0.15)+(X71*0.7))*VLOOKUP(P71,'MunicípiosEstados'!$Y$2:$Z$854,2,FALSE),
  O71="Pará",((W71*0.15)+(X71*0.7))*VLOOKUP(P71,'MunicípiosEstados'!$AA$2:$AB$145,2,FALSE),
  O71="Paraíba",((W71*0.15)+(X71*0.7))*VLOOKUP(P71,'MunicípiosEstados'!$AC$2:$AD$224,2,FALSE),
  O71="Paraná",((W71*0.15)+(X71*0.7))*VLOOKUP(P71,'MunicípiosEstados'!$AE$2:$AF$400,2,FALSE),
  O71="Pernambuco",((W71*0.15)+(X71*0.7))*VLOOKUP(P71,'MunicípiosEstados'!$AG$2:$AH$186,2,FALSE),
  O71="Piauí",((W71*0.15)+(X71*0.7))*VLOOKUP(P71,'MunicípiosEstados'!$AI$2:$AJ$225,2,FALSE),
  O71="Rio Grande do Norte",((W71*0.15)+(X71*0.7))*VLOOKUP(P71,'MunicípiosEstados'!$AK$2:$AL$168,2,FALSE),
  O71="Rio Grande do Sul",((W71*0.15)+(X71*0.7))*VLOOKUP(P71,'MunicípiosEstados'!$AM$2:$AN$498,2,FALSE),
  O71="Rio de Janeiro",((W71*0.15)+(X71*0.7))*VLOOKUP(P71,'MunicípiosEstados'!$AO$2:$AP$93,2,FALSE),
  O71="Rondônia",((W71*0.15)+(X71*0.7))*VLOOKUP(P71,'MunicípiosEstados'!$AQ$2:$AR$53,2,FALSE),
  O71="Roraima",((W71*0.15)+(X71*0.7))*VLOOKUP(P71,'MunicípiosEstados'!$AS$2:$AT$16,2,FALSE),
  O71="Santa Catarina",((W71*0.15)+(X71*0.7))*VLOOKUP(P71,'MunicípiosEstados'!$AU$2:$AV$296,2,FALSE),
  O71="São Paulo",((W71*0.15)+(X71*0.7))*VLOOKUP(P71,'MunicípiosEstados'!$AW$2:$AX$646,2,FALSE),
  O71="Sergipe",((W71*0.15)+(X71*0.7))*VLOOKUP(P71,'MunicípiosEstados'!$AY$2:$AZ$76,2,FALSE),
  O71="Tocantins",((W71*0.15)+(X71*0.7))*VLOOKUP(P71,'MunicípiosEstados'!$BA$2:$BB$140,2,FALSE),
  O71="Exterior",((W71*0.15)+(X71*0.7))*VLOOKUP(P71,'MunicípiosEstados'!$BC$2:$BE$221,3,FALSE),TRUE,0
)
</f>
        <v>6973.2</v>
      </c>
      <c r="AL71" s="25">
        <f t="shared" si="3"/>
        <v>8303.2</v>
      </c>
    </row>
    <row r="72" ht="22.5" hidden="1" customHeight="1">
      <c r="A72" s="15">
        <f t="shared" si="1"/>
        <v>71</v>
      </c>
      <c r="B72" s="16">
        <v>45979.62062609954</v>
      </c>
      <c r="C72" s="17" t="s">
        <v>841</v>
      </c>
      <c r="D72" s="27" t="s">
        <v>443</v>
      </c>
      <c r="E72" s="15" t="str">
        <f>VLOOKUP(G72,DiretoriaDepart.Coord.!$A$1:$C$72,2,FALSE)</f>
        <v>Extensão Rural</v>
      </c>
      <c r="F72" s="15" t="str">
        <f>VLOOKUP(G72,DiretoriaDepart.Coord.!$A$1:$C$72,3,FALSE)</f>
        <v>Sustentabilidade</v>
      </c>
      <c r="G72" s="17" t="s">
        <v>842</v>
      </c>
      <c r="H72" s="15"/>
      <c r="I72" s="17" t="s">
        <v>848</v>
      </c>
      <c r="J72" s="17" t="s">
        <v>849</v>
      </c>
      <c r="K72" s="17">
        <v>8.0</v>
      </c>
      <c r="L72" s="19" t="s">
        <v>850</v>
      </c>
      <c r="M72" s="17" t="s">
        <v>845</v>
      </c>
      <c r="N72" s="17">
        <v>600.0</v>
      </c>
      <c r="O72" s="17" t="s">
        <v>714</v>
      </c>
      <c r="P72" s="17" t="s">
        <v>138</v>
      </c>
      <c r="Q72" s="20">
        <v>45761.375</v>
      </c>
      <c r="R72" s="20">
        <v>45763.708333333336</v>
      </c>
      <c r="S72" s="17" t="s">
        <v>464</v>
      </c>
      <c r="T72" s="17" t="s">
        <v>452</v>
      </c>
      <c r="U72" s="30" t="s">
        <v>851</v>
      </c>
      <c r="V72" s="30" t="s">
        <v>852</v>
      </c>
      <c r="W72" s="22">
        <v>80.0</v>
      </c>
      <c r="X72" s="22">
        <v>40.0</v>
      </c>
      <c r="Y72" s="23">
        <v>8000.0</v>
      </c>
      <c r="Z72" s="23">
        <v>0.0</v>
      </c>
      <c r="AA72" s="24">
        <v>0.0</v>
      </c>
      <c r="AB72" s="24">
        <v>0.0</v>
      </c>
      <c r="AC72" s="24">
        <v>0.0</v>
      </c>
      <c r="AD72" s="23">
        <v>0.0</v>
      </c>
      <c r="AE72" s="24">
        <v>0.0</v>
      </c>
      <c r="AF72" s="17" t="s">
        <v>451</v>
      </c>
      <c r="AG72" s="17">
        <v>2100.0</v>
      </c>
      <c r="AH72" s="17" t="s">
        <v>451</v>
      </c>
      <c r="AI72" s="25">
        <f>IF(AF72="Sim",INT((R72-Q72+1))*K72*VLOOKUP(P72,'Tabelas Auxiliares'!$A$1:$C$400,3,FALSE),0)</f>
        <v>0</v>
      </c>
      <c r="AJ72" s="25">
        <f t="shared" si="2"/>
        <v>1470</v>
      </c>
      <c r="AK72" s="25">
        <f>IFS(
  O72="Acre",((W72*0.15)+(X72*0.7))*VLOOKUP(P72,'MunicípiosEstados'!$A$2:$B$23,2,FALSE),
  O72="Alagoas",((W72*0.15)+(X72*0.7))*VLOOKUP(P72,'MunicípiosEstados'!$C$2:$D$103,2,FALSE),
  O72="Amapá",((W72*0.15)+(X72*0.7))*VLOOKUP(P72,'MunicípiosEstados'!$E$2:$F$17,2,FALSE),
  O72="Amazonas",((W72*0.15)+(X72*0.7))*VLOOKUP(P72,'MunicípiosEstados'!$G$2:$H$63,2,FALSE),
  O72="Bahia",((W72*0.15)+(X72*0.7))*VLOOKUP(P72,'MunicípiosEstados'!$I$2:$J$418,2,FALSE),
  O72="Ceará",((W72*0.15)+(X72*0.7))*VLOOKUP(P72,'MunicípiosEstados'!$K$2:$L$185,2,FALSE),
  O72="Distrito Federal",((W72*0.15)+(X72*0.7))*VLOOKUP(P72,'MunicípiosEstados'!$M$2:$N$2,2,FALSE),
  O72="Espírito Santo",((W72*0.15)+(X72*0.7))*VLOOKUP(P72,'MunicípiosEstados'!$O$2:$P$79,2,FALSE),
  O72="Goiás",((W72*0.15)+(X72*0.7))*VLOOKUP(P72,'MunicípiosEstados'!$Q$2:$R$247,2,FALSE),
  O72="Maranhão",((W72*0.15)+(X72*0.7))*VLOOKUP(P72,'MunicípiosEstados'!$S$2:$T$218,2,FALSE),
  O72="Mato Grosso",((W72*0.15)+(X72*0.7))*VLOOKUP(P72,'MunicípiosEstados'!$U$2:$V$143,2,FALSE),
  O72="Mato Grosso do Sul",((W72*0.15)+(X72*0.7))*VLOOKUP(P72,'MunicípiosEstados'!$W$2:$X$80,2,FALSE),
  O72="Minas Gerais",((W72*0.15)+(X72*0.7))*VLOOKUP(P72,'MunicípiosEstados'!$Y$2:$Z$854,2,FALSE),
  O72="Pará",((W72*0.15)+(X72*0.7))*VLOOKUP(P72,'MunicípiosEstados'!$AA$2:$AB$145,2,FALSE),
  O72="Paraíba",((W72*0.15)+(X72*0.7))*VLOOKUP(P72,'MunicípiosEstados'!$AC$2:$AD$224,2,FALSE),
  O72="Paraná",((W72*0.15)+(X72*0.7))*VLOOKUP(P72,'MunicípiosEstados'!$AE$2:$AF$400,2,FALSE),
  O72="Pernambuco",((W72*0.15)+(X72*0.7))*VLOOKUP(P72,'MunicípiosEstados'!$AG$2:$AH$186,2,FALSE),
  O72="Piauí",((W72*0.15)+(X72*0.7))*VLOOKUP(P72,'MunicípiosEstados'!$AI$2:$AJ$225,2,FALSE),
  O72="Rio Grande do Norte",((W72*0.15)+(X72*0.7))*VLOOKUP(P72,'MunicípiosEstados'!$AK$2:$AL$168,2,FALSE),
  O72="Rio Grande do Sul",((W72*0.15)+(X72*0.7))*VLOOKUP(P72,'MunicípiosEstados'!$AM$2:$AN$498,2,FALSE),
  O72="Rio de Janeiro",((W72*0.15)+(X72*0.7))*VLOOKUP(P72,'MunicípiosEstados'!$AO$2:$AP$93,2,FALSE),
  O72="Rondônia",((W72*0.15)+(X72*0.7))*VLOOKUP(P72,'MunicípiosEstados'!$AQ$2:$AR$53,2,FALSE),
  O72="Roraima",((W72*0.15)+(X72*0.7))*VLOOKUP(P72,'MunicípiosEstados'!$AS$2:$AT$16,2,FALSE),
  O72="Santa Catarina",((W72*0.15)+(X72*0.7))*VLOOKUP(P72,'MunicípiosEstados'!$AU$2:$AV$296,2,FALSE),
  O72="São Paulo",((W72*0.15)+(X72*0.7))*VLOOKUP(P72,'MunicípiosEstados'!$AW$2:$AX$646,2,FALSE),
  O72="Sergipe",((W72*0.15)+(X72*0.7))*VLOOKUP(P72,'MunicípiosEstados'!$AY$2:$AZ$76,2,FALSE),
  O72="Tocantins",((W72*0.15)+(X72*0.7))*VLOOKUP(P72,'MunicípiosEstados'!$BA$2:$BB$140,2,FALSE),
  O72="Exterior",((W72*0.15)+(X72*0.7))*VLOOKUP(P72,'MunicípiosEstados'!$BC$2:$BE$221,3,FALSE),TRUE,0
)
</f>
        <v>11622</v>
      </c>
      <c r="AL72" s="25">
        <f t="shared" si="3"/>
        <v>21092</v>
      </c>
    </row>
    <row r="73" ht="22.5" hidden="1" customHeight="1">
      <c r="A73" s="15">
        <f t="shared" si="1"/>
        <v>72</v>
      </c>
      <c r="B73" s="16">
        <v>45979.63394947917</v>
      </c>
      <c r="C73" s="17" t="s">
        <v>841</v>
      </c>
      <c r="D73" s="27" t="s">
        <v>443</v>
      </c>
      <c r="E73" s="15" t="str">
        <f>VLOOKUP(G73,DiretoriaDepart.Coord.!$A$1:$C$72,2,FALSE)</f>
        <v>Extensão Rural</v>
      </c>
      <c r="F73" s="15" t="str">
        <f>VLOOKUP(G73,DiretoriaDepart.Coord.!$A$1:$C$72,3,FALSE)</f>
        <v>Sustentabilidade</v>
      </c>
      <c r="G73" s="17" t="s">
        <v>842</v>
      </c>
      <c r="H73" s="15"/>
      <c r="I73" s="17" t="s">
        <v>853</v>
      </c>
      <c r="J73" s="17" t="s">
        <v>652</v>
      </c>
      <c r="K73" s="17">
        <v>4.0</v>
      </c>
      <c r="L73" s="19" t="s">
        <v>854</v>
      </c>
      <c r="M73" s="17" t="s">
        <v>855</v>
      </c>
      <c r="N73" s="17">
        <v>4.0</v>
      </c>
      <c r="O73" s="17" t="s">
        <v>714</v>
      </c>
      <c r="P73" s="17" t="s">
        <v>26</v>
      </c>
      <c r="Q73" s="20">
        <v>45784.333333333336</v>
      </c>
      <c r="R73" s="20">
        <v>45794.75</v>
      </c>
      <c r="S73" s="17" t="s">
        <v>464</v>
      </c>
      <c r="T73" s="17" t="s">
        <v>452</v>
      </c>
      <c r="U73" s="30" t="s">
        <v>856</v>
      </c>
      <c r="V73" s="30" t="s">
        <v>857</v>
      </c>
      <c r="W73" s="22">
        <v>40.0</v>
      </c>
      <c r="X73" s="22">
        <v>20.0</v>
      </c>
      <c r="Y73" s="23">
        <v>0.0</v>
      </c>
      <c r="Z73" s="23">
        <v>0.0</v>
      </c>
      <c r="AA73" s="24">
        <v>0.0</v>
      </c>
      <c r="AB73" s="24">
        <v>0.0</v>
      </c>
      <c r="AC73" s="24">
        <v>0.0</v>
      </c>
      <c r="AD73" s="23">
        <v>0.0</v>
      </c>
      <c r="AE73" s="24">
        <v>0.0</v>
      </c>
      <c r="AF73" s="17" t="s">
        <v>451</v>
      </c>
      <c r="AG73" s="17">
        <v>1100.0</v>
      </c>
      <c r="AH73" s="17" t="s">
        <v>451</v>
      </c>
      <c r="AI73" s="25">
        <f>IF(AF73="Sim",INT((R73-Q73+1))*K73*VLOOKUP(P73,'Tabelas Auxiliares'!$A$1:$C$400,3,FALSE),0)</f>
        <v>0</v>
      </c>
      <c r="AJ73" s="25">
        <f t="shared" si="2"/>
        <v>770</v>
      </c>
      <c r="AK73" s="25">
        <f>IFS(
  O73="Acre",((W73*0.15)+(X73*0.7))*VLOOKUP(P73,'MunicípiosEstados'!$A$2:$B$23,2,FALSE),
  O73="Alagoas",((W73*0.15)+(X73*0.7))*VLOOKUP(P73,'MunicípiosEstados'!$C$2:$D$103,2,FALSE),
  O73="Amapá",((W73*0.15)+(X73*0.7))*VLOOKUP(P73,'MunicípiosEstados'!$E$2:$F$17,2,FALSE),
  O73="Amazonas",((W73*0.15)+(X73*0.7))*VLOOKUP(P73,'MunicípiosEstados'!$G$2:$H$63,2,FALSE),
  O73="Bahia",((W73*0.15)+(X73*0.7))*VLOOKUP(P73,'MunicípiosEstados'!$I$2:$J$418,2,FALSE),
  O73="Ceará",((W73*0.15)+(X73*0.7))*VLOOKUP(P73,'MunicípiosEstados'!$K$2:$L$185,2,FALSE),
  O73="Distrito Federal",((W73*0.15)+(X73*0.7))*VLOOKUP(P73,'MunicípiosEstados'!$M$2:$N$2,2,FALSE),
  O73="Espírito Santo",((W73*0.15)+(X73*0.7))*VLOOKUP(P73,'MunicípiosEstados'!$O$2:$P$79,2,FALSE),
  O73="Goiás",((W73*0.15)+(X73*0.7))*VLOOKUP(P73,'MunicípiosEstados'!$Q$2:$R$247,2,FALSE),
  O73="Maranhão",((W73*0.15)+(X73*0.7))*VLOOKUP(P73,'MunicípiosEstados'!$S$2:$T$218,2,FALSE),
  O73="Mato Grosso",((W73*0.15)+(X73*0.7))*VLOOKUP(P73,'MunicípiosEstados'!$U$2:$V$143,2,FALSE),
  O73="Mato Grosso do Sul",((W73*0.15)+(X73*0.7))*VLOOKUP(P73,'MunicípiosEstados'!$W$2:$X$80,2,FALSE),
  O73="Minas Gerais",((W73*0.15)+(X73*0.7))*VLOOKUP(P73,'MunicípiosEstados'!$Y$2:$Z$854,2,FALSE),
  O73="Pará",((W73*0.15)+(X73*0.7))*VLOOKUP(P73,'MunicípiosEstados'!$AA$2:$AB$145,2,FALSE),
  O73="Paraíba",((W73*0.15)+(X73*0.7))*VLOOKUP(P73,'MunicípiosEstados'!$AC$2:$AD$224,2,FALSE),
  O73="Paraná",((W73*0.15)+(X73*0.7))*VLOOKUP(P73,'MunicípiosEstados'!$AE$2:$AF$400,2,FALSE),
  O73="Pernambuco",((W73*0.15)+(X73*0.7))*VLOOKUP(P73,'MunicípiosEstados'!$AG$2:$AH$186,2,FALSE),
  O73="Piauí",((W73*0.15)+(X73*0.7))*VLOOKUP(P73,'MunicípiosEstados'!$AI$2:$AJ$225,2,FALSE),
  O73="Rio Grande do Norte",((W73*0.15)+(X73*0.7))*VLOOKUP(P73,'MunicípiosEstados'!$AK$2:$AL$168,2,FALSE),
  O73="Rio Grande do Sul",((W73*0.15)+(X73*0.7))*VLOOKUP(P73,'MunicípiosEstados'!$AM$2:$AN$498,2,FALSE),
  O73="Rio de Janeiro",((W73*0.15)+(X73*0.7))*VLOOKUP(P73,'MunicípiosEstados'!$AO$2:$AP$93,2,FALSE),
  O73="Rondônia",((W73*0.15)+(X73*0.7))*VLOOKUP(P73,'MunicípiosEstados'!$AQ$2:$AR$53,2,FALSE),
  O73="Roraima",((W73*0.15)+(X73*0.7))*VLOOKUP(P73,'MunicípiosEstados'!$AS$2:$AT$16,2,FALSE),
  O73="Santa Catarina",((W73*0.15)+(X73*0.7))*VLOOKUP(P73,'MunicípiosEstados'!$AU$2:$AV$296,2,FALSE),
  O73="São Paulo",((W73*0.15)+(X73*0.7))*VLOOKUP(P73,'MunicípiosEstados'!$AW$2:$AX$646,2,FALSE),
  O73="Sergipe",((W73*0.15)+(X73*0.7))*VLOOKUP(P73,'MunicípiosEstados'!$AY$2:$AZ$76,2,FALSE),
  O73="Tocantins",((W73*0.15)+(X73*0.7))*VLOOKUP(P73,'MunicípiosEstados'!$BA$2:$BB$140,2,FALSE),
  O73="Exterior",((W73*0.15)+(X73*0.7))*VLOOKUP(P73,'MunicípiosEstados'!$BC$2:$BE$221,3,FALSE),TRUE,0
)
</f>
        <v>5811</v>
      </c>
      <c r="AL73" s="25">
        <f t="shared" si="3"/>
        <v>6581</v>
      </c>
    </row>
    <row r="74" ht="22.5" hidden="1" customHeight="1">
      <c r="A74" s="15">
        <f t="shared" si="1"/>
        <v>73</v>
      </c>
      <c r="B74" s="16">
        <v>45979.63754560185</v>
      </c>
      <c r="C74" s="17" t="s">
        <v>841</v>
      </c>
      <c r="D74" s="27" t="s">
        <v>443</v>
      </c>
      <c r="E74" s="15" t="str">
        <f>VLOOKUP(G74,DiretoriaDepart.Coord.!$A$1:$C$72,2,FALSE)</f>
        <v>Extensão Rural</v>
      </c>
      <c r="F74" s="15" t="str">
        <f>VLOOKUP(G74,DiretoriaDepart.Coord.!$A$1:$C$72,3,FALSE)</f>
        <v>Sustentabilidade</v>
      </c>
      <c r="G74" s="17" t="s">
        <v>842</v>
      </c>
      <c r="H74" s="15"/>
      <c r="I74" s="17" t="s">
        <v>858</v>
      </c>
      <c r="J74" s="17" t="s">
        <v>652</v>
      </c>
      <c r="K74" s="17">
        <v>4.0</v>
      </c>
      <c r="L74" s="19" t="s">
        <v>859</v>
      </c>
      <c r="M74" s="17" t="s">
        <v>860</v>
      </c>
      <c r="N74" s="17">
        <v>4.0</v>
      </c>
      <c r="O74" s="17" t="s">
        <v>714</v>
      </c>
      <c r="P74" s="17" t="s">
        <v>21</v>
      </c>
      <c r="Q74" s="20">
        <v>45893.333333333336</v>
      </c>
      <c r="R74" s="20">
        <v>45895.708333333336</v>
      </c>
      <c r="S74" s="17" t="s">
        <v>451</v>
      </c>
      <c r="T74" s="17" t="s">
        <v>452</v>
      </c>
      <c r="U74" s="30" t="s">
        <v>861</v>
      </c>
      <c r="V74" s="30" t="s">
        <v>862</v>
      </c>
      <c r="W74" s="22">
        <v>40.0</v>
      </c>
      <c r="X74" s="22">
        <v>20.0</v>
      </c>
      <c r="Y74" s="23">
        <v>0.0</v>
      </c>
      <c r="Z74" s="23">
        <v>0.0</v>
      </c>
      <c r="AA74" s="24">
        <v>0.0</v>
      </c>
      <c r="AB74" s="24">
        <v>0.0</v>
      </c>
      <c r="AC74" s="24">
        <v>0.0</v>
      </c>
      <c r="AD74" s="23">
        <v>0.0</v>
      </c>
      <c r="AE74" s="24">
        <v>0.0</v>
      </c>
      <c r="AF74" s="17" t="s">
        <v>451</v>
      </c>
      <c r="AG74" s="17">
        <v>1200.0</v>
      </c>
      <c r="AH74" s="17" t="s">
        <v>451</v>
      </c>
      <c r="AI74" s="25">
        <f>IF(AF74="Sim",INT((R74-Q74+1))*K74*VLOOKUP(P74,'Tabelas Auxiliares'!$A$1:$C$400,3,FALSE),0)</f>
        <v>0</v>
      </c>
      <c r="AJ74" s="25">
        <f t="shared" si="2"/>
        <v>840</v>
      </c>
      <c r="AK74" s="25">
        <f>IFS(
  O74="Acre",((W74*0.15)+(X74*0.7))*VLOOKUP(P74,'MunicípiosEstados'!$A$2:$B$23,2,FALSE),
  O74="Alagoas",((W74*0.15)+(X74*0.7))*VLOOKUP(P74,'MunicípiosEstados'!$C$2:$D$103,2,FALSE),
  O74="Amapá",((W74*0.15)+(X74*0.7))*VLOOKUP(P74,'MunicípiosEstados'!$E$2:$F$17,2,FALSE),
  O74="Amazonas",((W74*0.15)+(X74*0.7))*VLOOKUP(P74,'MunicípiosEstados'!$G$2:$H$63,2,FALSE),
  O74="Bahia",((W74*0.15)+(X74*0.7))*VLOOKUP(P74,'MunicípiosEstados'!$I$2:$J$418,2,FALSE),
  O74="Ceará",((W74*0.15)+(X74*0.7))*VLOOKUP(P74,'MunicípiosEstados'!$K$2:$L$185,2,FALSE),
  O74="Distrito Federal",((W74*0.15)+(X74*0.7))*VLOOKUP(P74,'MunicípiosEstados'!$M$2:$N$2,2,FALSE),
  O74="Espírito Santo",((W74*0.15)+(X74*0.7))*VLOOKUP(P74,'MunicípiosEstados'!$O$2:$P$79,2,FALSE),
  O74="Goiás",((W74*0.15)+(X74*0.7))*VLOOKUP(P74,'MunicípiosEstados'!$Q$2:$R$247,2,FALSE),
  O74="Maranhão",((W74*0.15)+(X74*0.7))*VLOOKUP(P74,'MunicípiosEstados'!$S$2:$T$218,2,FALSE),
  O74="Mato Grosso",((W74*0.15)+(X74*0.7))*VLOOKUP(P74,'MunicípiosEstados'!$U$2:$V$143,2,FALSE),
  O74="Mato Grosso do Sul",((W74*0.15)+(X74*0.7))*VLOOKUP(P74,'MunicípiosEstados'!$W$2:$X$80,2,FALSE),
  O74="Minas Gerais",((W74*0.15)+(X74*0.7))*VLOOKUP(P74,'MunicípiosEstados'!$Y$2:$Z$854,2,FALSE),
  O74="Pará",((W74*0.15)+(X74*0.7))*VLOOKUP(P74,'MunicípiosEstados'!$AA$2:$AB$145,2,FALSE),
  O74="Paraíba",((W74*0.15)+(X74*0.7))*VLOOKUP(P74,'MunicípiosEstados'!$AC$2:$AD$224,2,FALSE),
  O74="Paraná",((W74*0.15)+(X74*0.7))*VLOOKUP(P74,'MunicípiosEstados'!$AE$2:$AF$400,2,FALSE),
  O74="Pernambuco",((W74*0.15)+(X74*0.7))*VLOOKUP(P74,'MunicípiosEstados'!$AG$2:$AH$186,2,FALSE),
  O74="Piauí",((W74*0.15)+(X74*0.7))*VLOOKUP(P74,'MunicípiosEstados'!$AI$2:$AJ$225,2,FALSE),
  O74="Rio Grande do Norte",((W74*0.15)+(X74*0.7))*VLOOKUP(P74,'MunicípiosEstados'!$AK$2:$AL$168,2,FALSE),
  O74="Rio Grande do Sul",((W74*0.15)+(X74*0.7))*VLOOKUP(P74,'MunicípiosEstados'!$AM$2:$AN$498,2,FALSE),
  O74="Rio de Janeiro",((W74*0.15)+(X74*0.7))*VLOOKUP(P74,'MunicípiosEstados'!$AO$2:$AP$93,2,FALSE),
  O74="Rondônia",((W74*0.15)+(X74*0.7))*VLOOKUP(P74,'MunicípiosEstados'!$AQ$2:$AR$53,2,FALSE),
  O74="Roraima",((W74*0.15)+(X74*0.7))*VLOOKUP(P74,'MunicípiosEstados'!$AS$2:$AT$16,2,FALSE),
  O74="Santa Catarina",((W74*0.15)+(X74*0.7))*VLOOKUP(P74,'MunicípiosEstados'!$AU$2:$AV$296,2,FALSE),
  O74="São Paulo",((W74*0.15)+(X74*0.7))*VLOOKUP(P74,'MunicípiosEstados'!$AW$2:$AX$646,2,FALSE),
  O74="Sergipe",((W74*0.15)+(X74*0.7))*VLOOKUP(P74,'MunicípiosEstados'!$AY$2:$AZ$76,2,FALSE),
  O74="Tocantins",((W74*0.15)+(X74*0.7))*VLOOKUP(P74,'MunicípiosEstados'!$BA$2:$BB$140,2,FALSE),
  O74="Exterior",((W74*0.15)+(X74*0.7))*VLOOKUP(P74,'MunicípiosEstados'!$BC$2:$BE$221,3,FALSE),TRUE,0
)
</f>
        <v>5811</v>
      </c>
      <c r="AL74" s="25">
        <f t="shared" si="3"/>
        <v>6651</v>
      </c>
    </row>
    <row r="75" ht="22.5" hidden="1" customHeight="1">
      <c r="A75" s="15">
        <f t="shared" si="1"/>
        <v>74</v>
      </c>
      <c r="B75" s="16">
        <v>45979.64076739583</v>
      </c>
      <c r="C75" s="17" t="s">
        <v>841</v>
      </c>
      <c r="D75" s="27" t="s">
        <v>443</v>
      </c>
      <c r="E75" s="15" t="str">
        <f>VLOOKUP(G75,DiretoriaDepart.Coord.!$A$1:$C$72,2,FALSE)</f>
        <v>Extensão Rural</v>
      </c>
      <c r="F75" s="15" t="str">
        <f>VLOOKUP(G75,DiretoriaDepart.Coord.!$A$1:$C$72,3,FALSE)</f>
        <v>Sustentabilidade</v>
      </c>
      <c r="G75" s="17" t="s">
        <v>842</v>
      </c>
      <c r="H75" s="15"/>
      <c r="I75" s="17" t="s">
        <v>863</v>
      </c>
      <c r="J75" s="17" t="s">
        <v>652</v>
      </c>
      <c r="K75" s="17">
        <v>4.0</v>
      </c>
      <c r="L75" s="19" t="s">
        <v>854</v>
      </c>
      <c r="M75" s="17" t="s">
        <v>864</v>
      </c>
      <c r="N75" s="17">
        <v>4.0</v>
      </c>
      <c r="O75" s="17" t="s">
        <v>714</v>
      </c>
      <c r="P75" s="17" t="s">
        <v>89</v>
      </c>
      <c r="Q75" s="20">
        <v>45870.333333333336</v>
      </c>
      <c r="R75" s="20">
        <v>45873.708333333336</v>
      </c>
      <c r="S75" s="17" t="s">
        <v>451</v>
      </c>
      <c r="T75" s="17" t="s">
        <v>452</v>
      </c>
      <c r="U75" s="30" t="s">
        <v>851</v>
      </c>
      <c r="V75" s="30" t="s">
        <v>865</v>
      </c>
      <c r="W75" s="22">
        <v>40.0</v>
      </c>
      <c r="X75" s="22">
        <v>20.0</v>
      </c>
      <c r="Y75" s="23">
        <v>0.0</v>
      </c>
      <c r="Z75" s="23">
        <v>0.0</v>
      </c>
      <c r="AA75" s="24">
        <v>0.0</v>
      </c>
      <c r="AB75" s="24">
        <v>0.0</v>
      </c>
      <c r="AC75" s="24">
        <v>0.0</v>
      </c>
      <c r="AD75" s="23">
        <v>0.0</v>
      </c>
      <c r="AE75" s="24">
        <v>0.0</v>
      </c>
      <c r="AF75" s="17" t="s">
        <v>451</v>
      </c>
      <c r="AG75" s="17">
        <v>600.0</v>
      </c>
      <c r="AH75" s="17" t="s">
        <v>451</v>
      </c>
      <c r="AI75" s="25">
        <f>IF(AF75="Sim",INT((R75-Q75+1))*K75*VLOOKUP(P75,'Tabelas Auxiliares'!$A$1:$C$400,3,FALSE),0)</f>
        <v>0</v>
      </c>
      <c r="AJ75" s="25">
        <f t="shared" si="2"/>
        <v>420</v>
      </c>
      <c r="AK75" s="25">
        <f>IFS(
  O75="Acre",((W75*0.15)+(X75*0.7))*VLOOKUP(P75,'MunicípiosEstados'!$A$2:$B$23,2,FALSE),
  O75="Alagoas",((W75*0.15)+(X75*0.7))*VLOOKUP(P75,'MunicípiosEstados'!$C$2:$D$103,2,FALSE),
  O75="Amapá",((W75*0.15)+(X75*0.7))*VLOOKUP(P75,'MunicípiosEstados'!$E$2:$F$17,2,FALSE),
  O75="Amazonas",((W75*0.15)+(X75*0.7))*VLOOKUP(P75,'MunicípiosEstados'!$G$2:$H$63,2,FALSE),
  O75="Bahia",((W75*0.15)+(X75*0.7))*VLOOKUP(P75,'MunicípiosEstados'!$I$2:$J$418,2,FALSE),
  O75="Ceará",((W75*0.15)+(X75*0.7))*VLOOKUP(P75,'MunicípiosEstados'!$K$2:$L$185,2,FALSE),
  O75="Distrito Federal",((W75*0.15)+(X75*0.7))*VLOOKUP(P75,'MunicípiosEstados'!$M$2:$N$2,2,FALSE),
  O75="Espírito Santo",((W75*0.15)+(X75*0.7))*VLOOKUP(P75,'MunicípiosEstados'!$O$2:$P$79,2,FALSE),
  O75="Goiás",((W75*0.15)+(X75*0.7))*VLOOKUP(P75,'MunicípiosEstados'!$Q$2:$R$247,2,FALSE),
  O75="Maranhão",((W75*0.15)+(X75*0.7))*VLOOKUP(P75,'MunicípiosEstados'!$S$2:$T$218,2,FALSE),
  O75="Mato Grosso",((W75*0.15)+(X75*0.7))*VLOOKUP(P75,'MunicípiosEstados'!$U$2:$V$143,2,FALSE),
  O75="Mato Grosso do Sul",((W75*0.15)+(X75*0.7))*VLOOKUP(P75,'MunicípiosEstados'!$W$2:$X$80,2,FALSE),
  O75="Minas Gerais",((W75*0.15)+(X75*0.7))*VLOOKUP(P75,'MunicípiosEstados'!$Y$2:$Z$854,2,FALSE),
  O75="Pará",((W75*0.15)+(X75*0.7))*VLOOKUP(P75,'MunicípiosEstados'!$AA$2:$AB$145,2,FALSE),
  O75="Paraíba",((W75*0.15)+(X75*0.7))*VLOOKUP(P75,'MunicípiosEstados'!$AC$2:$AD$224,2,FALSE),
  O75="Paraná",((W75*0.15)+(X75*0.7))*VLOOKUP(P75,'MunicípiosEstados'!$AE$2:$AF$400,2,FALSE),
  O75="Pernambuco",((W75*0.15)+(X75*0.7))*VLOOKUP(P75,'MunicípiosEstados'!$AG$2:$AH$186,2,FALSE),
  O75="Piauí",((W75*0.15)+(X75*0.7))*VLOOKUP(P75,'MunicípiosEstados'!$AI$2:$AJ$225,2,FALSE),
  O75="Rio Grande do Norte",((W75*0.15)+(X75*0.7))*VLOOKUP(P75,'MunicípiosEstados'!$AK$2:$AL$168,2,FALSE),
  O75="Rio Grande do Sul",((W75*0.15)+(X75*0.7))*VLOOKUP(P75,'MunicípiosEstados'!$AM$2:$AN$498,2,FALSE),
  O75="Rio de Janeiro",((W75*0.15)+(X75*0.7))*VLOOKUP(P75,'MunicípiosEstados'!$AO$2:$AP$93,2,FALSE),
  O75="Rondônia",((W75*0.15)+(X75*0.7))*VLOOKUP(P75,'MunicípiosEstados'!$AQ$2:$AR$53,2,FALSE),
  O75="Roraima",((W75*0.15)+(X75*0.7))*VLOOKUP(P75,'MunicípiosEstados'!$AS$2:$AT$16,2,FALSE),
  O75="Santa Catarina",((W75*0.15)+(X75*0.7))*VLOOKUP(P75,'MunicípiosEstados'!$AU$2:$AV$296,2,FALSE),
  O75="São Paulo",((W75*0.15)+(X75*0.7))*VLOOKUP(P75,'MunicípiosEstados'!$AW$2:$AX$646,2,FALSE),
  O75="Sergipe",((W75*0.15)+(X75*0.7))*VLOOKUP(P75,'MunicípiosEstados'!$AY$2:$AZ$76,2,FALSE),
  O75="Tocantins",((W75*0.15)+(X75*0.7))*VLOOKUP(P75,'MunicípiosEstados'!$BA$2:$BB$140,2,FALSE),
  O75="Exterior",((W75*0.15)+(X75*0.7))*VLOOKUP(P75,'MunicípiosEstados'!$BC$2:$BE$221,3,FALSE),TRUE,0
)
</f>
        <v>5811</v>
      </c>
      <c r="AL75" s="25">
        <f t="shared" si="3"/>
        <v>6231</v>
      </c>
    </row>
    <row r="76" ht="22.5" hidden="1" customHeight="1">
      <c r="A76" s="15">
        <f t="shared" si="1"/>
        <v>75</v>
      </c>
      <c r="B76" s="16">
        <v>45980.37535259259</v>
      </c>
      <c r="C76" s="17" t="s">
        <v>866</v>
      </c>
      <c r="D76" s="27" t="s">
        <v>443</v>
      </c>
      <c r="E76" s="15" t="str">
        <f>VLOOKUP(G76,DiretoriaDepart.Coord.!$A$1:$C$72,2,FALSE)</f>
        <v>Gestão Institucional</v>
      </c>
      <c r="F76" s="15" t="str">
        <f>VLOOKUP(G76,DiretoriaDepart.Coord.!$A$1:$C$72,3,FALSE)</f>
        <v>Recursos Humanos</v>
      </c>
      <c r="G76" s="17" t="s">
        <v>867</v>
      </c>
      <c r="H76" s="15"/>
      <c r="I76" s="19" t="s">
        <v>868</v>
      </c>
      <c r="J76" s="17" t="s">
        <v>728</v>
      </c>
      <c r="K76" s="17">
        <v>35.0</v>
      </c>
      <c r="L76" s="15"/>
      <c r="M76" s="17" t="s">
        <v>461</v>
      </c>
      <c r="N76" s="17">
        <v>0.0</v>
      </c>
      <c r="O76" s="17" t="s">
        <v>714</v>
      </c>
      <c r="P76" s="17" t="s">
        <v>14</v>
      </c>
      <c r="Q76" s="38">
        <v>45719.333333333336</v>
      </c>
      <c r="R76" s="38">
        <v>45720.708333333336</v>
      </c>
      <c r="S76" s="19" t="s">
        <v>451</v>
      </c>
      <c r="T76" s="19" t="s">
        <v>452</v>
      </c>
      <c r="U76" s="30" t="s">
        <v>869</v>
      </c>
      <c r="V76" s="30" t="s">
        <v>870</v>
      </c>
      <c r="W76" s="22">
        <v>142.0</v>
      </c>
      <c r="X76" s="22">
        <v>68.0</v>
      </c>
      <c r="Y76" s="23">
        <v>0.0</v>
      </c>
      <c r="Z76" s="23">
        <v>0.0</v>
      </c>
      <c r="AA76" s="24">
        <v>0.0</v>
      </c>
      <c r="AB76" s="24">
        <v>0.0</v>
      </c>
      <c r="AC76" s="24">
        <v>0.0</v>
      </c>
      <c r="AD76" s="23">
        <v>0.0</v>
      </c>
      <c r="AE76" s="24">
        <v>0.0</v>
      </c>
      <c r="AF76" s="17" t="s">
        <v>464</v>
      </c>
      <c r="AG76" s="17">
        <v>2109.0</v>
      </c>
      <c r="AH76" s="17" t="s">
        <v>464</v>
      </c>
      <c r="AI76" s="25">
        <f>IF(AF76="Sim",INT((R76-Q76+1))*K76*VLOOKUP(P76,'Tabelas Auxiliares'!$A$1:$C$400,3,FALSE),0)</f>
        <v>1584.8</v>
      </c>
      <c r="AJ76" s="25">
        <f t="shared" si="2"/>
        <v>1476.3</v>
      </c>
      <c r="AK76" s="25">
        <f>IFS(
  O76="Acre",((W76*0.15)+(X76*0.7))*VLOOKUP(P76,'MunicípiosEstados'!$A$2:$B$23,2,FALSE),
  O76="Alagoas",((W76*0.15)+(X76*0.7))*VLOOKUP(P76,'MunicípiosEstados'!$C$2:$D$103,2,FALSE),
  O76="Amapá",((W76*0.15)+(X76*0.7))*VLOOKUP(P76,'MunicípiosEstados'!$E$2:$F$17,2,FALSE),
  O76="Amazonas",((W76*0.15)+(X76*0.7))*VLOOKUP(P76,'MunicípiosEstados'!$G$2:$H$63,2,FALSE),
  O76="Bahia",((W76*0.15)+(X76*0.7))*VLOOKUP(P76,'MunicípiosEstados'!$I$2:$J$418,2,FALSE),
  O76="Ceará",((W76*0.15)+(X76*0.7))*VLOOKUP(P76,'MunicípiosEstados'!$K$2:$L$185,2,FALSE),
  O76="Distrito Federal",((W76*0.15)+(X76*0.7))*VLOOKUP(P76,'MunicípiosEstados'!$M$2:$N$2,2,FALSE),
  O76="Espírito Santo",((W76*0.15)+(X76*0.7))*VLOOKUP(P76,'MunicípiosEstados'!$O$2:$P$79,2,FALSE),
  O76="Goiás",((W76*0.15)+(X76*0.7))*VLOOKUP(P76,'MunicípiosEstados'!$Q$2:$R$247,2,FALSE),
  O76="Maranhão",((W76*0.15)+(X76*0.7))*VLOOKUP(P76,'MunicípiosEstados'!$S$2:$T$218,2,FALSE),
  O76="Mato Grosso",((W76*0.15)+(X76*0.7))*VLOOKUP(P76,'MunicípiosEstados'!$U$2:$V$143,2,FALSE),
  O76="Mato Grosso do Sul",((W76*0.15)+(X76*0.7))*VLOOKUP(P76,'MunicípiosEstados'!$W$2:$X$80,2,FALSE),
  O76="Minas Gerais",((W76*0.15)+(X76*0.7))*VLOOKUP(P76,'MunicípiosEstados'!$Y$2:$Z$854,2,FALSE),
  O76="Pará",((W76*0.15)+(X76*0.7))*VLOOKUP(P76,'MunicípiosEstados'!$AA$2:$AB$145,2,FALSE),
  O76="Paraíba",((W76*0.15)+(X76*0.7))*VLOOKUP(P76,'MunicípiosEstados'!$AC$2:$AD$224,2,FALSE),
  O76="Paraná",((W76*0.15)+(X76*0.7))*VLOOKUP(P76,'MunicípiosEstados'!$AE$2:$AF$400,2,FALSE),
  O76="Pernambuco",((W76*0.15)+(X76*0.7))*VLOOKUP(P76,'MunicípiosEstados'!$AG$2:$AH$186,2,FALSE),
  O76="Piauí",((W76*0.15)+(X76*0.7))*VLOOKUP(P76,'MunicípiosEstados'!$AI$2:$AJ$225,2,FALSE),
  O76="Rio Grande do Norte",((W76*0.15)+(X76*0.7))*VLOOKUP(P76,'MunicípiosEstados'!$AK$2:$AL$168,2,FALSE),
  O76="Rio Grande do Sul",((W76*0.15)+(X76*0.7))*VLOOKUP(P76,'MunicípiosEstados'!$AM$2:$AN$498,2,FALSE),
  O76="Rio de Janeiro",((W76*0.15)+(X76*0.7))*VLOOKUP(P76,'MunicípiosEstados'!$AO$2:$AP$93,2,FALSE),
  O76="Rondônia",((W76*0.15)+(X76*0.7))*VLOOKUP(P76,'MunicípiosEstados'!$AQ$2:$AR$53,2,FALSE),
  O76="Roraima",((W76*0.15)+(X76*0.7))*VLOOKUP(P76,'MunicípiosEstados'!$AS$2:$AT$16,2,FALSE),
  O76="Santa Catarina",((W76*0.15)+(X76*0.7))*VLOOKUP(P76,'MunicípiosEstados'!$AU$2:$AV$296,2,FALSE),
  O76="São Paulo",((W76*0.15)+(X76*0.7))*VLOOKUP(P76,'MunicípiosEstados'!$AW$2:$AX$646,2,FALSE),
  O76="Sergipe",((W76*0.15)+(X76*0.7))*VLOOKUP(P76,'MunicípiosEstados'!$AY$2:$AZ$76,2,FALSE),
  O76="Tocantins",((W76*0.15)+(X76*0.7))*VLOOKUP(P76,'MunicípiosEstados'!$BA$2:$BB$140,2,FALSE),
  O76="Exterior",((W76*0.15)+(X76*0.7))*VLOOKUP(P76,'MunicípiosEstados'!$BC$2:$BE$221,3,FALSE),TRUE,0
)
</f>
        <v>20018.895</v>
      </c>
      <c r="AL76" s="25">
        <f t="shared" si="3"/>
        <v>23079.995</v>
      </c>
    </row>
    <row r="77" ht="22.5" hidden="1" customHeight="1">
      <c r="A77" s="15">
        <f t="shared" si="1"/>
        <v>76</v>
      </c>
      <c r="B77" s="16">
        <v>45980.391069537036</v>
      </c>
      <c r="C77" s="17" t="s">
        <v>871</v>
      </c>
      <c r="D77" s="27" t="s">
        <v>443</v>
      </c>
      <c r="E77" s="15" t="str">
        <f>VLOOKUP(G77,DiretoriaDepart.Coord.!$A$1:$C$72,2,FALSE)</f>
        <v>Extensão Rural</v>
      </c>
      <c r="F77" s="15" t="str">
        <f>VLOOKUP(G77,DiretoriaDepart.Coord.!$A$1:$C$72,3,FALSE)</f>
        <v>Projetos e Cadeias Produtivas</v>
      </c>
      <c r="G77" s="17" t="s">
        <v>488</v>
      </c>
      <c r="H77" s="15"/>
      <c r="I77" s="17" t="s">
        <v>872</v>
      </c>
      <c r="J77" s="17" t="s">
        <v>728</v>
      </c>
      <c r="K77" s="17">
        <v>17.0</v>
      </c>
      <c r="L77" s="15"/>
      <c r="M77" s="17" t="s">
        <v>873</v>
      </c>
      <c r="N77" s="17">
        <v>0.0</v>
      </c>
      <c r="O77" s="17" t="s">
        <v>714</v>
      </c>
      <c r="P77" s="17" t="s">
        <v>88</v>
      </c>
      <c r="Q77" s="20">
        <v>45754.333333333336</v>
      </c>
      <c r="R77" s="20">
        <v>45755.625</v>
      </c>
      <c r="S77" s="17" t="s">
        <v>451</v>
      </c>
      <c r="T77" s="17" t="s">
        <v>452</v>
      </c>
      <c r="U77" s="30" t="s">
        <v>874</v>
      </c>
      <c r="V77" s="30" t="s">
        <v>875</v>
      </c>
      <c r="W77" s="22">
        <v>34.0</v>
      </c>
      <c r="X77" s="22">
        <v>0.0</v>
      </c>
      <c r="Y77" s="23">
        <v>0.0</v>
      </c>
      <c r="Z77" s="23">
        <v>0.0</v>
      </c>
      <c r="AA77" s="24">
        <v>0.0</v>
      </c>
      <c r="AB77" s="24">
        <v>0.0</v>
      </c>
      <c r="AC77" s="24">
        <v>0.0</v>
      </c>
      <c r="AD77" s="23">
        <v>0.0</v>
      </c>
      <c r="AE77" s="24">
        <v>0.0</v>
      </c>
      <c r="AF77" s="17" t="s">
        <v>464</v>
      </c>
      <c r="AG77" s="17">
        <v>1000.0</v>
      </c>
      <c r="AH77" s="17" t="s">
        <v>451</v>
      </c>
      <c r="AI77" s="25">
        <f>IF(AF77="Sim",INT((R77-Q77+1))*K77*VLOOKUP(P77,'Tabelas Auxiliares'!$A$1:$C$400,3,FALSE),0)</f>
        <v>733.72</v>
      </c>
      <c r="AJ77" s="25">
        <f t="shared" si="2"/>
        <v>700</v>
      </c>
      <c r="AK77" s="25">
        <f>IFS(
  O77="Acre",((W77*0.15)+(X77*0.7))*VLOOKUP(P77,'MunicípiosEstados'!$A$2:$B$23,2,FALSE),
  O77="Alagoas",((W77*0.15)+(X77*0.7))*VLOOKUP(P77,'MunicípiosEstados'!$C$2:$D$103,2,FALSE),
  O77="Amapá",((W77*0.15)+(X77*0.7))*VLOOKUP(P77,'MunicípiosEstados'!$E$2:$F$17,2,FALSE),
  O77="Amazonas",((W77*0.15)+(X77*0.7))*VLOOKUP(P77,'MunicípiosEstados'!$G$2:$H$63,2,FALSE),
  O77="Bahia",((W77*0.15)+(X77*0.7))*VLOOKUP(P77,'MunicípiosEstados'!$I$2:$J$418,2,FALSE),
  O77="Ceará",((W77*0.15)+(X77*0.7))*VLOOKUP(P77,'MunicípiosEstados'!$K$2:$L$185,2,FALSE),
  O77="Distrito Federal",((W77*0.15)+(X77*0.7))*VLOOKUP(P77,'MunicípiosEstados'!$M$2:$N$2,2,FALSE),
  O77="Espírito Santo",((W77*0.15)+(X77*0.7))*VLOOKUP(P77,'MunicípiosEstados'!$O$2:$P$79,2,FALSE),
  O77="Goiás",((W77*0.15)+(X77*0.7))*VLOOKUP(P77,'MunicípiosEstados'!$Q$2:$R$247,2,FALSE),
  O77="Maranhão",((W77*0.15)+(X77*0.7))*VLOOKUP(P77,'MunicípiosEstados'!$S$2:$T$218,2,FALSE),
  O77="Mato Grosso",((W77*0.15)+(X77*0.7))*VLOOKUP(P77,'MunicípiosEstados'!$U$2:$V$143,2,FALSE),
  O77="Mato Grosso do Sul",((W77*0.15)+(X77*0.7))*VLOOKUP(P77,'MunicípiosEstados'!$W$2:$X$80,2,FALSE),
  O77="Minas Gerais",((W77*0.15)+(X77*0.7))*VLOOKUP(P77,'MunicípiosEstados'!$Y$2:$Z$854,2,FALSE),
  O77="Pará",((W77*0.15)+(X77*0.7))*VLOOKUP(P77,'MunicípiosEstados'!$AA$2:$AB$145,2,FALSE),
  O77="Paraíba",((W77*0.15)+(X77*0.7))*VLOOKUP(P77,'MunicípiosEstados'!$AC$2:$AD$224,2,FALSE),
  O77="Paraná",((W77*0.15)+(X77*0.7))*VLOOKUP(P77,'MunicípiosEstados'!$AE$2:$AF$400,2,FALSE),
  O77="Pernambuco",((W77*0.15)+(X77*0.7))*VLOOKUP(P77,'MunicípiosEstados'!$AG$2:$AH$186,2,FALSE),
  O77="Piauí",((W77*0.15)+(X77*0.7))*VLOOKUP(P77,'MunicípiosEstados'!$AI$2:$AJ$225,2,FALSE),
  O77="Rio Grande do Norte",((W77*0.15)+(X77*0.7))*VLOOKUP(P77,'MunicípiosEstados'!$AK$2:$AL$168,2,FALSE),
  O77="Rio Grande do Sul",((W77*0.15)+(X77*0.7))*VLOOKUP(P77,'MunicípiosEstados'!$AM$2:$AN$498,2,FALSE),
  O77="Rio de Janeiro",((W77*0.15)+(X77*0.7))*VLOOKUP(P77,'MunicípiosEstados'!$AO$2:$AP$93,2,FALSE),
  O77="Rondônia",((W77*0.15)+(X77*0.7))*VLOOKUP(P77,'MunicípiosEstados'!$AQ$2:$AR$53,2,FALSE),
  O77="Roraima",((W77*0.15)+(X77*0.7))*VLOOKUP(P77,'MunicípiosEstados'!$AS$2:$AT$16,2,FALSE),
  O77="Santa Catarina",((W77*0.15)+(X77*0.7))*VLOOKUP(P77,'MunicípiosEstados'!$AU$2:$AV$296,2,FALSE),
  O77="São Paulo",((W77*0.15)+(X77*0.7))*VLOOKUP(P77,'MunicípiosEstados'!$AW$2:$AX$646,2,FALSE),
  O77="Sergipe",((W77*0.15)+(X77*0.7))*VLOOKUP(P77,'MunicípiosEstados'!$AY$2:$AZ$76,2,FALSE),
  O77="Tocantins",((W77*0.15)+(X77*0.7))*VLOOKUP(P77,'MunicípiosEstados'!$BA$2:$BB$140,2,FALSE),
  O77="Exterior",((W77*0.15)+(X77*0.7))*VLOOKUP(P77,'MunicípiosEstados'!$BC$2:$BE$221,3,FALSE),TRUE,0
)
</f>
        <v>1481.805</v>
      </c>
      <c r="AL77" s="25">
        <f t="shared" si="3"/>
        <v>2915.525</v>
      </c>
    </row>
    <row r="78" ht="22.5" hidden="1" customHeight="1">
      <c r="A78" s="15">
        <f t="shared" si="1"/>
        <v>77</v>
      </c>
      <c r="B78" s="16">
        <v>45980.39752100695</v>
      </c>
      <c r="C78" s="17" t="s">
        <v>871</v>
      </c>
      <c r="D78" s="27" t="s">
        <v>443</v>
      </c>
      <c r="E78" s="15" t="str">
        <f>VLOOKUP(G78,DiretoriaDepart.Coord.!$A$1:$C$72,2,FALSE)</f>
        <v>Extensão Rural</v>
      </c>
      <c r="F78" s="15" t="str">
        <f>VLOOKUP(G78,DiretoriaDepart.Coord.!$A$1:$C$72,3,FALSE)</f>
        <v>Projetos e Cadeias Produtivas</v>
      </c>
      <c r="G78" s="17" t="s">
        <v>488</v>
      </c>
      <c r="H78" s="15"/>
      <c r="I78" s="17" t="s">
        <v>876</v>
      </c>
      <c r="J78" s="17" t="s">
        <v>728</v>
      </c>
      <c r="K78" s="17">
        <v>17.0</v>
      </c>
      <c r="L78" s="15"/>
      <c r="M78" s="17" t="s">
        <v>877</v>
      </c>
      <c r="N78" s="17">
        <v>0.0</v>
      </c>
      <c r="O78" s="17" t="s">
        <v>714</v>
      </c>
      <c r="P78" s="17" t="s">
        <v>49</v>
      </c>
      <c r="Q78" s="20">
        <v>45782.333333333336</v>
      </c>
      <c r="R78" s="20">
        <v>45783.625</v>
      </c>
      <c r="S78" s="17" t="s">
        <v>451</v>
      </c>
      <c r="T78" s="17" t="s">
        <v>452</v>
      </c>
      <c r="U78" s="30" t="s">
        <v>878</v>
      </c>
      <c r="V78" s="30" t="s">
        <v>879</v>
      </c>
      <c r="W78" s="22">
        <v>34.0</v>
      </c>
      <c r="X78" s="22">
        <v>0.0</v>
      </c>
      <c r="Y78" s="23">
        <v>0.0</v>
      </c>
      <c r="Z78" s="23">
        <v>0.0</v>
      </c>
      <c r="AA78" s="24">
        <v>0.0</v>
      </c>
      <c r="AB78" s="24">
        <v>0.0</v>
      </c>
      <c r="AC78" s="24">
        <v>0.0</v>
      </c>
      <c r="AD78" s="23">
        <v>0.0</v>
      </c>
      <c r="AE78" s="24">
        <v>0.0</v>
      </c>
      <c r="AF78" s="17" t="s">
        <v>464</v>
      </c>
      <c r="AG78" s="17">
        <v>1200.0</v>
      </c>
      <c r="AH78" s="17" t="s">
        <v>451</v>
      </c>
      <c r="AI78" s="25">
        <f>IF(AF78="Sim",INT((R78-Q78+1))*K78*VLOOKUP(P78,'Tabelas Auxiliares'!$A$1:$C$400,3,FALSE),0)</f>
        <v>733.72</v>
      </c>
      <c r="AJ78" s="25">
        <f t="shared" si="2"/>
        <v>840</v>
      </c>
      <c r="AK78" s="25">
        <f>IFS(
  O78="Acre",((W78*0.15)+(X78*0.7))*VLOOKUP(P78,'MunicípiosEstados'!$A$2:$B$23,2,FALSE),
  O78="Alagoas",((W78*0.15)+(X78*0.7))*VLOOKUP(P78,'MunicípiosEstados'!$C$2:$D$103,2,FALSE),
  O78="Amapá",((W78*0.15)+(X78*0.7))*VLOOKUP(P78,'MunicípiosEstados'!$E$2:$F$17,2,FALSE),
  O78="Amazonas",((W78*0.15)+(X78*0.7))*VLOOKUP(P78,'MunicípiosEstados'!$G$2:$H$63,2,FALSE),
  O78="Bahia",((W78*0.15)+(X78*0.7))*VLOOKUP(P78,'MunicípiosEstados'!$I$2:$J$418,2,FALSE),
  O78="Ceará",((W78*0.15)+(X78*0.7))*VLOOKUP(P78,'MunicípiosEstados'!$K$2:$L$185,2,FALSE),
  O78="Distrito Federal",((W78*0.15)+(X78*0.7))*VLOOKUP(P78,'MunicípiosEstados'!$M$2:$N$2,2,FALSE),
  O78="Espírito Santo",((W78*0.15)+(X78*0.7))*VLOOKUP(P78,'MunicípiosEstados'!$O$2:$P$79,2,FALSE),
  O78="Goiás",((W78*0.15)+(X78*0.7))*VLOOKUP(P78,'MunicípiosEstados'!$Q$2:$R$247,2,FALSE),
  O78="Maranhão",((W78*0.15)+(X78*0.7))*VLOOKUP(P78,'MunicípiosEstados'!$S$2:$T$218,2,FALSE),
  O78="Mato Grosso",((W78*0.15)+(X78*0.7))*VLOOKUP(P78,'MunicípiosEstados'!$U$2:$V$143,2,FALSE),
  O78="Mato Grosso do Sul",((W78*0.15)+(X78*0.7))*VLOOKUP(P78,'MunicípiosEstados'!$W$2:$X$80,2,FALSE),
  O78="Minas Gerais",((W78*0.15)+(X78*0.7))*VLOOKUP(P78,'MunicípiosEstados'!$Y$2:$Z$854,2,FALSE),
  O78="Pará",((W78*0.15)+(X78*0.7))*VLOOKUP(P78,'MunicípiosEstados'!$AA$2:$AB$145,2,FALSE),
  O78="Paraíba",((W78*0.15)+(X78*0.7))*VLOOKUP(P78,'MunicípiosEstados'!$AC$2:$AD$224,2,FALSE),
  O78="Paraná",((W78*0.15)+(X78*0.7))*VLOOKUP(P78,'MunicípiosEstados'!$AE$2:$AF$400,2,FALSE),
  O78="Pernambuco",((W78*0.15)+(X78*0.7))*VLOOKUP(P78,'MunicípiosEstados'!$AG$2:$AH$186,2,FALSE),
  O78="Piauí",((W78*0.15)+(X78*0.7))*VLOOKUP(P78,'MunicípiosEstados'!$AI$2:$AJ$225,2,FALSE),
  O78="Rio Grande do Norte",((W78*0.15)+(X78*0.7))*VLOOKUP(P78,'MunicípiosEstados'!$AK$2:$AL$168,2,FALSE),
  O78="Rio Grande do Sul",((W78*0.15)+(X78*0.7))*VLOOKUP(P78,'MunicípiosEstados'!$AM$2:$AN$498,2,FALSE),
  O78="Rio de Janeiro",((W78*0.15)+(X78*0.7))*VLOOKUP(P78,'MunicípiosEstados'!$AO$2:$AP$93,2,FALSE),
  O78="Rondônia",((W78*0.15)+(X78*0.7))*VLOOKUP(P78,'MunicípiosEstados'!$AQ$2:$AR$53,2,FALSE),
  O78="Roraima",((W78*0.15)+(X78*0.7))*VLOOKUP(P78,'MunicípiosEstados'!$AS$2:$AT$16,2,FALSE),
  O78="Santa Catarina",((W78*0.15)+(X78*0.7))*VLOOKUP(P78,'MunicípiosEstados'!$AU$2:$AV$296,2,FALSE),
  O78="São Paulo",((W78*0.15)+(X78*0.7))*VLOOKUP(P78,'MunicípiosEstados'!$AW$2:$AX$646,2,FALSE),
  O78="Sergipe",((W78*0.15)+(X78*0.7))*VLOOKUP(P78,'MunicípiosEstados'!$AY$2:$AZ$76,2,FALSE),
  O78="Tocantins",((W78*0.15)+(X78*0.7))*VLOOKUP(P78,'MunicípiosEstados'!$BA$2:$BB$140,2,FALSE),
  O78="Exterior",((W78*0.15)+(X78*0.7))*VLOOKUP(P78,'MunicípiosEstados'!$BC$2:$BE$221,3,FALSE),TRUE,0
)
</f>
        <v>1481.805</v>
      </c>
      <c r="AL78" s="25">
        <f t="shared" si="3"/>
        <v>3055.525</v>
      </c>
    </row>
    <row r="79" ht="22.5" hidden="1" customHeight="1">
      <c r="A79" s="15">
        <f t="shared" si="1"/>
        <v>78</v>
      </c>
      <c r="B79" s="16">
        <v>45980.57837559028</v>
      </c>
      <c r="C79" s="17" t="s">
        <v>880</v>
      </c>
      <c r="D79" s="27" t="s">
        <v>443</v>
      </c>
      <c r="E79" s="15" t="str">
        <f>VLOOKUP(G79,DiretoriaDepart.Coord.!$A$1:$C$72,2,FALSE)</f>
        <v>Gestão Institucional</v>
      </c>
      <c r="F79" s="15" t="str">
        <f>VLOOKUP(G79,DiretoriaDepart.Coord.!$A$1:$C$72,3,FALSE)</f>
        <v>Administração</v>
      </c>
      <c r="G79" s="17" t="s">
        <v>881</v>
      </c>
      <c r="H79" s="15"/>
      <c r="I79" s="17" t="s">
        <v>882</v>
      </c>
      <c r="J79" s="17" t="s">
        <v>883</v>
      </c>
      <c r="K79" s="17">
        <v>10.0</v>
      </c>
      <c r="L79" s="15"/>
      <c r="M79" s="17" t="s">
        <v>884</v>
      </c>
      <c r="N79" s="17">
        <v>0.0</v>
      </c>
      <c r="O79" s="17" t="s">
        <v>714</v>
      </c>
      <c r="P79" s="17" t="s">
        <v>18</v>
      </c>
      <c r="Q79" s="20">
        <v>45757.541666666664</v>
      </c>
      <c r="R79" s="20">
        <v>45757.708333333336</v>
      </c>
      <c r="S79" s="17" t="s">
        <v>451</v>
      </c>
      <c r="T79" s="17" t="s">
        <v>452</v>
      </c>
      <c r="U79" s="30" t="s">
        <v>885</v>
      </c>
      <c r="V79" s="30" t="s">
        <v>886</v>
      </c>
      <c r="W79" s="22">
        <v>8.0</v>
      </c>
      <c r="X79" s="22">
        <v>0.0</v>
      </c>
      <c r="Y79" s="23">
        <v>0.0</v>
      </c>
      <c r="Z79" s="23">
        <v>0.0</v>
      </c>
      <c r="AA79" s="24">
        <v>0.0</v>
      </c>
      <c r="AB79" s="24">
        <v>0.0</v>
      </c>
      <c r="AC79" s="24">
        <v>0.0</v>
      </c>
      <c r="AD79" s="23">
        <v>0.0</v>
      </c>
      <c r="AE79" s="24">
        <v>0.0</v>
      </c>
      <c r="AF79" s="17" t="s">
        <v>464</v>
      </c>
      <c r="AG79" s="17">
        <v>910.0</v>
      </c>
      <c r="AH79" s="17" t="s">
        <v>451</v>
      </c>
      <c r="AI79" s="25">
        <f>IF(AF79="Sim",INT((R79-Q79+1))*K79*VLOOKUP(P79,'Tabelas Auxiliares'!$A$1:$C$400,3,FALSE),0)</f>
        <v>226.4</v>
      </c>
      <c r="AJ79" s="25">
        <f t="shared" si="2"/>
        <v>637</v>
      </c>
      <c r="AK79" s="25">
        <f>IFS(
  O79="Acre",((W79*0.15)+(X79*0.7))*VLOOKUP(P79,'MunicípiosEstados'!$A$2:$B$23,2,FALSE),
  O79="Alagoas",((W79*0.15)+(X79*0.7))*VLOOKUP(P79,'MunicípiosEstados'!$C$2:$D$103,2,FALSE),
  O79="Amapá",((W79*0.15)+(X79*0.7))*VLOOKUP(P79,'MunicípiosEstados'!$E$2:$F$17,2,FALSE),
  O79="Amazonas",((W79*0.15)+(X79*0.7))*VLOOKUP(P79,'MunicípiosEstados'!$G$2:$H$63,2,FALSE),
  O79="Bahia",((W79*0.15)+(X79*0.7))*VLOOKUP(P79,'MunicípiosEstados'!$I$2:$J$418,2,FALSE),
  O79="Ceará",((W79*0.15)+(X79*0.7))*VLOOKUP(P79,'MunicípiosEstados'!$K$2:$L$185,2,FALSE),
  O79="Distrito Federal",((W79*0.15)+(X79*0.7))*VLOOKUP(P79,'MunicípiosEstados'!$M$2:$N$2,2,FALSE),
  O79="Espírito Santo",((W79*0.15)+(X79*0.7))*VLOOKUP(P79,'MunicípiosEstados'!$O$2:$P$79,2,FALSE),
  O79="Goiás",((W79*0.15)+(X79*0.7))*VLOOKUP(P79,'MunicípiosEstados'!$Q$2:$R$247,2,FALSE),
  O79="Maranhão",((W79*0.15)+(X79*0.7))*VLOOKUP(P79,'MunicípiosEstados'!$S$2:$T$218,2,FALSE),
  O79="Mato Grosso",((W79*0.15)+(X79*0.7))*VLOOKUP(P79,'MunicípiosEstados'!$U$2:$V$143,2,FALSE),
  O79="Mato Grosso do Sul",((W79*0.15)+(X79*0.7))*VLOOKUP(P79,'MunicípiosEstados'!$W$2:$X$80,2,FALSE),
  O79="Minas Gerais",((W79*0.15)+(X79*0.7))*VLOOKUP(P79,'MunicípiosEstados'!$Y$2:$Z$854,2,FALSE),
  O79="Pará",((W79*0.15)+(X79*0.7))*VLOOKUP(P79,'MunicípiosEstados'!$AA$2:$AB$145,2,FALSE),
  O79="Paraíba",((W79*0.15)+(X79*0.7))*VLOOKUP(P79,'MunicípiosEstados'!$AC$2:$AD$224,2,FALSE),
  O79="Paraná",((W79*0.15)+(X79*0.7))*VLOOKUP(P79,'MunicípiosEstados'!$AE$2:$AF$400,2,FALSE),
  O79="Pernambuco",((W79*0.15)+(X79*0.7))*VLOOKUP(P79,'MunicípiosEstados'!$AG$2:$AH$186,2,FALSE),
  O79="Piauí",((W79*0.15)+(X79*0.7))*VLOOKUP(P79,'MunicípiosEstados'!$AI$2:$AJ$225,2,FALSE),
  O79="Rio Grande do Norte",((W79*0.15)+(X79*0.7))*VLOOKUP(P79,'MunicípiosEstados'!$AK$2:$AL$168,2,FALSE),
  O79="Rio Grande do Sul",((W79*0.15)+(X79*0.7))*VLOOKUP(P79,'MunicípiosEstados'!$AM$2:$AN$498,2,FALSE),
  O79="Rio de Janeiro",((W79*0.15)+(X79*0.7))*VLOOKUP(P79,'MunicípiosEstados'!$AO$2:$AP$93,2,FALSE),
  O79="Rondônia",((W79*0.15)+(X79*0.7))*VLOOKUP(P79,'MunicípiosEstados'!$AQ$2:$AR$53,2,FALSE),
  O79="Roraima",((W79*0.15)+(X79*0.7))*VLOOKUP(P79,'MunicípiosEstados'!$AS$2:$AT$16,2,FALSE),
  O79="Santa Catarina",((W79*0.15)+(X79*0.7))*VLOOKUP(P79,'MunicípiosEstados'!$AU$2:$AV$296,2,FALSE),
  O79="São Paulo",((W79*0.15)+(X79*0.7))*VLOOKUP(P79,'MunicípiosEstados'!$AW$2:$AX$646,2,FALSE),
  O79="Sergipe",((W79*0.15)+(X79*0.7))*VLOOKUP(P79,'MunicípiosEstados'!$AY$2:$AZ$76,2,FALSE),
  O79="Tocantins",((W79*0.15)+(X79*0.7))*VLOOKUP(P79,'MunicípiosEstados'!$BA$2:$BB$140,2,FALSE),
  O79="Exterior",((W79*0.15)+(X79*0.7))*VLOOKUP(P79,'MunicípiosEstados'!$BC$2:$BE$221,3,FALSE),TRUE,0
)
</f>
        <v>348.66</v>
      </c>
      <c r="AL79" s="25">
        <f t="shared" si="3"/>
        <v>1212.06</v>
      </c>
    </row>
    <row r="80" ht="22.5" hidden="1" customHeight="1">
      <c r="A80" s="15">
        <f t="shared" si="1"/>
        <v>79</v>
      </c>
      <c r="B80" s="16">
        <v>45980.61228</v>
      </c>
      <c r="C80" s="17" t="s">
        <v>887</v>
      </c>
      <c r="D80" s="27" t="s">
        <v>443</v>
      </c>
      <c r="E80" s="15" t="str">
        <f>VLOOKUP(G80,DiretoriaDepart.Coord.!$A$1:$C$72,2,FALSE)</f>
        <v>Extensão Rural</v>
      </c>
      <c r="F80" s="15" t="str">
        <f>VLOOKUP(G80,DiretoriaDepart.Coord.!$A$1:$C$72,3,FALSE)</f>
        <v>Políticas Públicas</v>
      </c>
      <c r="G80" s="17" t="s">
        <v>888</v>
      </c>
      <c r="H80" s="15"/>
      <c r="I80" s="17" t="s">
        <v>889</v>
      </c>
      <c r="J80" s="17" t="s">
        <v>719</v>
      </c>
      <c r="K80" s="17">
        <v>30.0</v>
      </c>
      <c r="L80" s="15"/>
      <c r="M80" s="17" t="s">
        <v>890</v>
      </c>
      <c r="N80" s="17">
        <v>10.0</v>
      </c>
      <c r="O80" s="17" t="s">
        <v>714</v>
      </c>
      <c r="P80" s="17" t="s">
        <v>6</v>
      </c>
      <c r="Q80" s="20">
        <v>45740.333333333336</v>
      </c>
      <c r="R80" s="20">
        <v>45742.708333333336</v>
      </c>
      <c r="S80" s="17" t="s">
        <v>451</v>
      </c>
      <c r="T80" s="17" t="s">
        <v>452</v>
      </c>
      <c r="U80" s="30" t="s">
        <v>891</v>
      </c>
      <c r="V80" s="30" t="s">
        <v>892</v>
      </c>
      <c r="W80" s="22">
        <v>224.0</v>
      </c>
      <c r="X80" s="22">
        <v>81.0</v>
      </c>
      <c r="Y80" s="23">
        <v>0.0</v>
      </c>
      <c r="Z80" s="23">
        <v>0.0</v>
      </c>
      <c r="AA80" s="24">
        <v>0.0</v>
      </c>
      <c r="AB80" s="24">
        <v>0.0</v>
      </c>
      <c r="AC80" s="24">
        <v>0.0</v>
      </c>
      <c r="AD80" s="23">
        <v>0.0</v>
      </c>
      <c r="AE80" s="24">
        <v>0.0</v>
      </c>
      <c r="AF80" s="17" t="s">
        <v>464</v>
      </c>
      <c r="AG80" s="17">
        <v>5650.0</v>
      </c>
      <c r="AH80" s="17" t="s">
        <v>451</v>
      </c>
      <c r="AI80" s="25">
        <f>IF(AF80="Sim",INT((R80-Q80+1))*K80*VLOOKUP(P80,'Tabelas Auxiliares'!$A$1:$C$400,3,FALSE),0)</f>
        <v>2037.6</v>
      </c>
      <c r="AJ80" s="25">
        <f t="shared" si="2"/>
        <v>3955</v>
      </c>
      <c r="AK80" s="25">
        <f>IFS(
  O80="Acre",((W80*0.15)+(X80*0.7))*VLOOKUP(P80,'MunicípiosEstados'!$A$2:$B$23,2,FALSE),
  O80="Alagoas",((W80*0.15)+(X80*0.7))*VLOOKUP(P80,'MunicípiosEstados'!$C$2:$D$103,2,FALSE),
  O80="Amapá",((W80*0.15)+(X80*0.7))*VLOOKUP(P80,'MunicípiosEstados'!$E$2:$F$17,2,FALSE),
  O80="Amazonas",((W80*0.15)+(X80*0.7))*VLOOKUP(P80,'MunicípiosEstados'!$G$2:$H$63,2,FALSE),
  O80="Bahia",((W80*0.15)+(X80*0.7))*VLOOKUP(P80,'MunicípiosEstados'!$I$2:$J$418,2,FALSE),
  O80="Ceará",((W80*0.15)+(X80*0.7))*VLOOKUP(P80,'MunicípiosEstados'!$K$2:$L$185,2,FALSE),
  O80="Distrito Federal",((W80*0.15)+(X80*0.7))*VLOOKUP(P80,'MunicípiosEstados'!$M$2:$N$2,2,FALSE),
  O80="Espírito Santo",((W80*0.15)+(X80*0.7))*VLOOKUP(P80,'MunicípiosEstados'!$O$2:$P$79,2,FALSE),
  O80="Goiás",((W80*0.15)+(X80*0.7))*VLOOKUP(P80,'MunicípiosEstados'!$Q$2:$R$247,2,FALSE),
  O80="Maranhão",((W80*0.15)+(X80*0.7))*VLOOKUP(P80,'MunicípiosEstados'!$S$2:$T$218,2,FALSE),
  O80="Mato Grosso",((W80*0.15)+(X80*0.7))*VLOOKUP(P80,'MunicípiosEstados'!$U$2:$V$143,2,FALSE),
  O80="Mato Grosso do Sul",((W80*0.15)+(X80*0.7))*VLOOKUP(P80,'MunicípiosEstados'!$W$2:$X$80,2,FALSE),
  O80="Minas Gerais",((W80*0.15)+(X80*0.7))*VLOOKUP(P80,'MunicípiosEstados'!$Y$2:$Z$854,2,FALSE),
  O80="Pará",((W80*0.15)+(X80*0.7))*VLOOKUP(P80,'MunicípiosEstados'!$AA$2:$AB$145,2,FALSE),
  O80="Paraíba",((W80*0.15)+(X80*0.7))*VLOOKUP(P80,'MunicípiosEstados'!$AC$2:$AD$224,2,FALSE),
  O80="Paraná",((W80*0.15)+(X80*0.7))*VLOOKUP(P80,'MunicípiosEstados'!$AE$2:$AF$400,2,FALSE),
  O80="Pernambuco",((W80*0.15)+(X80*0.7))*VLOOKUP(P80,'MunicípiosEstados'!$AG$2:$AH$186,2,FALSE),
  O80="Piauí",((W80*0.15)+(X80*0.7))*VLOOKUP(P80,'MunicípiosEstados'!$AI$2:$AJ$225,2,FALSE),
  O80="Rio Grande do Norte",((W80*0.15)+(X80*0.7))*VLOOKUP(P80,'MunicípiosEstados'!$AK$2:$AL$168,2,FALSE),
  O80="Rio Grande do Sul",((W80*0.15)+(X80*0.7))*VLOOKUP(P80,'MunicípiosEstados'!$AM$2:$AN$498,2,FALSE),
  O80="Rio de Janeiro",((W80*0.15)+(X80*0.7))*VLOOKUP(P80,'MunicípiosEstados'!$AO$2:$AP$93,2,FALSE),
  O80="Rondônia",((W80*0.15)+(X80*0.7))*VLOOKUP(P80,'MunicípiosEstados'!$AQ$2:$AR$53,2,FALSE),
  O80="Roraima",((W80*0.15)+(X80*0.7))*VLOOKUP(P80,'MunicípiosEstados'!$AS$2:$AT$16,2,FALSE),
  O80="Santa Catarina",((W80*0.15)+(X80*0.7))*VLOOKUP(P80,'MunicípiosEstados'!$AU$2:$AV$296,2,FALSE),
  O80="São Paulo",((W80*0.15)+(X80*0.7))*VLOOKUP(P80,'MunicípiosEstados'!$AW$2:$AX$646,2,FALSE),
  O80="Sergipe",((W80*0.15)+(X80*0.7))*VLOOKUP(P80,'MunicípiosEstados'!$AY$2:$AZ$76,2,FALSE),
  O80="Tocantins",((W80*0.15)+(X80*0.7))*VLOOKUP(P80,'MunicípiosEstados'!$BA$2:$BB$140,2,FALSE),
  O80="Exterior",((W80*0.15)+(X80*0.7))*VLOOKUP(P80,'MunicípiosEstados'!$BC$2:$BE$221,3,FALSE),TRUE,0
)
</f>
        <v>33524.778</v>
      </c>
      <c r="AL80" s="25">
        <f t="shared" si="3"/>
        <v>39517.378</v>
      </c>
    </row>
    <row r="81" ht="22.5" hidden="1" customHeight="1">
      <c r="A81" s="15">
        <f t="shared" si="1"/>
        <v>80</v>
      </c>
      <c r="B81" s="16">
        <v>45988.38955371528</v>
      </c>
      <c r="C81" s="17" t="s">
        <v>661</v>
      </c>
      <c r="D81" s="27" t="s">
        <v>443</v>
      </c>
      <c r="E81" s="15" t="str">
        <f>VLOOKUP(G81,DiretoriaDepart.Coord.!$A$1:$C$72,2,FALSE)</f>
        <v>Extensão Rural</v>
      </c>
      <c r="F81" s="15" t="str">
        <f>VLOOKUP(G81,DiretoriaDepart.Coord.!$A$1:$C$72,3,FALSE)</f>
        <v>Projetos e Cadeias Produtivas</v>
      </c>
      <c r="G81" s="17" t="s">
        <v>662</v>
      </c>
      <c r="H81" s="15"/>
      <c r="I81" s="17" t="s">
        <v>893</v>
      </c>
      <c r="J81" s="17" t="s">
        <v>728</v>
      </c>
      <c r="K81" s="17">
        <v>2.0</v>
      </c>
      <c r="L81" s="17" t="s">
        <v>894</v>
      </c>
      <c r="M81" s="17" t="s">
        <v>895</v>
      </c>
      <c r="N81" s="17">
        <v>15.0</v>
      </c>
      <c r="O81" s="17" t="s">
        <v>714</v>
      </c>
      <c r="P81" s="17" t="s">
        <v>18</v>
      </c>
      <c r="Q81" s="20">
        <v>45690.333333333336</v>
      </c>
      <c r="R81" s="20">
        <v>45701.75</v>
      </c>
      <c r="S81" s="17" t="s">
        <v>451</v>
      </c>
      <c r="T81" s="17" t="s">
        <v>452</v>
      </c>
      <c r="U81" s="30" t="s">
        <v>896</v>
      </c>
      <c r="V81" s="30" t="s">
        <v>897</v>
      </c>
      <c r="W81" s="22">
        <v>44.0</v>
      </c>
      <c r="X81" s="22">
        <v>18.0</v>
      </c>
      <c r="Y81" s="23">
        <v>0.0</v>
      </c>
      <c r="Z81" s="23">
        <v>0.0</v>
      </c>
      <c r="AA81" s="24">
        <v>0.0</v>
      </c>
      <c r="AB81" s="24">
        <v>0.0</v>
      </c>
      <c r="AC81" s="24">
        <v>0.0</v>
      </c>
      <c r="AD81" s="23">
        <v>0.0</v>
      </c>
      <c r="AE81" s="24">
        <v>0.0</v>
      </c>
      <c r="AF81" s="17" t="s">
        <v>451</v>
      </c>
      <c r="AG81" s="17">
        <v>500.0</v>
      </c>
      <c r="AH81" s="17" t="s">
        <v>464</v>
      </c>
      <c r="AI81" s="25">
        <f>IF(AF81="Sim",INT((R81-Q81+1))*K81*VLOOKUP(P81,'Tabelas Auxiliares'!$A$1:$C$400,3,FALSE),0)</f>
        <v>0</v>
      </c>
      <c r="AJ81" s="25">
        <f t="shared" si="2"/>
        <v>350</v>
      </c>
      <c r="AK81" s="25">
        <f>IFS(
  O81="Acre",((W81*0.15)+(X81*0.7))*VLOOKUP(P81,'MunicípiosEstados'!$A$2:$B$23,2,FALSE),
  O81="Alagoas",((W81*0.15)+(X81*0.7))*VLOOKUP(P81,'MunicípiosEstados'!$C$2:$D$103,2,FALSE),
  O81="Amapá",((W81*0.15)+(X81*0.7))*VLOOKUP(P81,'MunicípiosEstados'!$E$2:$F$17,2,FALSE),
  O81="Amazonas",((W81*0.15)+(X81*0.7))*VLOOKUP(P81,'MunicípiosEstados'!$G$2:$H$63,2,FALSE),
  O81="Bahia",((W81*0.15)+(X81*0.7))*VLOOKUP(P81,'MunicípiosEstados'!$I$2:$J$418,2,FALSE),
  O81="Ceará",((W81*0.15)+(X81*0.7))*VLOOKUP(P81,'MunicípiosEstados'!$K$2:$L$185,2,FALSE),
  O81="Distrito Federal",((W81*0.15)+(X81*0.7))*VLOOKUP(P81,'MunicípiosEstados'!$M$2:$N$2,2,FALSE),
  O81="Espírito Santo",((W81*0.15)+(X81*0.7))*VLOOKUP(P81,'MunicípiosEstados'!$O$2:$P$79,2,FALSE),
  O81="Goiás",((W81*0.15)+(X81*0.7))*VLOOKUP(P81,'MunicípiosEstados'!$Q$2:$R$247,2,FALSE),
  O81="Maranhão",((W81*0.15)+(X81*0.7))*VLOOKUP(P81,'MunicípiosEstados'!$S$2:$T$218,2,FALSE),
  O81="Mato Grosso",((W81*0.15)+(X81*0.7))*VLOOKUP(P81,'MunicípiosEstados'!$U$2:$V$143,2,FALSE),
  O81="Mato Grosso do Sul",((W81*0.15)+(X81*0.7))*VLOOKUP(P81,'MunicípiosEstados'!$W$2:$X$80,2,FALSE),
  O81="Minas Gerais",((W81*0.15)+(X81*0.7))*VLOOKUP(P81,'MunicípiosEstados'!$Y$2:$Z$854,2,FALSE),
  O81="Pará",((W81*0.15)+(X81*0.7))*VLOOKUP(P81,'MunicípiosEstados'!$AA$2:$AB$145,2,FALSE),
  O81="Paraíba",((W81*0.15)+(X81*0.7))*VLOOKUP(P81,'MunicípiosEstados'!$AC$2:$AD$224,2,FALSE),
  O81="Paraná",((W81*0.15)+(X81*0.7))*VLOOKUP(P81,'MunicípiosEstados'!$AE$2:$AF$400,2,FALSE),
  O81="Pernambuco",((W81*0.15)+(X81*0.7))*VLOOKUP(P81,'MunicípiosEstados'!$AG$2:$AH$186,2,FALSE),
  O81="Piauí",((W81*0.15)+(X81*0.7))*VLOOKUP(P81,'MunicípiosEstados'!$AI$2:$AJ$225,2,FALSE),
  O81="Rio Grande do Norte",((W81*0.15)+(X81*0.7))*VLOOKUP(P81,'MunicípiosEstados'!$AK$2:$AL$168,2,FALSE),
  O81="Rio Grande do Sul",((W81*0.15)+(X81*0.7))*VLOOKUP(P81,'MunicípiosEstados'!$AM$2:$AN$498,2,FALSE),
  O81="Rio de Janeiro",((W81*0.15)+(X81*0.7))*VLOOKUP(P81,'MunicípiosEstados'!$AO$2:$AP$93,2,FALSE),
  O81="Rondônia",((W81*0.15)+(X81*0.7))*VLOOKUP(P81,'MunicípiosEstados'!$AQ$2:$AR$53,2,FALSE),
  O81="Roraima",((W81*0.15)+(X81*0.7))*VLOOKUP(P81,'MunicípiosEstados'!$AS$2:$AT$16,2,FALSE),
  O81="Santa Catarina",((W81*0.15)+(X81*0.7))*VLOOKUP(P81,'MunicípiosEstados'!$AU$2:$AV$296,2,FALSE),
  O81="São Paulo",((W81*0.15)+(X81*0.7))*VLOOKUP(P81,'MunicípiosEstados'!$AW$2:$AX$646,2,FALSE),
  O81="Sergipe",((W81*0.15)+(X81*0.7))*VLOOKUP(P81,'MunicípiosEstados'!$AY$2:$AZ$76,2,FALSE),
  O81="Tocantins",((W81*0.15)+(X81*0.7))*VLOOKUP(P81,'MunicípiosEstados'!$BA$2:$BB$140,2,FALSE),
  O81="Exterior",((W81*0.15)+(X81*0.7))*VLOOKUP(P81,'MunicípiosEstados'!$BC$2:$BE$221,3,FALSE),TRUE,0
)
</f>
        <v>5578.56</v>
      </c>
      <c r="AL81" s="25">
        <f t="shared" si="3"/>
        <v>5928.56</v>
      </c>
    </row>
    <row r="82" ht="22.5" hidden="1" customHeight="1">
      <c r="A82" s="15">
        <f t="shared" si="1"/>
        <v>81</v>
      </c>
      <c r="B82" s="16">
        <v>45985.36857494213</v>
      </c>
      <c r="C82" s="17" t="s">
        <v>898</v>
      </c>
      <c r="D82" s="27" t="s">
        <v>443</v>
      </c>
      <c r="E82" s="15" t="str">
        <f>VLOOKUP(G82,DiretoriaDepart.Coord.!$A$1:$C$72,2,FALSE)</f>
        <v>Pesquisa e Inovação</v>
      </c>
      <c r="F82" s="15" t="str">
        <f>VLOOKUP(G82,DiretoriaDepart.Coord.!$A$1:$C$72,3,FALSE)</f>
        <v>Inovação e Comunicação Científica</v>
      </c>
      <c r="G82" s="17" t="s">
        <v>753</v>
      </c>
      <c r="H82" s="15"/>
      <c r="I82" s="17" t="s">
        <v>899</v>
      </c>
      <c r="J82" s="17" t="s">
        <v>728</v>
      </c>
      <c r="K82" s="17">
        <v>1.0</v>
      </c>
      <c r="L82" s="15"/>
      <c r="M82" s="17" t="s">
        <v>900</v>
      </c>
      <c r="N82" s="17">
        <v>0.0</v>
      </c>
      <c r="O82" s="17" t="s">
        <v>714</v>
      </c>
      <c r="P82" s="17" t="s">
        <v>18</v>
      </c>
      <c r="Q82" s="20">
        <v>45717.75</v>
      </c>
      <c r="R82" s="20">
        <v>45748.75</v>
      </c>
      <c r="S82" s="17" t="s">
        <v>451</v>
      </c>
      <c r="T82" s="17" t="s">
        <v>452</v>
      </c>
      <c r="U82" s="30" t="s">
        <v>901</v>
      </c>
      <c r="V82" s="30" t="s">
        <v>902</v>
      </c>
      <c r="W82" s="22">
        <v>0.0</v>
      </c>
      <c r="X82" s="22">
        <v>0.0</v>
      </c>
      <c r="Y82" s="23">
        <v>950.0</v>
      </c>
      <c r="Z82" s="23">
        <v>0.0</v>
      </c>
      <c r="AA82" s="24">
        <v>0.0</v>
      </c>
      <c r="AB82" s="24">
        <v>0.0</v>
      </c>
      <c r="AC82" s="24">
        <v>0.0</v>
      </c>
      <c r="AD82" s="23">
        <v>0.0</v>
      </c>
      <c r="AE82" s="24">
        <v>0.0</v>
      </c>
      <c r="AF82" s="17" t="s">
        <v>451</v>
      </c>
      <c r="AG82" s="17">
        <v>0.0</v>
      </c>
      <c r="AH82" s="17" t="s">
        <v>451</v>
      </c>
      <c r="AI82" s="25">
        <f>IF(AF82="Sim",INT((R82-Q82+1))*K82*VLOOKUP(P82,'Tabelas Auxiliares'!$A$1:$C$400,3,FALSE),0)</f>
        <v>0</v>
      </c>
      <c r="AJ82" s="25">
        <f t="shared" si="2"/>
        <v>0</v>
      </c>
      <c r="AK82" s="25">
        <f>IFS(
  O82="Acre",((W82*0.15)+(X82*0.7))*VLOOKUP(P82,'MunicípiosEstados'!$A$2:$B$23,2,FALSE),
  O82="Alagoas",((W82*0.15)+(X82*0.7))*VLOOKUP(P82,'MunicípiosEstados'!$C$2:$D$103,2,FALSE),
  O82="Amapá",((W82*0.15)+(X82*0.7))*VLOOKUP(P82,'MunicípiosEstados'!$E$2:$F$17,2,FALSE),
  O82="Amazonas",((W82*0.15)+(X82*0.7))*VLOOKUP(P82,'MunicípiosEstados'!$G$2:$H$63,2,FALSE),
  O82="Bahia",((W82*0.15)+(X82*0.7))*VLOOKUP(P82,'MunicípiosEstados'!$I$2:$J$418,2,FALSE),
  O82="Ceará",((W82*0.15)+(X82*0.7))*VLOOKUP(P82,'MunicípiosEstados'!$K$2:$L$185,2,FALSE),
  O82="Distrito Federal",((W82*0.15)+(X82*0.7))*VLOOKUP(P82,'MunicípiosEstados'!$M$2:$N$2,2,FALSE),
  O82="Espírito Santo",((W82*0.15)+(X82*0.7))*VLOOKUP(P82,'MunicípiosEstados'!$O$2:$P$79,2,FALSE),
  O82="Goiás",((W82*0.15)+(X82*0.7))*VLOOKUP(P82,'MunicípiosEstados'!$Q$2:$R$247,2,FALSE),
  O82="Maranhão",((W82*0.15)+(X82*0.7))*VLOOKUP(P82,'MunicípiosEstados'!$S$2:$T$218,2,FALSE),
  O82="Mato Grosso",((W82*0.15)+(X82*0.7))*VLOOKUP(P82,'MunicípiosEstados'!$U$2:$V$143,2,FALSE),
  O82="Mato Grosso do Sul",((W82*0.15)+(X82*0.7))*VLOOKUP(P82,'MunicípiosEstados'!$W$2:$X$80,2,FALSE),
  O82="Minas Gerais",((W82*0.15)+(X82*0.7))*VLOOKUP(P82,'MunicípiosEstados'!$Y$2:$Z$854,2,FALSE),
  O82="Pará",((W82*0.15)+(X82*0.7))*VLOOKUP(P82,'MunicípiosEstados'!$AA$2:$AB$145,2,FALSE),
  O82="Paraíba",((W82*0.15)+(X82*0.7))*VLOOKUP(P82,'MunicípiosEstados'!$AC$2:$AD$224,2,FALSE),
  O82="Paraná",((W82*0.15)+(X82*0.7))*VLOOKUP(P82,'MunicípiosEstados'!$AE$2:$AF$400,2,FALSE),
  O82="Pernambuco",((W82*0.15)+(X82*0.7))*VLOOKUP(P82,'MunicípiosEstados'!$AG$2:$AH$186,2,FALSE),
  O82="Piauí",((W82*0.15)+(X82*0.7))*VLOOKUP(P82,'MunicípiosEstados'!$AI$2:$AJ$225,2,FALSE),
  O82="Rio Grande do Norte",((W82*0.15)+(X82*0.7))*VLOOKUP(P82,'MunicípiosEstados'!$AK$2:$AL$168,2,FALSE),
  O82="Rio Grande do Sul",((W82*0.15)+(X82*0.7))*VLOOKUP(P82,'MunicípiosEstados'!$AM$2:$AN$498,2,FALSE),
  O82="Rio de Janeiro",((W82*0.15)+(X82*0.7))*VLOOKUP(P82,'MunicípiosEstados'!$AO$2:$AP$93,2,FALSE),
  O82="Rondônia",((W82*0.15)+(X82*0.7))*VLOOKUP(P82,'MunicípiosEstados'!$AQ$2:$AR$53,2,FALSE),
  O82="Roraima",((W82*0.15)+(X82*0.7))*VLOOKUP(P82,'MunicípiosEstados'!$AS$2:$AT$16,2,FALSE),
  O82="Santa Catarina",((W82*0.15)+(X82*0.7))*VLOOKUP(P82,'MunicípiosEstados'!$AU$2:$AV$296,2,FALSE),
  O82="São Paulo",((W82*0.15)+(X82*0.7))*VLOOKUP(P82,'MunicípiosEstados'!$AW$2:$AX$646,2,FALSE),
  O82="Sergipe",((W82*0.15)+(X82*0.7))*VLOOKUP(P82,'MunicípiosEstados'!$AY$2:$AZ$76,2,FALSE),
  O82="Tocantins",((W82*0.15)+(X82*0.7))*VLOOKUP(P82,'MunicípiosEstados'!$BA$2:$BB$140,2,FALSE),
  O82="Exterior",((W82*0.15)+(X82*0.7))*VLOOKUP(P82,'MunicípiosEstados'!$BC$2:$BE$221,3,FALSE),TRUE,0
)
</f>
        <v>0</v>
      </c>
      <c r="AL82" s="25">
        <f t="shared" si="3"/>
        <v>950</v>
      </c>
      <c r="AN82" s="35"/>
    </row>
    <row r="83" ht="22.5" hidden="1" customHeight="1">
      <c r="A83" s="15">
        <f t="shared" si="1"/>
        <v>82</v>
      </c>
      <c r="B83" s="16">
        <v>45985.466165335645</v>
      </c>
      <c r="C83" s="17" t="s">
        <v>871</v>
      </c>
      <c r="D83" s="27" t="s">
        <v>443</v>
      </c>
      <c r="E83" s="15" t="str">
        <f>VLOOKUP(G83,DiretoriaDepart.Coord.!$A$1:$C$72,2,FALSE)</f>
        <v>Extensão Rural</v>
      </c>
      <c r="F83" s="15" t="str">
        <f>VLOOKUP(G83,DiretoriaDepart.Coord.!$A$1:$C$72,3,FALSE)</f>
        <v>Projetos e Cadeias Produtivas</v>
      </c>
      <c r="G83" s="17" t="s">
        <v>903</v>
      </c>
      <c r="H83" s="15"/>
      <c r="I83" s="19" t="s">
        <v>904</v>
      </c>
      <c r="J83" s="17" t="s">
        <v>728</v>
      </c>
      <c r="K83" s="17">
        <v>11.0</v>
      </c>
      <c r="L83" s="15"/>
      <c r="M83" s="17" t="s">
        <v>905</v>
      </c>
      <c r="N83" s="17">
        <v>0.0</v>
      </c>
      <c r="O83" s="17" t="s">
        <v>714</v>
      </c>
      <c r="P83" s="17" t="s">
        <v>386</v>
      </c>
      <c r="Q83" s="20">
        <v>45713.333333333336</v>
      </c>
      <c r="R83" s="20">
        <v>45713.666666666664</v>
      </c>
      <c r="S83" s="17" t="s">
        <v>451</v>
      </c>
      <c r="T83" s="17" t="s">
        <v>452</v>
      </c>
      <c r="U83" s="30" t="s">
        <v>906</v>
      </c>
      <c r="V83" s="30" t="s">
        <v>907</v>
      </c>
      <c r="W83" s="22">
        <v>11.0</v>
      </c>
      <c r="X83" s="22">
        <v>0.0</v>
      </c>
      <c r="Y83" s="23">
        <v>0.0</v>
      </c>
      <c r="Z83" s="23">
        <v>0.0</v>
      </c>
      <c r="AA83" s="24">
        <v>0.0</v>
      </c>
      <c r="AB83" s="24">
        <v>0.0</v>
      </c>
      <c r="AC83" s="24">
        <v>0.0</v>
      </c>
      <c r="AD83" s="23">
        <v>0.0</v>
      </c>
      <c r="AE83" s="24">
        <v>0.0</v>
      </c>
      <c r="AF83" s="17" t="s">
        <v>451</v>
      </c>
      <c r="AG83" s="17">
        <v>320.0</v>
      </c>
      <c r="AH83" s="17" t="s">
        <v>451</v>
      </c>
      <c r="AI83" s="25">
        <f>IF(AF83="Sim",INT((R83-Q83+1))*K83*VLOOKUP(P83,'Tabelas Auxiliares'!$A$1:$C$400,3,FALSE),0)</f>
        <v>0</v>
      </c>
      <c r="AJ83" s="25">
        <f t="shared" si="2"/>
        <v>224</v>
      </c>
      <c r="AK83" s="25">
        <f>IFS(
  O83="Acre",((W83*0.15)+(X83*0.7))*VLOOKUP(P83,'MunicípiosEstados'!$A$2:$B$23,2,FALSE),
  O83="Alagoas",((W83*0.15)+(X83*0.7))*VLOOKUP(P83,'MunicípiosEstados'!$C$2:$D$103,2,FALSE),
  O83="Amapá",((W83*0.15)+(X83*0.7))*VLOOKUP(P83,'MunicípiosEstados'!$E$2:$F$17,2,FALSE),
  O83="Amazonas",((W83*0.15)+(X83*0.7))*VLOOKUP(P83,'MunicípiosEstados'!$G$2:$H$63,2,FALSE),
  O83="Bahia",((W83*0.15)+(X83*0.7))*VLOOKUP(P83,'MunicípiosEstados'!$I$2:$J$418,2,FALSE),
  O83="Ceará",((W83*0.15)+(X83*0.7))*VLOOKUP(P83,'MunicípiosEstados'!$K$2:$L$185,2,FALSE),
  O83="Distrito Federal",((W83*0.15)+(X83*0.7))*VLOOKUP(P83,'MunicípiosEstados'!$M$2:$N$2,2,FALSE),
  O83="Espírito Santo",((W83*0.15)+(X83*0.7))*VLOOKUP(P83,'MunicípiosEstados'!$O$2:$P$79,2,FALSE),
  O83="Goiás",((W83*0.15)+(X83*0.7))*VLOOKUP(P83,'MunicípiosEstados'!$Q$2:$R$247,2,FALSE),
  O83="Maranhão",((W83*0.15)+(X83*0.7))*VLOOKUP(P83,'MunicípiosEstados'!$S$2:$T$218,2,FALSE),
  O83="Mato Grosso",((W83*0.15)+(X83*0.7))*VLOOKUP(P83,'MunicípiosEstados'!$U$2:$V$143,2,FALSE),
  O83="Mato Grosso do Sul",((W83*0.15)+(X83*0.7))*VLOOKUP(P83,'MunicípiosEstados'!$W$2:$X$80,2,FALSE),
  O83="Minas Gerais",((W83*0.15)+(X83*0.7))*VLOOKUP(P83,'MunicípiosEstados'!$Y$2:$Z$854,2,FALSE),
  O83="Pará",((W83*0.15)+(X83*0.7))*VLOOKUP(P83,'MunicípiosEstados'!$AA$2:$AB$145,2,FALSE),
  O83="Paraíba",((W83*0.15)+(X83*0.7))*VLOOKUP(P83,'MunicípiosEstados'!$AC$2:$AD$224,2,FALSE),
  O83="Paraná",((W83*0.15)+(X83*0.7))*VLOOKUP(P83,'MunicípiosEstados'!$AE$2:$AF$400,2,FALSE),
  O83="Pernambuco",((W83*0.15)+(X83*0.7))*VLOOKUP(P83,'MunicípiosEstados'!$AG$2:$AH$186,2,FALSE),
  O83="Piauí",((W83*0.15)+(X83*0.7))*VLOOKUP(P83,'MunicípiosEstados'!$AI$2:$AJ$225,2,FALSE),
  O83="Rio Grande do Norte",((W83*0.15)+(X83*0.7))*VLOOKUP(P83,'MunicípiosEstados'!$AK$2:$AL$168,2,FALSE),
  O83="Rio Grande do Sul",((W83*0.15)+(X83*0.7))*VLOOKUP(P83,'MunicípiosEstados'!$AM$2:$AN$498,2,FALSE),
  O83="Rio de Janeiro",((W83*0.15)+(X83*0.7))*VLOOKUP(P83,'MunicípiosEstados'!$AO$2:$AP$93,2,FALSE),
  O83="Rondônia",((W83*0.15)+(X83*0.7))*VLOOKUP(P83,'MunicípiosEstados'!$AQ$2:$AR$53,2,FALSE),
  O83="Roraima",((W83*0.15)+(X83*0.7))*VLOOKUP(P83,'MunicípiosEstados'!$AS$2:$AT$16,2,FALSE),
  O83="Santa Catarina",((W83*0.15)+(X83*0.7))*VLOOKUP(P83,'MunicípiosEstados'!$AU$2:$AV$296,2,FALSE),
  O83="São Paulo",((W83*0.15)+(X83*0.7))*VLOOKUP(P83,'MunicípiosEstados'!$AW$2:$AX$646,2,FALSE),
  O83="Sergipe",((W83*0.15)+(X83*0.7))*VLOOKUP(P83,'MunicípiosEstados'!$AY$2:$AZ$76,2,FALSE),
  O83="Tocantins",((W83*0.15)+(X83*0.7))*VLOOKUP(P83,'MunicípiosEstados'!$BA$2:$BB$140,2,FALSE),
  O83="Exterior",((W83*0.15)+(X83*0.7))*VLOOKUP(P83,'MunicípiosEstados'!$BC$2:$BE$221,3,FALSE),TRUE,0
)
</f>
        <v>479.4075</v>
      </c>
      <c r="AL83" s="25">
        <f t="shared" si="3"/>
        <v>703.4075</v>
      </c>
    </row>
    <row r="84" ht="22.5" hidden="1" customHeight="1">
      <c r="A84" s="15">
        <f t="shared" si="1"/>
        <v>83</v>
      </c>
      <c r="B84" s="16">
        <v>45985.49234203703</v>
      </c>
      <c r="C84" s="17" t="s">
        <v>871</v>
      </c>
      <c r="D84" s="27" t="s">
        <v>443</v>
      </c>
      <c r="E84" s="15" t="str">
        <f>VLOOKUP(G84,DiretoriaDepart.Coord.!$A$1:$C$72,2,FALSE)</f>
        <v>Extensão Rural</v>
      </c>
      <c r="F84" s="15" t="str">
        <f>VLOOKUP(G84,DiretoriaDepart.Coord.!$A$1:$C$72,3,FALSE)</f>
        <v>Projetos e Cadeias Produtivas</v>
      </c>
      <c r="G84" s="17" t="s">
        <v>903</v>
      </c>
      <c r="H84" s="15"/>
      <c r="I84" s="17" t="s">
        <v>908</v>
      </c>
      <c r="J84" s="17" t="s">
        <v>728</v>
      </c>
      <c r="K84" s="17">
        <v>11.0</v>
      </c>
      <c r="L84" s="15"/>
      <c r="M84" s="17" t="s">
        <v>905</v>
      </c>
      <c r="N84" s="17">
        <v>0.0</v>
      </c>
      <c r="O84" s="17" t="s">
        <v>714</v>
      </c>
      <c r="P84" s="17" t="s">
        <v>386</v>
      </c>
      <c r="Q84" s="20">
        <v>45742.333333333336</v>
      </c>
      <c r="R84" s="20">
        <v>45742.666666666664</v>
      </c>
      <c r="S84" s="17" t="s">
        <v>451</v>
      </c>
      <c r="T84" s="17" t="s">
        <v>452</v>
      </c>
      <c r="U84" s="30" t="s">
        <v>903</v>
      </c>
      <c r="V84" s="30" t="s">
        <v>907</v>
      </c>
      <c r="W84" s="22">
        <v>11.0</v>
      </c>
      <c r="X84" s="22">
        <v>0.0</v>
      </c>
      <c r="Y84" s="23">
        <v>0.0</v>
      </c>
      <c r="Z84" s="23">
        <v>0.0</v>
      </c>
      <c r="AA84" s="24">
        <v>0.0</v>
      </c>
      <c r="AB84" s="24">
        <v>0.0</v>
      </c>
      <c r="AC84" s="24">
        <v>0.0</v>
      </c>
      <c r="AD84" s="23">
        <v>0.0</v>
      </c>
      <c r="AE84" s="24">
        <v>0.0</v>
      </c>
      <c r="AF84" s="17" t="s">
        <v>451</v>
      </c>
      <c r="AG84" s="17">
        <v>320.0</v>
      </c>
      <c r="AH84" s="17" t="s">
        <v>451</v>
      </c>
      <c r="AI84" s="25">
        <f>IF(AF84="Sim",INT((R84-Q84+1))*K84*VLOOKUP(P84,'Tabelas Auxiliares'!$A$1:$C$400,3,FALSE),0)</f>
        <v>0</v>
      </c>
      <c r="AJ84" s="25">
        <f t="shared" si="2"/>
        <v>224</v>
      </c>
      <c r="AK84" s="25">
        <f>IFS(
  O84="Acre",((W84*0.15)+(X84*0.7))*VLOOKUP(P84,'MunicípiosEstados'!$A$2:$B$23,2,FALSE),
  O84="Alagoas",((W84*0.15)+(X84*0.7))*VLOOKUP(P84,'MunicípiosEstados'!$C$2:$D$103,2,FALSE),
  O84="Amapá",((W84*0.15)+(X84*0.7))*VLOOKUP(P84,'MunicípiosEstados'!$E$2:$F$17,2,FALSE),
  O84="Amazonas",((W84*0.15)+(X84*0.7))*VLOOKUP(P84,'MunicípiosEstados'!$G$2:$H$63,2,FALSE),
  O84="Bahia",((W84*0.15)+(X84*0.7))*VLOOKUP(P84,'MunicípiosEstados'!$I$2:$J$418,2,FALSE),
  O84="Ceará",((W84*0.15)+(X84*0.7))*VLOOKUP(P84,'MunicípiosEstados'!$K$2:$L$185,2,FALSE),
  O84="Distrito Federal",((W84*0.15)+(X84*0.7))*VLOOKUP(P84,'MunicípiosEstados'!$M$2:$N$2,2,FALSE),
  O84="Espírito Santo",((W84*0.15)+(X84*0.7))*VLOOKUP(P84,'MunicípiosEstados'!$O$2:$P$79,2,FALSE),
  O84="Goiás",((W84*0.15)+(X84*0.7))*VLOOKUP(P84,'MunicípiosEstados'!$Q$2:$R$247,2,FALSE),
  O84="Maranhão",((W84*0.15)+(X84*0.7))*VLOOKUP(P84,'MunicípiosEstados'!$S$2:$T$218,2,FALSE),
  O84="Mato Grosso",((W84*0.15)+(X84*0.7))*VLOOKUP(P84,'MunicípiosEstados'!$U$2:$V$143,2,FALSE),
  O84="Mato Grosso do Sul",((W84*0.15)+(X84*0.7))*VLOOKUP(P84,'MunicípiosEstados'!$W$2:$X$80,2,FALSE),
  O84="Minas Gerais",((W84*0.15)+(X84*0.7))*VLOOKUP(P84,'MunicípiosEstados'!$Y$2:$Z$854,2,FALSE),
  O84="Pará",((W84*0.15)+(X84*0.7))*VLOOKUP(P84,'MunicípiosEstados'!$AA$2:$AB$145,2,FALSE),
  O84="Paraíba",((W84*0.15)+(X84*0.7))*VLOOKUP(P84,'MunicípiosEstados'!$AC$2:$AD$224,2,FALSE),
  O84="Paraná",((W84*0.15)+(X84*0.7))*VLOOKUP(P84,'MunicípiosEstados'!$AE$2:$AF$400,2,FALSE),
  O84="Pernambuco",((W84*0.15)+(X84*0.7))*VLOOKUP(P84,'MunicípiosEstados'!$AG$2:$AH$186,2,FALSE),
  O84="Piauí",((W84*0.15)+(X84*0.7))*VLOOKUP(P84,'MunicípiosEstados'!$AI$2:$AJ$225,2,FALSE),
  O84="Rio Grande do Norte",((W84*0.15)+(X84*0.7))*VLOOKUP(P84,'MunicípiosEstados'!$AK$2:$AL$168,2,FALSE),
  O84="Rio Grande do Sul",((W84*0.15)+(X84*0.7))*VLOOKUP(P84,'MunicípiosEstados'!$AM$2:$AN$498,2,FALSE),
  O84="Rio de Janeiro",((W84*0.15)+(X84*0.7))*VLOOKUP(P84,'MunicípiosEstados'!$AO$2:$AP$93,2,FALSE),
  O84="Rondônia",((W84*0.15)+(X84*0.7))*VLOOKUP(P84,'MunicípiosEstados'!$AQ$2:$AR$53,2,FALSE),
  O84="Roraima",((W84*0.15)+(X84*0.7))*VLOOKUP(P84,'MunicípiosEstados'!$AS$2:$AT$16,2,FALSE),
  O84="Santa Catarina",((W84*0.15)+(X84*0.7))*VLOOKUP(P84,'MunicípiosEstados'!$AU$2:$AV$296,2,FALSE),
  O84="São Paulo",((W84*0.15)+(X84*0.7))*VLOOKUP(P84,'MunicípiosEstados'!$AW$2:$AX$646,2,FALSE),
  O84="Sergipe",((W84*0.15)+(X84*0.7))*VLOOKUP(P84,'MunicípiosEstados'!$AY$2:$AZ$76,2,FALSE),
  O84="Tocantins",((W84*0.15)+(X84*0.7))*VLOOKUP(P84,'MunicípiosEstados'!$BA$2:$BB$140,2,FALSE),
  O84="Exterior",((W84*0.15)+(X84*0.7))*VLOOKUP(P84,'MunicípiosEstados'!$BC$2:$BE$221,3,FALSE),TRUE,0
)
</f>
        <v>479.4075</v>
      </c>
      <c r="AL84" s="25">
        <f t="shared" si="3"/>
        <v>703.4075</v>
      </c>
    </row>
    <row r="85" ht="22.5" hidden="1" customHeight="1">
      <c r="A85" s="15">
        <f t="shared" si="1"/>
        <v>84</v>
      </c>
      <c r="B85" s="16">
        <v>45985.494282858795</v>
      </c>
      <c r="C85" s="17" t="s">
        <v>871</v>
      </c>
      <c r="D85" s="27" t="s">
        <v>443</v>
      </c>
      <c r="E85" s="15" t="str">
        <f>VLOOKUP(G85,DiretoriaDepart.Coord.!$A$1:$C$72,2,FALSE)</f>
        <v>Extensão Rural</v>
      </c>
      <c r="F85" s="15" t="str">
        <f>VLOOKUP(G85,DiretoriaDepart.Coord.!$A$1:$C$72,3,FALSE)</f>
        <v>Projetos e Cadeias Produtivas</v>
      </c>
      <c r="G85" s="17" t="s">
        <v>903</v>
      </c>
      <c r="H85" s="15"/>
      <c r="I85" s="17" t="s">
        <v>909</v>
      </c>
      <c r="J85" s="17" t="s">
        <v>728</v>
      </c>
      <c r="K85" s="17">
        <v>11.0</v>
      </c>
      <c r="L85" s="15"/>
      <c r="M85" s="17" t="s">
        <v>905</v>
      </c>
      <c r="N85" s="17">
        <v>0.0</v>
      </c>
      <c r="O85" s="17" t="s">
        <v>714</v>
      </c>
      <c r="P85" s="17" t="s">
        <v>386</v>
      </c>
      <c r="Q85" s="20">
        <v>45762.333333333336</v>
      </c>
      <c r="R85" s="20">
        <v>45762.666666666664</v>
      </c>
      <c r="S85" s="17" t="s">
        <v>451</v>
      </c>
      <c r="T85" s="17" t="s">
        <v>452</v>
      </c>
      <c r="U85" s="30" t="s">
        <v>903</v>
      </c>
      <c r="V85" s="30" t="s">
        <v>907</v>
      </c>
      <c r="W85" s="22">
        <v>11.0</v>
      </c>
      <c r="X85" s="22">
        <v>0.0</v>
      </c>
      <c r="Y85" s="23">
        <v>0.0</v>
      </c>
      <c r="Z85" s="23">
        <v>0.0</v>
      </c>
      <c r="AA85" s="24">
        <v>0.0</v>
      </c>
      <c r="AB85" s="24">
        <v>0.0</v>
      </c>
      <c r="AC85" s="24">
        <v>0.0</v>
      </c>
      <c r="AD85" s="23">
        <v>0.0</v>
      </c>
      <c r="AE85" s="24">
        <v>0.0</v>
      </c>
      <c r="AF85" s="17" t="s">
        <v>451</v>
      </c>
      <c r="AG85" s="17">
        <v>320.0</v>
      </c>
      <c r="AH85" s="17" t="s">
        <v>451</v>
      </c>
      <c r="AI85" s="25">
        <f>IF(AF85="Sim",INT((R85-Q85+1))*K85*VLOOKUP(P85,'Tabelas Auxiliares'!$A$1:$C$400,3,FALSE),0)</f>
        <v>0</v>
      </c>
      <c r="AJ85" s="25">
        <f t="shared" si="2"/>
        <v>224</v>
      </c>
      <c r="AK85" s="25">
        <f>IFS(
  O85="Acre",((W85*0.15)+(X85*0.7))*VLOOKUP(P85,'MunicípiosEstados'!$A$2:$B$23,2,FALSE),
  O85="Alagoas",((W85*0.15)+(X85*0.7))*VLOOKUP(P85,'MunicípiosEstados'!$C$2:$D$103,2,FALSE),
  O85="Amapá",((W85*0.15)+(X85*0.7))*VLOOKUP(P85,'MunicípiosEstados'!$E$2:$F$17,2,FALSE),
  O85="Amazonas",((W85*0.15)+(X85*0.7))*VLOOKUP(P85,'MunicípiosEstados'!$G$2:$H$63,2,FALSE),
  O85="Bahia",((W85*0.15)+(X85*0.7))*VLOOKUP(P85,'MunicípiosEstados'!$I$2:$J$418,2,FALSE),
  O85="Ceará",((W85*0.15)+(X85*0.7))*VLOOKUP(P85,'MunicípiosEstados'!$K$2:$L$185,2,FALSE),
  O85="Distrito Federal",((W85*0.15)+(X85*0.7))*VLOOKUP(P85,'MunicípiosEstados'!$M$2:$N$2,2,FALSE),
  O85="Espírito Santo",((W85*0.15)+(X85*0.7))*VLOOKUP(P85,'MunicípiosEstados'!$O$2:$P$79,2,FALSE),
  O85="Goiás",((W85*0.15)+(X85*0.7))*VLOOKUP(P85,'MunicípiosEstados'!$Q$2:$R$247,2,FALSE),
  O85="Maranhão",((W85*0.15)+(X85*0.7))*VLOOKUP(P85,'MunicípiosEstados'!$S$2:$T$218,2,FALSE),
  O85="Mato Grosso",((W85*0.15)+(X85*0.7))*VLOOKUP(P85,'MunicípiosEstados'!$U$2:$V$143,2,FALSE),
  O85="Mato Grosso do Sul",((W85*0.15)+(X85*0.7))*VLOOKUP(P85,'MunicípiosEstados'!$W$2:$X$80,2,FALSE),
  O85="Minas Gerais",((W85*0.15)+(X85*0.7))*VLOOKUP(P85,'MunicípiosEstados'!$Y$2:$Z$854,2,FALSE),
  O85="Pará",((W85*0.15)+(X85*0.7))*VLOOKUP(P85,'MunicípiosEstados'!$AA$2:$AB$145,2,FALSE),
  O85="Paraíba",((W85*0.15)+(X85*0.7))*VLOOKUP(P85,'MunicípiosEstados'!$AC$2:$AD$224,2,FALSE),
  O85="Paraná",((W85*0.15)+(X85*0.7))*VLOOKUP(P85,'MunicípiosEstados'!$AE$2:$AF$400,2,FALSE),
  O85="Pernambuco",((W85*0.15)+(X85*0.7))*VLOOKUP(P85,'MunicípiosEstados'!$AG$2:$AH$186,2,FALSE),
  O85="Piauí",((W85*0.15)+(X85*0.7))*VLOOKUP(P85,'MunicípiosEstados'!$AI$2:$AJ$225,2,FALSE),
  O85="Rio Grande do Norte",((W85*0.15)+(X85*0.7))*VLOOKUP(P85,'MunicípiosEstados'!$AK$2:$AL$168,2,FALSE),
  O85="Rio Grande do Sul",((W85*0.15)+(X85*0.7))*VLOOKUP(P85,'MunicípiosEstados'!$AM$2:$AN$498,2,FALSE),
  O85="Rio de Janeiro",((W85*0.15)+(X85*0.7))*VLOOKUP(P85,'MunicípiosEstados'!$AO$2:$AP$93,2,FALSE),
  O85="Rondônia",((W85*0.15)+(X85*0.7))*VLOOKUP(P85,'MunicípiosEstados'!$AQ$2:$AR$53,2,FALSE),
  O85="Roraima",((W85*0.15)+(X85*0.7))*VLOOKUP(P85,'MunicípiosEstados'!$AS$2:$AT$16,2,FALSE),
  O85="Santa Catarina",((W85*0.15)+(X85*0.7))*VLOOKUP(P85,'MunicípiosEstados'!$AU$2:$AV$296,2,FALSE),
  O85="São Paulo",((W85*0.15)+(X85*0.7))*VLOOKUP(P85,'MunicípiosEstados'!$AW$2:$AX$646,2,FALSE),
  O85="Sergipe",((W85*0.15)+(X85*0.7))*VLOOKUP(P85,'MunicípiosEstados'!$AY$2:$AZ$76,2,FALSE),
  O85="Tocantins",((W85*0.15)+(X85*0.7))*VLOOKUP(P85,'MunicípiosEstados'!$BA$2:$BB$140,2,FALSE),
  O85="Exterior",((W85*0.15)+(X85*0.7))*VLOOKUP(P85,'MunicípiosEstados'!$BC$2:$BE$221,3,FALSE),TRUE,0
)
</f>
        <v>479.4075</v>
      </c>
      <c r="AL85" s="25">
        <f t="shared" si="3"/>
        <v>703.4075</v>
      </c>
    </row>
    <row r="86" ht="22.5" hidden="1" customHeight="1">
      <c r="A86" s="15">
        <f t="shared" si="1"/>
        <v>85</v>
      </c>
      <c r="B86" s="16">
        <v>45985.49634486111</v>
      </c>
      <c r="C86" s="17" t="s">
        <v>871</v>
      </c>
      <c r="D86" s="27" t="s">
        <v>443</v>
      </c>
      <c r="E86" s="15" t="str">
        <f>VLOOKUP(G86,DiretoriaDepart.Coord.!$A$1:$C$72,2,FALSE)</f>
        <v>Extensão Rural</v>
      </c>
      <c r="F86" s="15" t="str">
        <f>VLOOKUP(G86,DiretoriaDepart.Coord.!$A$1:$C$72,3,FALSE)</f>
        <v>Projetos e Cadeias Produtivas</v>
      </c>
      <c r="G86" s="17" t="s">
        <v>903</v>
      </c>
      <c r="H86" s="15"/>
      <c r="I86" s="17" t="s">
        <v>910</v>
      </c>
      <c r="J86" s="17" t="s">
        <v>728</v>
      </c>
      <c r="K86" s="17">
        <v>11.0</v>
      </c>
      <c r="L86" s="17">
        <v>0.0</v>
      </c>
      <c r="M86" s="17" t="s">
        <v>905</v>
      </c>
      <c r="N86" s="17">
        <v>11.0</v>
      </c>
      <c r="O86" s="17" t="s">
        <v>714</v>
      </c>
      <c r="P86" s="17" t="s">
        <v>386</v>
      </c>
      <c r="Q86" s="20">
        <v>45805.333333333336</v>
      </c>
      <c r="R86" s="20">
        <v>45805.666666666664</v>
      </c>
      <c r="S86" s="17" t="s">
        <v>451</v>
      </c>
      <c r="T86" s="17" t="s">
        <v>452</v>
      </c>
      <c r="U86" s="30" t="s">
        <v>903</v>
      </c>
      <c r="V86" s="30" t="s">
        <v>907</v>
      </c>
      <c r="W86" s="22">
        <v>11.0</v>
      </c>
      <c r="X86" s="22">
        <v>0.0</v>
      </c>
      <c r="Y86" s="23">
        <v>0.0</v>
      </c>
      <c r="Z86" s="23">
        <v>0.0</v>
      </c>
      <c r="AA86" s="24">
        <v>0.0</v>
      </c>
      <c r="AB86" s="24">
        <v>0.0</v>
      </c>
      <c r="AC86" s="24">
        <v>0.0</v>
      </c>
      <c r="AD86" s="23">
        <v>0.0</v>
      </c>
      <c r="AE86" s="24">
        <v>0.0</v>
      </c>
      <c r="AF86" s="17" t="s">
        <v>451</v>
      </c>
      <c r="AG86" s="17">
        <v>320.0</v>
      </c>
      <c r="AH86" s="17" t="s">
        <v>451</v>
      </c>
      <c r="AI86" s="25">
        <f>IF(AF86="Sim",INT((R86-Q86+1))*K86*VLOOKUP(P86,'Tabelas Auxiliares'!$A$1:$C$400,3,FALSE),0)</f>
        <v>0</v>
      </c>
      <c r="AJ86" s="25">
        <f t="shared" si="2"/>
        <v>224</v>
      </c>
      <c r="AK86" s="25">
        <f>IFS(
  O86="Acre",((W86*0.15)+(X86*0.7))*VLOOKUP(P86,'MunicípiosEstados'!$A$2:$B$23,2,FALSE),
  O86="Alagoas",((W86*0.15)+(X86*0.7))*VLOOKUP(P86,'MunicípiosEstados'!$C$2:$D$103,2,FALSE),
  O86="Amapá",((W86*0.15)+(X86*0.7))*VLOOKUP(P86,'MunicípiosEstados'!$E$2:$F$17,2,FALSE),
  O86="Amazonas",((W86*0.15)+(X86*0.7))*VLOOKUP(P86,'MunicípiosEstados'!$G$2:$H$63,2,FALSE),
  O86="Bahia",((W86*0.15)+(X86*0.7))*VLOOKUP(P86,'MunicípiosEstados'!$I$2:$J$418,2,FALSE),
  O86="Ceará",((W86*0.15)+(X86*0.7))*VLOOKUP(P86,'MunicípiosEstados'!$K$2:$L$185,2,FALSE),
  O86="Distrito Federal",((W86*0.15)+(X86*0.7))*VLOOKUP(P86,'MunicípiosEstados'!$M$2:$N$2,2,FALSE),
  O86="Espírito Santo",((W86*0.15)+(X86*0.7))*VLOOKUP(P86,'MunicípiosEstados'!$O$2:$P$79,2,FALSE),
  O86="Goiás",((W86*0.15)+(X86*0.7))*VLOOKUP(P86,'MunicípiosEstados'!$Q$2:$R$247,2,FALSE),
  O86="Maranhão",((W86*0.15)+(X86*0.7))*VLOOKUP(P86,'MunicípiosEstados'!$S$2:$T$218,2,FALSE),
  O86="Mato Grosso",((W86*0.15)+(X86*0.7))*VLOOKUP(P86,'MunicípiosEstados'!$U$2:$V$143,2,FALSE),
  O86="Mato Grosso do Sul",((W86*0.15)+(X86*0.7))*VLOOKUP(P86,'MunicípiosEstados'!$W$2:$X$80,2,FALSE),
  O86="Minas Gerais",((W86*0.15)+(X86*0.7))*VLOOKUP(P86,'MunicípiosEstados'!$Y$2:$Z$854,2,FALSE),
  O86="Pará",((W86*0.15)+(X86*0.7))*VLOOKUP(P86,'MunicípiosEstados'!$AA$2:$AB$145,2,FALSE),
  O86="Paraíba",((W86*0.15)+(X86*0.7))*VLOOKUP(P86,'MunicípiosEstados'!$AC$2:$AD$224,2,FALSE),
  O86="Paraná",((W86*0.15)+(X86*0.7))*VLOOKUP(P86,'MunicípiosEstados'!$AE$2:$AF$400,2,FALSE),
  O86="Pernambuco",((W86*0.15)+(X86*0.7))*VLOOKUP(P86,'MunicípiosEstados'!$AG$2:$AH$186,2,FALSE),
  O86="Piauí",((W86*0.15)+(X86*0.7))*VLOOKUP(P86,'MunicípiosEstados'!$AI$2:$AJ$225,2,FALSE),
  O86="Rio Grande do Norte",((W86*0.15)+(X86*0.7))*VLOOKUP(P86,'MunicípiosEstados'!$AK$2:$AL$168,2,FALSE),
  O86="Rio Grande do Sul",((W86*0.15)+(X86*0.7))*VLOOKUP(P86,'MunicípiosEstados'!$AM$2:$AN$498,2,FALSE),
  O86="Rio de Janeiro",((W86*0.15)+(X86*0.7))*VLOOKUP(P86,'MunicípiosEstados'!$AO$2:$AP$93,2,FALSE),
  O86="Rondônia",((W86*0.15)+(X86*0.7))*VLOOKUP(P86,'MunicípiosEstados'!$AQ$2:$AR$53,2,FALSE),
  O86="Roraima",((W86*0.15)+(X86*0.7))*VLOOKUP(P86,'MunicípiosEstados'!$AS$2:$AT$16,2,FALSE),
  O86="Santa Catarina",((W86*0.15)+(X86*0.7))*VLOOKUP(P86,'MunicípiosEstados'!$AU$2:$AV$296,2,FALSE),
  O86="São Paulo",((W86*0.15)+(X86*0.7))*VLOOKUP(P86,'MunicípiosEstados'!$AW$2:$AX$646,2,FALSE),
  O86="Sergipe",((W86*0.15)+(X86*0.7))*VLOOKUP(P86,'MunicípiosEstados'!$AY$2:$AZ$76,2,FALSE),
  O86="Tocantins",((W86*0.15)+(X86*0.7))*VLOOKUP(P86,'MunicípiosEstados'!$BA$2:$BB$140,2,FALSE),
  O86="Exterior",((W86*0.15)+(X86*0.7))*VLOOKUP(P86,'MunicípiosEstados'!$BC$2:$BE$221,3,FALSE),TRUE,0
)
</f>
        <v>479.4075</v>
      </c>
      <c r="AL86" s="25">
        <f t="shared" si="3"/>
        <v>703.4075</v>
      </c>
    </row>
    <row r="87" ht="22.5" hidden="1" customHeight="1">
      <c r="A87" s="15">
        <f t="shared" si="1"/>
        <v>86</v>
      </c>
      <c r="B87" s="16">
        <v>45985.49817027777</v>
      </c>
      <c r="C87" s="17" t="s">
        <v>871</v>
      </c>
      <c r="D87" s="27" t="s">
        <v>443</v>
      </c>
      <c r="E87" s="15" t="str">
        <f>VLOOKUP(G87,DiretoriaDepart.Coord.!$A$1:$C$72,2,FALSE)</f>
        <v>Extensão Rural</v>
      </c>
      <c r="F87" s="15" t="str">
        <f>VLOOKUP(G87,DiretoriaDepart.Coord.!$A$1:$C$72,3,FALSE)</f>
        <v>Projetos e Cadeias Produtivas</v>
      </c>
      <c r="G87" s="17" t="s">
        <v>903</v>
      </c>
      <c r="H87" s="15"/>
      <c r="I87" s="17" t="s">
        <v>911</v>
      </c>
      <c r="J87" s="17" t="s">
        <v>728</v>
      </c>
      <c r="K87" s="17">
        <v>11.0</v>
      </c>
      <c r="L87" s="15"/>
      <c r="M87" s="17" t="s">
        <v>905</v>
      </c>
      <c r="N87" s="17">
        <v>0.0</v>
      </c>
      <c r="O87" s="17" t="s">
        <v>714</v>
      </c>
      <c r="P87" s="17" t="s">
        <v>386</v>
      </c>
      <c r="Q87" s="20">
        <v>45854.333333333336</v>
      </c>
      <c r="R87" s="20">
        <v>45854.666666666664</v>
      </c>
      <c r="S87" s="17" t="s">
        <v>451</v>
      </c>
      <c r="T87" s="17" t="s">
        <v>452</v>
      </c>
      <c r="U87" s="30" t="s">
        <v>903</v>
      </c>
      <c r="V87" s="30" t="s">
        <v>907</v>
      </c>
      <c r="W87" s="22">
        <v>11.0</v>
      </c>
      <c r="X87" s="22">
        <v>0.0</v>
      </c>
      <c r="Y87" s="23">
        <v>0.0</v>
      </c>
      <c r="Z87" s="23">
        <v>0.0</v>
      </c>
      <c r="AA87" s="24">
        <v>0.0</v>
      </c>
      <c r="AB87" s="24">
        <v>0.0</v>
      </c>
      <c r="AC87" s="24">
        <v>0.0</v>
      </c>
      <c r="AD87" s="23">
        <v>0.0</v>
      </c>
      <c r="AE87" s="24">
        <v>0.0</v>
      </c>
      <c r="AF87" s="17" t="s">
        <v>451</v>
      </c>
      <c r="AG87" s="17">
        <v>320.0</v>
      </c>
      <c r="AH87" s="17" t="s">
        <v>451</v>
      </c>
      <c r="AI87" s="25">
        <f>IF(AF87="Sim",INT((R87-Q87+1))*K87*VLOOKUP(P87,'Tabelas Auxiliares'!$A$1:$C$400,3,FALSE),0)</f>
        <v>0</v>
      </c>
      <c r="AJ87" s="25">
        <f t="shared" si="2"/>
        <v>224</v>
      </c>
      <c r="AK87" s="25">
        <f>IFS(
  O87="Acre",((W87*0.15)+(X87*0.7))*VLOOKUP(P87,'MunicípiosEstados'!$A$2:$B$23,2,FALSE),
  O87="Alagoas",((W87*0.15)+(X87*0.7))*VLOOKUP(P87,'MunicípiosEstados'!$C$2:$D$103,2,FALSE),
  O87="Amapá",((W87*0.15)+(X87*0.7))*VLOOKUP(P87,'MunicípiosEstados'!$E$2:$F$17,2,FALSE),
  O87="Amazonas",((W87*0.15)+(X87*0.7))*VLOOKUP(P87,'MunicípiosEstados'!$G$2:$H$63,2,FALSE),
  O87="Bahia",((W87*0.15)+(X87*0.7))*VLOOKUP(P87,'MunicípiosEstados'!$I$2:$J$418,2,FALSE),
  O87="Ceará",((W87*0.15)+(X87*0.7))*VLOOKUP(P87,'MunicípiosEstados'!$K$2:$L$185,2,FALSE),
  O87="Distrito Federal",((W87*0.15)+(X87*0.7))*VLOOKUP(P87,'MunicípiosEstados'!$M$2:$N$2,2,FALSE),
  O87="Espírito Santo",((W87*0.15)+(X87*0.7))*VLOOKUP(P87,'MunicípiosEstados'!$O$2:$P$79,2,FALSE),
  O87="Goiás",((W87*0.15)+(X87*0.7))*VLOOKUP(P87,'MunicípiosEstados'!$Q$2:$R$247,2,FALSE),
  O87="Maranhão",((W87*0.15)+(X87*0.7))*VLOOKUP(P87,'MunicípiosEstados'!$S$2:$T$218,2,FALSE),
  O87="Mato Grosso",((W87*0.15)+(X87*0.7))*VLOOKUP(P87,'MunicípiosEstados'!$U$2:$V$143,2,FALSE),
  O87="Mato Grosso do Sul",((W87*0.15)+(X87*0.7))*VLOOKUP(P87,'MunicípiosEstados'!$W$2:$X$80,2,FALSE),
  O87="Minas Gerais",((W87*0.15)+(X87*0.7))*VLOOKUP(P87,'MunicípiosEstados'!$Y$2:$Z$854,2,FALSE),
  O87="Pará",((W87*0.15)+(X87*0.7))*VLOOKUP(P87,'MunicípiosEstados'!$AA$2:$AB$145,2,FALSE),
  O87="Paraíba",((W87*0.15)+(X87*0.7))*VLOOKUP(P87,'MunicípiosEstados'!$AC$2:$AD$224,2,FALSE),
  O87="Paraná",((W87*0.15)+(X87*0.7))*VLOOKUP(P87,'MunicípiosEstados'!$AE$2:$AF$400,2,FALSE),
  O87="Pernambuco",((W87*0.15)+(X87*0.7))*VLOOKUP(P87,'MunicípiosEstados'!$AG$2:$AH$186,2,FALSE),
  O87="Piauí",((W87*0.15)+(X87*0.7))*VLOOKUP(P87,'MunicípiosEstados'!$AI$2:$AJ$225,2,FALSE),
  O87="Rio Grande do Norte",((W87*0.15)+(X87*0.7))*VLOOKUP(P87,'MunicípiosEstados'!$AK$2:$AL$168,2,FALSE),
  O87="Rio Grande do Sul",((W87*0.15)+(X87*0.7))*VLOOKUP(P87,'MunicípiosEstados'!$AM$2:$AN$498,2,FALSE),
  O87="Rio de Janeiro",((W87*0.15)+(X87*0.7))*VLOOKUP(P87,'MunicípiosEstados'!$AO$2:$AP$93,2,FALSE),
  O87="Rondônia",((W87*0.15)+(X87*0.7))*VLOOKUP(P87,'MunicípiosEstados'!$AQ$2:$AR$53,2,FALSE),
  O87="Roraima",((W87*0.15)+(X87*0.7))*VLOOKUP(P87,'MunicípiosEstados'!$AS$2:$AT$16,2,FALSE),
  O87="Santa Catarina",((W87*0.15)+(X87*0.7))*VLOOKUP(P87,'MunicípiosEstados'!$AU$2:$AV$296,2,FALSE),
  O87="São Paulo",((W87*0.15)+(X87*0.7))*VLOOKUP(P87,'MunicípiosEstados'!$AW$2:$AX$646,2,FALSE),
  O87="Sergipe",((W87*0.15)+(X87*0.7))*VLOOKUP(P87,'MunicípiosEstados'!$AY$2:$AZ$76,2,FALSE),
  O87="Tocantins",((W87*0.15)+(X87*0.7))*VLOOKUP(P87,'MunicípiosEstados'!$BA$2:$BB$140,2,FALSE),
  O87="Exterior",((W87*0.15)+(X87*0.7))*VLOOKUP(P87,'MunicípiosEstados'!$BC$2:$BE$221,3,FALSE),TRUE,0
)
</f>
        <v>479.4075</v>
      </c>
      <c r="AL87" s="25">
        <f t="shared" si="3"/>
        <v>703.4075</v>
      </c>
    </row>
    <row r="88" ht="22.5" hidden="1" customHeight="1">
      <c r="A88" s="15">
        <f t="shared" si="1"/>
        <v>87</v>
      </c>
      <c r="B88" s="16">
        <v>45985.499998680556</v>
      </c>
      <c r="C88" s="17" t="s">
        <v>871</v>
      </c>
      <c r="D88" s="27" t="s">
        <v>443</v>
      </c>
      <c r="E88" s="15" t="str">
        <f>VLOOKUP(G88,DiretoriaDepart.Coord.!$A$1:$C$72,2,FALSE)</f>
        <v>Extensão Rural</v>
      </c>
      <c r="F88" s="15" t="str">
        <f>VLOOKUP(G88,DiretoriaDepart.Coord.!$A$1:$C$72,3,FALSE)</f>
        <v>Projetos e Cadeias Produtivas</v>
      </c>
      <c r="G88" s="17" t="s">
        <v>903</v>
      </c>
      <c r="H88" s="15"/>
      <c r="I88" s="17" t="s">
        <v>912</v>
      </c>
      <c r="J88" s="17" t="s">
        <v>728</v>
      </c>
      <c r="K88" s="17">
        <v>11.0</v>
      </c>
      <c r="L88" s="15"/>
      <c r="M88" s="17" t="s">
        <v>905</v>
      </c>
      <c r="N88" s="17">
        <v>0.0</v>
      </c>
      <c r="O88" s="17" t="s">
        <v>714</v>
      </c>
      <c r="P88" s="17" t="s">
        <v>386</v>
      </c>
      <c r="Q88" s="20">
        <v>45917.333333333336</v>
      </c>
      <c r="R88" s="20">
        <v>45917.666666666664</v>
      </c>
      <c r="S88" s="17" t="s">
        <v>451</v>
      </c>
      <c r="T88" s="17" t="s">
        <v>452</v>
      </c>
      <c r="U88" s="30" t="s">
        <v>903</v>
      </c>
      <c r="V88" s="30" t="s">
        <v>907</v>
      </c>
      <c r="W88" s="22">
        <v>11.0</v>
      </c>
      <c r="X88" s="22">
        <v>0.0</v>
      </c>
      <c r="Y88" s="23">
        <v>0.0</v>
      </c>
      <c r="Z88" s="23">
        <v>0.0</v>
      </c>
      <c r="AA88" s="24">
        <v>0.0</v>
      </c>
      <c r="AB88" s="24">
        <v>0.0</v>
      </c>
      <c r="AC88" s="24">
        <v>0.0</v>
      </c>
      <c r="AD88" s="23">
        <v>0.0</v>
      </c>
      <c r="AE88" s="24">
        <v>0.0</v>
      </c>
      <c r="AF88" s="17" t="s">
        <v>451</v>
      </c>
      <c r="AG88" s="17">
        <v>320.0</v>
      </c>
      <c r="AH88" s="17" t="s">
        <v>451</v>
      </c>
      <c r="AI88" s="25">
        <f>IF(AF88="Sim",INT((R88-Q88+1))*K88*VLOOKUP(P88,'Tabelas Auxiliares'!$A$1:$C$400,3,FALSE),0)</f>
        <v>0</v>
      </c>
      <c r="AJ88" s="25">
        <f t="shared" si="2"/>
        <v>224</v>
      </c>
      <c r="AK88" s="25">
        <f>IFS(
  O88="Acre",((W88*0.15)+(X88*0.7))*VLOOKUP(P88,'MunicípiosEstados'!$A$2:$B$23,2,FALSE),
  O88="Alagoas",((W88*0.15)+(X88*0.7))*VLOOKUP(P88,'MunicípiosEstados'!$C$2:$D$103,2,FALSE),
  O88="Amapá",((W88*0.15)+(X88*0.7))*VLOOKUP(P88,'MunicípiosEstados'!$E$2:$F$17,2,FALSE),
  O88="Amazonas",((W88*0.15)+(X88*0.7))*VLOOKUP(P88,'MunicípiosEstados'!$G$2:$H$63,2,FALSE),
  O88="Bahia",((W88*0.15)+(X88*0.7))*VLOOKUP(P88,'MunicípiosEstados'!$I$2:$J$418,2,FALSE),
  O88="Ceará",((W88*0.15)+(X88*0.7))*VLOOKUP(P88,'MunicípiosEstados'!$K$2:$L$185,2,FALSE),
  O88="Distrito Federal",((W88*0.15)+(X88*0.7))*VLOOKUP(P88,'MunicípiosEstados'!$M$2:$N$2,2,FALSE),
  O88="Espírito Santo",((W88*0.15)+(X88*0.7))*VLOOKUP(P88,'MunicípiosEstados'!$O$2:$P$79,2,FALSE),
  O88="Goiás",((W88*0.15)+(X88*0.7))*VLOOKUP(P88,'MunicípiosEstados'!$Q$2:$R$247,2,FALSE),
  O88="Maranhão",((W88*0.15)+(X88*0.7))*VLOOKUP(P88,'MunicípiosEstados'!$S$2:$T$218,2,FALSE),
  O88="Mato Grosso",((W88*0.15)+(X88*0.7))*VLOOKUP(P88,'MunicípiosEstados'!$U$2:$V$143,2,FALSE),
  O88="Mato Grosso do Sul",((W88*0.15)+(X88*0.7))*VLOOKUP(P88,'MunicípiosEstados'!$W$2:$X$80,2,FALSE),
  O88="Minas Gerais",((W88*0.15)+(X88*0.7))*VLOOKUP(P88,'MunicípiosEstados'!$Y$2:$Z$854,2,FALSE),
  O88="Pará",((W88*0.15)+(X88*0.7))*VLOOKUP(P88,'MunicípiosEstados'!$AA$2:$AB$145,2,FALSE),
  O88="Paraíba",((W88*0.15)+(X88*0.7))*VLOOKUP(P88,'MunicípiosEstados'!$AC$2:$AD$224,2,FALSE),
  O88="Paraná",((W88*0.15)+(X88*0.7))*VLOOKUP(P88,'MunicípiosEstados'!$AE$2:$AF$400,2,FALSE),
  O88="Pernambuco",((W88*0.15)+(X88*0.7))*VLOOKUP(P88,'MunicípiosEstados'!$AG$2:$AH$186,2,FALSE),
  O88="Piauí",((W88*0.15)+(X88*0.7))*VLOOKUP(P88,'MunicípiosEstados'!$AI$2:$AJ$225,2,FALSE),
  O88="Rio Grande do Norte",((W88*0.15)+(X88*0.7))*VLOOKUP(P88,'MunicípiosEstados'!$AK$2:$AL$168,2,FALSE),
  O88="Rio Grande do Sul",((W88*0.15)+(X88*0.7))*VLOOKUP(P88,'MunicípiosEstados'!$AM$2:$AN$498,2,FALSE),
  O88="Rio de Janeiro",((W88*0.15)+(X88*0.7))*VLOOKUP(P88,'MunicípiosEstados'!$AO$2:$AP$93,2,FALSE),
  O88="Rondônia",((W88*0.15)+(X88*0.7))*VLOOKUP(P88,'MunicípiosEstados'!$AQ$2:$AR$53,2,FALSE),
  O88="Roraima",((W88*0.15)+(X88*0.7))*VLOOKUP(P88,'MunicípiosEstados'!$AS$2:$AT$16,2,FALSE),
  O88="Santa Catarina",((W88*0.15)+(X88*0.7))*VLOOKUP(P88,'MunicípiosEstados'!$AU$2:$AV$296,2,FALSE),
  O88="São Paulo",((W88*0.15)+(X88*0.7))*VLOOKUP(P88,'MunicípiosEstados'!$AW$2:$AX$646,2,FALSE),
  O88="Sergipe",((W88*0.15)+(X88*0.7))*VLOOKUP(P88,'MunicípiosEstados'!$AY$2:$AZ$76,2,FALSE),
  O88="Tocantins",((W88*0.15)+(X88*0.7))*VLOOKUP(P88,'MunicípiosEstados'!$BA$2:$BB$140,2,FALSE),
  O88="Exterior",((W88*0.15)+(X88*0.7))*VLOOKUP(P88,'MunicípiosEstados'!$BC$2:$BE$221,3,FALSE),TRUE,0
)
</f>
        <v>479.4075</v>
      </c>
      <c r="AL88" s="25">
        <f t="shared" si="3"/>
        <v>703.4075</v>
      </c>
    </row>
    <row r="89" ht="22.5" hidden="1" customHeight="1">
      <c r="A89" s="15">
        <f t="shared" si="1"/>
        <v>88</v>
      </c>
      <c r="B89" s="16">
        <v>45985.501557870375</v>
      </c>
      <c r="C89" s="17" t="s">
        <v>871</v>
      </c>
      <c r="D89" s="27" t="s">
        <v>443</v>
      </c>
      <c r="E89" s="15" t="str">
        <f>VLOOKUP(G89,DiretoriaDepart.Coord.!$A$1:$C$72,2,FALSE)</f>
        <v>Extensão Rural</v>
      </c>
      <c r="F89" s="15" t="str">
        <f>VLOOKUP(G89,DiretoriaDepart.Coord.!$A$1:$C$72,3,FALSE)</f>
        <v>Projetos e Cadeias Produtivas</v>
      </c>
      <c r="G89" s="17" t="s">
        <v>903</v>
      </c>
      <c r="H89" s="15"/>
      <c r="I89" s="17" t="s">
        <v>913</v>
      </c>
      <c r="J89" s="17" t="s">
        <v>728</v>
      </c>
      <c r="K89" s="17">
        <v>11.0</v>
      </c>
      <c r="L89" s="15"/>
      <c r="M89" s="17" t="s">
        <v>905</v>
      </c>
      <c r="N89" s="17">
        <v>0.0</v>
      </c>
      <c r="O89" s="17" t="s">
        <v>714</v>
      </c>
      <c r="P89" s="17" t="s">
        <v>386</v>
      </c>
      <c r="Q89" s="20">
        <v>45951.333333333336</v>
      </c>
      <c r="R89" s="20">
        <v>45951.666666666664</v>
      </c>
      <c r="S89" s="17" t="s">
        <v>451</v>
      </c>
      <c r="T89" s="17" t="s">
        <v>452</v>
      </c>
      <c r="U89" s="30" t="s">
        <v>903</v>
      </c>
      <c r="V89" s="30" t="s">
        <v>907</v>
      </c>
      <c r="W89" s="22">
        <v>11.0</v>
      </c>
      <c r="X89" s="22">
        <v>0.0</v>
      </c>
      <c r="Y89" s="23">
        <v>0.0</v>
      </c>
      <c r="Z89" s="23">
        <v>0.0</v>
      </c>
      <c r="AA89" s="24">
        <v>0.0</v>
      </c>
      <c r="AB89" s="24">
        <v>0.0</v>
      </c>
      <c r="AC89" s="24">
        <v>0.0</v>
      </c>
      <c r="AD89" s="23">
        <v>0.0</v>
      </c>
      <c r="AE89" s="24">
        <v>0.0</v>
      </c>
      <c r="AF89" s="17" t="s">
        <v>451</v>
      </c>
      <c r="AG89" s="17">
        <v>320.0</v>
      </c>
      <c r="AH89" s="17" t="s">
        <v>451</v>
      </c>
      <c r="AI89" s="25">
        <f>IF(AF89="Sim",INT((R89-Q89+1))*K89*VLOOKUP(P89,'Tabelas Auxiliares'!$A$1:$C$400,3,FALSE),0)</f>
        <v>0</v>
      </c>
      <c r="AJ89" s="25">
        <f t="shared" si="2"/>
        <v>224</v>
      </c>
      <c r="AK89" s="25">
        <f>IFS(
  O89="Acre",((W89*0.15)+(X89*0.7))*VLOOKUP(P89,'MunicípiosEstados'!$A$2:$B$23,2,FALSE),
  O89="Alagoas",((W89*0.15)+(X89*0.7))*VLOOKUP(P89,'MunicípiosEstados'!$C$2:$D$103,2,FALSE),
  O89="Amapá",((W89*0.15)+(X89*0.7))*VLOOKUP(P89,'MunicípiosEstados'!$E$2:$F$17,2,FALSE),
  O89="Amazonas",((W89*0.15)+(X89*0.7))*VLOOKUP(P89,'MunicípiosEstados'!$G$2:$H$63,2,FALSE),
  O89="Bahia",((W89*0.15)+(X89*0.7))*VLOOKUP(P89,'MunicípiosEstados'!$I$2:$J$418,2,FALSE),
  O89="Ceará",((W89*0.15)+(X89*0.7))*VLOOKUP(P89,'MunicípiosEstados'!$K$2:$L$185,2,FALSE),
  O89="Distrito Federal",((W89*0.15)+(X89*0.7))*VLOOKUP(P89,'MunicípiosEstados'!$M$2:$N$2,2,FALSE),
  O89="Espírito Santo",((W89*0.15)+(X89*0.7))*VLOOKUP(P89,'MunicípiosEstados'!$O$2:$P$79,2,FALSE),
  O89="Goiás",((W89*0.15)+(X89*0.7))*VLOOKUP(P89,'MunicípiosEstados'!$Q$2:$R$247,2,FALSE),
  O89="Maranhão",((W89*0.15)+(X89*0.7))*VLOOKUP(P89,'MunicípiosEstados'!$S$2:$T$218,2,FALSE),
  O89="Mato Grosso",((W89*0.15)+(X89*0.7))*VLOOKUP(P89,'MunicípiosEstados'!$U$2:$V$143,2,FALSE),
  O89="Mato Grosso do Sul",((W89*0.15)+(X89*0.7))*VLOOKUP(P89,'MunicípiosEstados'!$W$2:$X$80,2,FALSE),
  O89="Minas Gerais",((W89*0.15)+(X89*0.7))*VLOOKUP(P89,'MunicípiosEstados'!$Y$2:$Z$854,2,FALSE),
  O89="Pará",((W89*0.15)+(X89*0.7))*VLOOKUP(P89,'MunicípiosEstados'!$AA$2:$AB$145,2,FALSE),
  O89="Paraíba",((W89*0.15)+(X89*0.7))*VLOOKUP(P89,'MunicípiosEstados'!$AC$2:$AD$224,2,FALSE),
  O89="Paraná",((W89*0.15)+(X89*0.7))*VLOOKUP(P89,'MunicípiosEstados'!$AE$2:$AF$400,2,FALSE),
  O89="Pernambuco",((W89*0.15)+(X89*0.7))*VLOOKUP(P89,'MunicípiosEstados'!$AG$2:$AH$186,2,FALSE),
  O89="Piauí",((W89*0.15)+(X89*0.7))*VLOOKUP(P89,'MunicípiosEstados'!$AI$2:$AJ$225,2,FALSE),
  O89="Rio Grande do Norte",((W89*0.15)+(X89*0.7))*VLOOKUP(P89,'MunicípiosEstados'!$AK$2:$AL$168,2,FALSE),
  O89="Rio Grande do Sul",((W89*0.15)+(X89*0.7))*VLOOKUP(P89,'MunicípiosEstados'!$AM$2:$AN$498,2,FALSE),
  O89="Rio de Janeiro",((W89*0.15)+(X89*0.7))*VLOOKUP(P89,'MunicípiosEstados'!$AO$2:$AP$93,2,FALSE),
  O89="Rondônia",((W89*0.15)+(X89*0.7))*VLOOKUP(P89,'MunicípiosEstados'!$AQ$2:$AR$53,2,FALSE),
  O89="Roraima",((W89*0.15)+(X89*0.7))*VLOOKUP(P89,'MunicípiosEstados'!$AS$2:$AT$16,2,FALSE),
  O89="Santa Catarina",((W89*0.15)+(X89*0.7))*VLOOKUP(P89,'MunicípiosEstados'!$AU$2:$AV$296,2,FALSE),
  O89="São Paulo",((W89*0.15)+(X89*0.7))*VLOOKUP(P89,'MunicípiosEstados'!$AW$2:$AX$646,2,FALSE),
  O89="Sergipe",((W89*0.15)+(X89*0.7))*VLOOKUP(P89,'MunicípiosEstados'!$AY$2:$AZ$76,2,FALSE),
  O89="Tocantins",((W89*0.15)+(X89*0.7))*VLOOKUP(P89,'MunicípiosEstados'!$BA$2:$BB$140,2,FALSE),
  O89="Exterior",((W89*0.15)+(X89*0.7))*VLOOKUP(P89,'MunicípiosEstados'!$BC$2:$BE$221,3,FALSE),TRUE,0
)
</f>
        <v>479.4075</v>
      </c>
      <c r="AL89" s="25">
        <f t="shared" si="3"/>
        <v>703.4075</v>
      </c>
    </row>
    <row r="90" ht="22.5" hidden="1" customHeight="1">
      <c r="A90" s="15">
        <f t="shared" si="1"/>
        <v>89</v>
      </c>
      <c r="B90" s="16">
        <v>45985.50210355324</v>
      </c>
      <c r="C90" s="17" t="s">
        <v>914</v>
      </c>
      <c r="D90" s="27" t="s">
        <v>443</v>
      </c>
      <c r="E90" s="15" t="str">
        <f>VLOOKUP(G90,DiretoriaDepart.Coord.!$A$1:$C$72,2,FALSE)</f>
        <v>Extensão Rural</v>
      </c>
      <c r="F90" s="15" t="str">
        <f>VLOOKUP(G90,DiretoriaDepart.Coord.!$A$1:$C$72,3,FALSE)</f>
        <v>Projetos e Cadeias Produtivas</v>
      </c>
      <c r="G90" s="17" t="s">
        <v>903</v>
      </c>
      <c r="H90" s="15"/>
      <c r="I90" s="17" t="s">
        <v>915</v>
      </c>
      <c r="J90" s="17" t="s">
        <v>728</v>
      </c>
      <c r="K90" s="34" t="s">
        <v>774</v>
      </c>
      <c r="L90" s="15"/>
      <c r="M90" s="17" t="s">
        <v>916</v>
      </c>
      <c r="N90" s="17">
        <v>15.0</v>
      </c>
      <c r="O90" s="17" t="s">
        <v>714</v>
      </c>
      <c r="P90" s="17" t="s">
        <v>42</v>
      </c>
      <c r="Q90" s="20">
        <v>45727.333333333336</v>
      </c>
      <c r="R90" s="20">
        <v>45729.708333333336</v>
      </c>
      <c r="S90" s="17" t="s">
        <v>464</v>
      </c>
      <c r="T90" s="17" t="s">
        <v>452</v>
      </c>
      <c r="U90" s="30" t="s">
        <v>917</v>
      </c>
      <c r="V90" s="30" t="s">
        <v>918</v>
      </c>
      <c r="W90" s="22">
        <v>20.0</v>
      </c>
      <c r="X90" s="22">
        <v>6.0</v>
      </c>
      <c r="Y90" s="39">
        <v>0.0</v>
      </c>
      <c r="Z90" s="23">
        <v>0.0</v>
      </c>
      <c r="AA90" s="24">
        <v>0.0</v>
      </c>
      <c r="AB90" s="24">
        <v>0.0</v>
      </c>
      <c r="AC90" s="24">
        <v>0.0</v>
      </c>
      <c r="AD90" s="23">
        <v>0.0</v>
      </c>
      <c r="AE90" s="24">
        <v>0.0</v>
      </c>
      <c r="AF90" s="17" t="s">
        <v>451</v>
      </c>
      <c r="AG90" s="17">
        <v>600.0</v>
      </c>
      <c r="AH90" s="17" t="s">
        <v>451</v>
      </c>
      <c r="AI90" s="25">
        <f>IF(AF90="Sim",INT((R90-Q90+1))*K90*VLOOKUP(P90,'Tabelas Auxiliares'!$A$1:$C$400,3,FALSE),0)</f>
        <v>0</v>
      </c>
      <c r="AJ90" s="25">
        <f t="shared" si="2"/>
        <v>420</v>
      </c>
      <c r="AK90" s="25">
        <f>IFS(
  O90="Acre",((W90*0.15)+(X90*0.7))*VLOOKUP(P90,'MunicípiosEstados'!$A$2:$B$23,2,FALSE),
  O90="Alagoas",((W90*0.15)+(X90*0.7))*VLOOKUP(P90,'MunicípiosEstados'!$C$2:$D$103,2,FALSE),
  O90="Amapá",((W90*0.15)+(X90*0.7))*VLOOKUP(P90,'MunicípiosEstados'!$E$2:$F$17,2,FALSE),
  O90="Amazonas",((W90*0.15)+(X90*0.7))*VLOOKUP(P90,'MunicípiosEstados'!$G$2:$H$63,2,FALSE),
  O90="Bahia",((W90*0.15)+(X90*0.7))*VLOOKUP(P90,'MunicípiosEstados'!$I$2:$J$418,2,FALSE),
  O90="Ceará",((W90*0.15)+(X90*0.7))*VLOOKUP(P90,'MunicípiosEstados'!$K$2:$L$185,2,FALSE),
  O90="Distrito Federal",((W90*0.15)+(X90*0.7))*VLOOKUP(P90,'MunicípiosEstados'!$M$2:$N$2,2,FALSE),
  O90="Espírito Santo",((W90*0.15)+(X90*0.7))*VLOOKUP(P90,'MunicípiosEstados'!$O$2:$P$79,2,FALSE),
  O90="Goiás",((W90*0.15)+(X90*0.7))*VLOOKUP(P90,'MunicípiosEstados'!$Q$2:$R$247,2,FALSE),
  O90="Maranhão",((W90*0.15)+(X90*0.7))*VLOOKUP(P90,'MunicípiosEstados'!$S$2:$T$218,2,FALSE),
  O90="Mato Grosso",((W90*0.15)+(X90*0.7))*VLOOKUP(P90,'MunicípiosEstados'!$U$2:$V$143,2,FALSE),
  O90="Mato Grosso do Sul",((W90*0.15)+(X90*0.7))*VLOOKUP(P90,'MunicípiosEstados'!$W$2:$X$80,2,FALSE),
  O90="Minas Gerais",((W90*0.15)+(X90*0.7))*VLOOKUP(P90,'MunicípiosEstados'!$Y$2:$Z$854,2,FALSE),
  O90="Pará",((W90*0.15)+(X90*0.7))*VLOOKUP(P90,'MunicípiosEstados'!$AA$2:$AB$145,2,FALSE),
  O90="Paraíba",((W90*0.15)+(X90*0.7))*VLOOKUP(P90,'MunicípiosEstados'!$AC$2:$AD$224,2,FALSE),
  O90="Paraná",((W90*0.15)+(X90*0.7))*VLOOKUP(P90,'MunicípiosEstados'!$AE$2:$AF$400,2,FALSE),
  O90="Pernambuco",((W90*0.15)+(X90*0.7))*VLOOKUP(P90,'MunicípiosEstados'!$AG$2:$AH$186,2,FALSE),
  O90="Piauí",((W90*0.15)+(X90*0.7))*VLOOKUP(P90,'MunicípiosEstados'!$AI$2:$AJ$225,2,FALSE),
  O90="Rio Grande do Norte",((W90*0.15)+(X90*0.7))*VLOOKUP(P90,'MunicípiosEstados'!$AK$2:$AL$168,2,FALSE),
  O90="Rio Grande do Sul",((W90*0.15)+(X90*0.7))*VLOOKUP(P90,'MunicípiosEstados'!$AM$2:$AN$498,2,FALSE),
  O90="Rio de Janeiro",((W90*0.15)+(X90*0.7))*VLOOKUP(P90,'MunicípiosEstados'!$AO$2:$AP$93,2,FALSE),
  O90="Rondônia",((W90*0.15)+(X90*0.7))*VLOOKUP(P90,'MunicípiosEstados'!$AQ$2:$AR$53,2,FALSE),
  O90="Roraima",((W90*0.15)+(X90*0.7))*VLOOKUP(P90,'MunicípiosEstados'!$AS$2:$AT$16,2,FALSE),
  O90="Santa Catarina",((W90*0.15)+(X90*0.7))*VLOOKUP(P90,'MunicípiosEstados'!$AU$2:$AV$296,2,FALSE),
  O90="São Paulo",((W90*0.15)+(X90*0.7))*VLOOKUP(P90,'MunicípiosEstados'!$AW$2:$AX$646,2,FALSE),
  O90="Sergipe",((W90*0.15)+(X90*0.7))*VLOOKUP(P90,'MunicípiosEstados'!$AY$2:$AZ$76,2,FALSE),
  O90="Tocantins",((W90*0.15)+(X90*0.7))*VLOOKUP(P90,'MunicípiosEstados'!$BA$2:$BB$140,2,FALSE),
  O90="Exterior",((W90*0.15)+(X90*0.7))*VLOOKUP(P90,'MunicípiosEstados'!$BC$2:$BE$221,3,FALSE),TRUE,0
)
</f>
        <v>2091.96</v>
      </c>
      <c r="AL90" s="25">
        <f t="shared" si="3"/>
        <v>2511.96</v>
      </c>
    </row>
    <row r="91" ht="22.5" hidden="1" customHeight="1">
      <c r="A91" s="15">
        <f t="shared" si="1"/>
        <v>90</v>
      </c>
      <c r="B91" s="16">
        <v>45985.504965706015</v>
      </c>
      <c r="C91" s="17" t="s">
        <v>914</v>
      </c>
      <c r="D91" s="27" t="s">
        <v>443</v>
      </c>
      <c r="E91" s="15" t="str">
        <f>VLOOKUP(G91,DiretoriaDepart.Coord.!$A$1:$C$72,2,FALSE)</f>
        <v>Extensão Rural</v>
      </c>
      <c r="F91" s="15" t="str">
        <f>VLOOKUP(G91,DiretoriaDepart.Coord.!$A$1:$C$72,3,FALSE)</f>
        <v>Projetos e Cadeias Produtivas</v>
      </c>
      <c r="G91" s="17" t="s">
        <v>903</v>
      </c>
      <c r="H91" s="15"/>
      <c r="I91" s="17" t="s">
        <v>919</v>
      </c>
      <c r="J91" s="17" t="s">
        <v>728</v>
      </c>
      <c r="K91" s="17">
        <v>2.0</v>
      </c>
      <c r="L91" s="15"/>
      <c r="M91" s="17" t="s">
        <v>920</v>
      </c>
      <c r="N91" s="17">
        <v>15.0</v>
      </c>
      <c r="O91" s="17" t="s">
        <v>714</v>
      </c>
      <c r="P91" s="17" t="s">
        <v>42</v>
      </c>
      <c r="Q91" s="20">
        <v>45755.333333333336</v>
      </c>
      <c r="R91" s="20">
        <v>45757.708333333336</v>
      </c>
      <c r="S91" s="17" t="s">
        <v>464</v>
      </c>
      <c r="T91" s="17" t="s">
        <v>452</v>
      </c>
      <c r="U91" s="30" t="s">
        <v>921</v>
      </c>
      <c r="V91" s="30" t="s">
        <v>918</v>
      </c>
      <c r="W91" s="22">
        <v>20.0</v>
      </c>
      <c r="X91" s="22">
        <v>6.0</v>
      </c>
      <c r="Y91" s="39">
        <v>0.0</v>
      </c>
      <c r="Z91" s="23">
        <v>0.0</v>
      </c>
      <c r="AA91" s="24">
        <v>0.0</v>
      </c>
      <c r="AB91" s="24">
        <v>0.0</v>
      </c>
      <c r="AC91" s="24">
        <v>0.0</v>
      </c>
      <c r="AD91" s="23">
        <v>0.0</v>
      </c>
      <c r="AE91" s="24">
        <v>0.0</v>
      </c>
      <c r="AF91" s="17" t="s">
        <v>451</v>
      </c>
      <c r="AG91" s="17">
        <v>600.0</v>
      </c>
      <c r="AH91" s="17" t="s">
        <v>451</v>
      </c>
      <c r="AI91" s="25">
        <f>IF(AF91="Sim",INT((R91-Q91+1))*K91*VLOOKUP(P91,'Tabelas Auxiliares'!$A$1:$C$400,3,FALSE),0)</f>
        <v>0</v>
      </c>
      <c r="AJ91" s="25">
        <f t="shared" si="2"/>
        <v>420</v>
      </c>
      <c r="AK91" s="25">
        <f>IFS(
  O91="Acre",((W91*0.15)+(X91*0.7))*VLOOKUP(P91,'MunicípiosEstados'!$A$2:$B$23,2,FALSE),
  O91="Alagoas",((W91*0.15)+(X91*0.7))*VLOOKUP(P91,'MunicípiosEstados'!$C$2:$D$103,2,FALSE),
  O91="Amapá",((W91*0.15)+(X91*0.7))*VLOOKUP(P91,'MunicípiosEstados'!$E$2:$F$17,2,FALSE),
  O91="Amazonas",((W91*0.15)+(X91*0.7))*VLOOKUP(P91,'MunicípiosEstados'!$G$2:$H$63,2,FALSE),
  O91="Bahia",((W91*0.15)+(X91*0.7))*VLOOKUP(P91,'MunicípiosEstados'!$I$2:$J$418,2,FALSE),
  O91="Ceará",((W91*0.15)+(X91*0.7))*VLOOKUP(P91,'MunicípiosEstados'!$K$2:$L$185,2,FALSE),
  O91="Distrito Federal",((W91*0.15)+(X91*0.7))*VLOOKUP(P91,'MunicípiosEstados'!$M$2:$N$2,2,FALSE),
  O91="Espírito Santo",((W91*0.15)+(X91*0.7))*VLOOKUP(P91,'MunicípiosEstados'!$O$2:$P$79,2,FALSE),
  O91="Goiás",((W91*0.15)+(X91*0.7))*VLOOKUP(P91,'MunicípiosEstados'!$Q$2:$R$247,2,FALSE),
  O91="Maranhão",((W91*0.15)+(X91*0.7))*VLOOKUP(P91,'MunicípiosEstados'!$S$2:$T$218,2,FALSE),
  O91="Mato Grosso",((W91*0.15)+(X91*0.7))*VLOOKUP(P91,'MunicípiosEstados'!$U$2:$V$143,2,FALSE),
  O91="Mato Grosso do Sul",((W91*0.15)+(X91*0.7))*VLOOKUP(P91,'MunicípiosEstados'!$W$2:$X$80,2,FALSE),
  O91="Minas Gerais",((W91*0.15)+(X91*0.7))*VLOOKUP(P91,'MunicípiosEstados'!$Y$2:$Z$854,2,FALSE),
  O91="Pará",((W91*0.15)+(X91*0.7))*VLOOKUP(P91,'MunicípiosEstados'!$AA$2:$AB$145,2,FALSE),
  O91="Paraíba",((W91*0.15)+(X91*0.7))*VLOOKUP(P91,'MunicípiosEstados'!$AC$2:$AD$224,2,FALSE),
  O91="Paraná",((W91*0.15)+(X91*0.7))*VLOOKUP(P91,'MunicípiosEstados'!$AE$2:$AF$400,2,FALSE),
  O91="Pernambuco",((W91*0.15)+(X91*0.7))*VLOOKUP(P91,'MunicípiosEstados'!$AG$2:$AH$186,2,FALSE),
  O91="Piauí",((W91*0.15)+(X91*0.7))*VLOOKUP(P91,'MunicípiosEstados'!$AI$2:$AJ$225,2,FALSE),
  O91="Rio Grande do Norte",((W91*0.15)+(X91*0.7))*VLOOKUP(P91,'MunicípiosEstados'!$AK$2:$AL$168,2,FALSE),
  O91="Rio Grande do Sul",((W91*0.15)+(X91*0.7))*VLOOKUP(P91,'MunicípiosEstados'!$AM$2:$AN$498,2,FALSE),
  O91="Rio de Janeiro",((W91*0.15)+(X91*0.7))*VLOOKUP(P91,'MunicípiosEstados'!$AO$2:$AP$93,2,FALSE),
  O91="Rondônia",((W91*0.15)+(X91*0.7))*VLOOKUP(P91,'MunicípiosEstados'!$AQ$2:$AR$53,2,FALSE),
  O91="Roraima",((W91*0.15)+(X91*0.7))*VLOOKUP(P91,'MunicípiosEstados'!$AS$2:$AT$16,2,FALSE),
  O91="Santa Catarina",((W91*0.15)+(X91*0.7))*VLOOKUP(P91,'MunicípiosEstados'!$AU$2:$AV$296,2,FALSE),
  O91="São Paulo",((W91*0.15)+(X91*0.7))*VLOOKUP(P91,'MunicípiosEstados'!$AW$2:$AX$646,2,FALSE),
  O91="Sergipe",((W91*0.15)+(X91*0.7))*VLOOKUP(P91,'MunicípiosEstados'!$AY$2:$AZ$76,2,FALSE),
  O91="Tocantins",((W91*0.15)+(X91*0.7))*VLOOKUP(P91,'MunicípiosEstados'!$BA$2:$BB$140,2,FALSE),
  O91="Exterior",((W91*0.15)+(X91*0.7))*VLOOKUP(P91,'MunicípiosEstados'!$BC$2:$BE$221,3,FALSE),TRUE,0
)
</f>
        <v>2091.96</v>
      </c>
      <c r="AL91" s="25">
        <f t="shared" si="3"/>
        <v>2511.96</v>
      </c>
    </row>
    <row r="92" ht="22.5" hidden="1" customHeight="1">
      <c r="A92" s="15">
        <f t="shared" si="1"/>
        <v>91</v>
      </c>
      <c r="B92" s="16">
        <v>45985.513648252316</v>
      </c>
      <c r="C92" s="17" t="s">
        <v>914</v>
      </c>
      <c r="D92" s="27" t="s">
        <v>443</v>
      </c>
      <c r="E92" s="15" t="str">
        <f>VLOOKUP(G92,DiretoriaDepart.Coord.!$A$1:$C$72,2,FALSE)</f>
        <v>Extensão Rural</v>
      </c>
      <c r="F92" s="15" t="str">
        <f>VLOOKUP(G92,DiretoriaDepart.Coord.!$A$1:$C$72,3,FALSE)</f>
        <v>Projetos e Cadeias Produtivas</v>
      </c>
      <c r="G92" s="17" t="s">
        <v>903</v>
      </c>
      <c r="H92" s="15"/>
      <c r="I92" s="17" t="s">
        <v>922</v>
      </c>
      <c r="J92" s="17" t="s">
        <v>728</v>
      </c>
      <c r="K92" s="17">
        <v>2.0</v>
      </c>
      <c r="L92" s="15"/>
      <c r="M92" s="17" t="s">
        <v>920</v>
      </c>
      <c r="N92" s="17">
        <v>15.0</v>
      </c>
      <c r="O92" s="17" t="s">
        <v>714</v>
      </c>
      <c r="P92" s="17" t="s">
        <v>42</v>
      </c>
      <c r="Q92" s="20">
        <v>45783.333333333336</v>
      </c>
      <c r="R92" s="20">
        <v>45785.708333333336</v>
      </c>
      <c r="S92" s="17" t="s">
        <v>464</v>
      </c>
      <c r="T92" s="17" t="s">
        <v>452</v>
      </c>
      <c r="U92" s="30" t="s">
        <v>921</v>
      </c>
      <c r="V92" s="30" t="s">
        <v>918</v>
      </c>
      <c r="W92" s="22">
        <v>20.0</v>
      </c>
      <c r="X92" s="22">
        <v>6.0</v>
      </c>
      <c r="Y92" s="39">
        <v>0.0</v>
      </c>
      <c r="Z92" s="23">
        <v>0.0</v>
      </c>
      <c r="AA92" s="24">
        <v>0.0</v>
      </c>
      <c r="AB92" s="24">
        <v>0.0</v>
      </c>
      <c r="AC92" s="24">
        <v>0.0</v>
      </c>
      <c r="AD92" s="23">
        <v>0.0</v>
      </c>
      <c r="AE92" s="24">
        <v>0.0</v>
      </c>
      <c r="AF92" s="17" t="s">
        <v>451</v>
      </c>
      <c r="AG92" s="17">
        <v>600.0</v>
      </c>
      <c r="AH92" s="17" t="s">
        <v>451</v>
      </c>
      <c r="AI92" s="25">
        <f>IF(AF92="Sim",INT((R92-Q92+1))*K92*VLOOKUP(P92,'Tabelas Auxiliares'!$A$1:$C$400,3,FALSE),0)</f>
        <v>0</v>
      </c>
      <c r="AJ92" s="25">
        <f t="shared" si="2"/>
        <v>420</v>
      </c>
      <c r="AK92" s="25">
        <f>IFS(
  O92="Acre",((W92*0.15)+(X92*0.7))*VLOOKUP(P92,'MunicípiosEstados'!$A$2:$B$23,2,FALSE),
  O92="Alagoas",((W92*0.15)+(X92*0.7))*VLOOKUP(P92,'MunicípiosEstados'!$C$2:$D$103,2,FALSE),
  O92="Amapá",((W92*0.15)+(X92*0.7))*VLOOKUP(P92,'MunicípiosEstados'!$E$2:$F$17,2,FALSE),
  O92="Amazonas",((W92*0.15)+(X92*0.7))*VLOOKUP(P92,'MunicípiosEstados'!$G$2:$H$63,2,FALSE),
  O92="Bahia",((W92*0.15)+(X92*0.7))*VLOOKUP(P92,'MunicípiosEstados'!$I$2:$J$418,2,FALSE),
  O92="Ceará",((W92*0.15)+(X92*0.7))*VLOOKUP(P92,'MunicípiosEstados'!$K$2:$L$185,2,FALSE),
  O92="Distrito Federal",((W92*0.15)+(X92*0.7))*VLOOKUP(P92,'MunicípiosEstados'!$M$2:$N$2,2,FALSE),
  O92="Espírito Santo",((W92*0.15)+(X92*0.7))*VLOOKUP(P92,'MunicípiosEstados'!$O$2:$P$79,2,FALSE),
  O92="Goiás",((W92*0.15)+(X92*0.7))*VLOOKUP(P92,'MunicípiosEstados'!$Q$2:$R$247,2,FALSE),
  O92="Maranhão",((W92*0.15)+(X92*0.7))*VLOOKUP(P92,'MunicípiosEstados'!$S$2:$T$218,2,FALSE),
  O92="Mato Grosso",((W92*0.15)+(X92*0.7))*VLOOKUP(P92,'MunicípiosEstados'!$U$2:$V$143,2,FALSE),
  O92="Mato Grosso do Sul",((W92*0.15)+(X92*0.7))*VLOOKUP(P92,'MunicípiosEstados'!$W$2:$X$80,2,FALSE),
  O92="Minas Gerais",((W92*0.15)+(X92*0.7))*VLOOKUP(P92,'MunicípiosEstados'!$Y$2:$Z$854,2,FALSE),
  O92="Pará",((W92*0.15)+(X92*0.7))*VLOOKUP(P92,'MunicípiosEstados'!$AA$2:$AB$145,2,FALSE),
  O92="Paraíba",((W92*0.15)+(X92*0.7))*VLOOKUP(P92,'MunicípiosEstados'!$AC$2:$AD$224,2,FALSE),
  O92="Paraná",((W92*0.15)+(X92*0.7))*VLOOKUP(P92,'MunicípiosEstados'!$AE$2:$AF$400,2,FALSE),
  O92="Pernambuco",((W92*0.15)+(X92*0.7))*VLOOKUP(P92,'MunicípiosEstados'!$AG$2:$AH$186,2,FALSE),
  O92="Piauí",((W92*0.15)+(X92*0.7))*VLOOKUP(P92,'MunicípiosEstados'!$AI$2:$AJ$225,2,FALSE),
  O92="Rio Grande do Norte",((W92*0.15)+(X92*0.7))*VLOOKUP(P92,'MunicípiosEstados'!$AK$2:$AL$168,2,FALSE),
  O92="Rio Grande do Sul",((W92*0.15)+(X92*0.7))*VLOOKUP(P92,'MunicípiosEstados'!$AM$2:$AN$498,2,FALSE),
  O92="Rio de Janeiro",((W92*0.15)+(X92*0.7))*VLOOKUP(P92,'MunicípiosEstados'!$AO$2:$AP$93,2,FALSE),
  O92="Rondônia",((W92*0.15)+(X92*0.7))*VLOOKUP(P92,'MunicípiosEstados'!$AQ$2:$AR$53,2,FALSE),
  O92="Roraima",((W92*0.15)+(X92*0.7))*VLOOKUP(P92,'MunicípiosEstados'!$AS$2:$AT$16,2,FALSE),
  O92="Santa Catarina",((W92*0.15)+(X92*0.7))*VLOOKUP(P92,'MunicípiosEstados'!$AU$2:$AV$296,2,FALSE),
  O92="São Paulo",((W92*0.15)+(X92*0.7))*VLOOKUP(P92,'MunicípiosEstados'!$AW$2:$AX$646,2,FALSE),
  O92="Sergipe",((W92*0.15)+(X92*0.7))*VLOOKUP(P92,'MunicípiosEstados'!$AY$2:$AZ$76,2,FALSE),
  O92="Tocantins",((W92*0.15)+(X92*0.7))*VLOOKUP(P92,'MunicípiosEstados'!$BA$2:$BB$140,2,FALSE),
  O92="Exterior",((W92*0.15)+(X92*0.7))*VLOOKUP(P92,'MunicípiosEstados'!$BC$2:$BE$221,3,FALSE),TRUE,0
)
</f>
        <v>2091.96</v>
      </c>
      <c r="AL92" s="25">
        <f t="shared" si="3"/>
        <v>2511.96</v>
      </c>
    </row>
    <row r="93" ht="22.5" hidden="1" customHeight="1">
      <c r="A93" s="15">
        <f t="shared" si="1"/>
        <v>92</v>
      </c>
      <c r="B93" s="16">
        <v>45985.52221148148</v>
      </c>
      <c r="C93" s="17" t="s">
        <v>914</v>
      </c>
      <c r="D93" s="27" t="s">
        <v>443</v>
      </c>
      <c r="E93" s="15" t="str">
        <f>VLOOKUP(G93,DiretoriaDepart.Coord.!$A$1:$C$72,2,FALSE)</f>
        <v>Extensão Rural</v>
      </c>
      <c r="F93" s="15" t="str">
        <f>VLOOKUP(G93,DiretoriaDepart.Coord.!$A$1:$C$72,3,FALSE)</f>
        <v>Projetos e Cadeias Produtivas</v>
      </c>
      <c r="G93" s="17" t="s">
        <v>903</v>
      </c>
      <c r="H93" s="15"/>
      <c r="I93" s="17" t="s">
        <v>923</v>
      </c>
      <c r="J93" s="17" t="s">
        <v>728</v>
      </c>
      <c r="K93" s="17">
        <v>2.0</v>
      </c>
      <c r="L93" s="15"/>
      <c r="M93" s="17" t="s">
        <v>920</v>
      </c>
      <c r="N93" s="17">
        <v>15.0</v>
      </c>
      <c r="O93" s="17" t="s">
        <v>714</v>
      </c>
      <c r="P93" s="17" t="s">
        <v>42</v>
      </c>
      <c r="Q93" s="20">
        <v>45818.333333333336</v>
      </c>
      <c r="R93" s="20">
        <v>45820.708333333336</v>
      </c>
      <c r="S93" s="17" t="s">
        <v>464</v>
      </c>
      <c r="T93" s="17" t="s">
        <v>452</v>
      </c>
      <c r="U93" s="30" t="s">
        <v>921</v>
      </c>
      <c r="V93" s="30" t="s">
        <v>918</v>
      </c>
      <c r="W93" s="22">
        <v>20.0</v>
      </c>
      <c r="X93" s="22">
        <v>6.0</v>
      </c>
      <c r="Y93" s="36">
        <v>0.0</v>
      </c>
      <c r="Z93" s="23">
        <v>0.0</v>
      </c>
      <c r="AA93" s="24">
        <v>0.0</v>
      </c>
      <c r="AB93" s="24">
        <v>0.0</v>
      </c>
      <c r="AC93" s="24">
        <v>0.0</v>
      </c>
      <c r="AD93" s="23">
        <v>0.0</v>
      </c>
      <c r="AE93" s="24">
        <v>0.0</v>
      </c>
      <c r="AF93" s="17" t="s">
        <v>451</v>
      </c>
      <c r="AG93" s="17">
        <v>600.0</v>
      </c>
      <c r="AH93" s="17" t="s">
        <v>451</v>
      </c>
      <c r="AI93" s="25">
        <f>IF(AF93="Sim",INT((R93-Q93+1))*K93*VLOOKUP(P93,'Tabelas Auxiliares'!$A$1:$C$400,3,FALSE),0)</f>
        <v>0</v>
      </c>
      <c r="AJ93" s="25">
        <f t="shared" si="2"/>
        <v>420</v>
      </c>
      <c r="AK93" s="25">
        <f>IFS(
  O93="Acre",((W93*0.15)+(X93*0.7))*VLOOKUP(P93,'MunicípiosEstados'!$A$2:$B$23,2,FALSE),
  O93="Alagoas",((W93*0.15)+(X93*0.7))*VLOOKUP(P93,'MunicípiosEstados'!$C$2:$D$103,2,FALSE),
  O93="Amapá",((W93*0.15)+(X93*0.7))*VLOOKUP(P93,'MunicípiosEstados'!$E$2:$F$17,2,FALSE),
  O93="Amazonas",((W93*0.15)+(X93*0.7))*VLOOKUP(P93,'MunicípiosEstados'!$G$2:$H$63,2,FALSE),
  O93="Bahia",((W93*0.15)+(X93*0.7))*VLOOKUP(P93,'MunicípiosEstados'!$I$2:$J$418,2,FALSE),
  O93="Ceará",((W93*0.15)+(X93*0.7))*VLOOKUP(P93,'MunicípiosEstados'!$K$2:$L$185,2,FALSE),
  O93="Distrito Federal",((W93*0.15)+(X93*0.7))*VLOOKUP(P93,'MunicípiosEstados'!$M$2:$N$2,2,FALSE),
  O93="Espírito Santo",((W93*0.15)+(X93*0.7))*VLOOKUP(P93,'MunicípiosEstados'!$O$2:$P$79,2,FALSE),
  O93="Goiás",((W93*0.15)+(X93*0.7))*VLOOKUP(P93,'MunicípiosEstados'!$Q$2:$R$247,2,FALSE),
  O93="Maranhão",((W93*0.15)+(X93*0.7))*VLOOKUP(P93,'MunicípiosEstados'!$S$2:$T$218,2,FALSE),
  O93="Mato Grosso",((W93*0.15)+(X93*0.7))*VLOOKUP(P93,'MunicípiosEstados'!$U$2:$V$143,2,FALSE),
  O93="Mato Grosso do Sul",((W93*0.15)+(X93*0.7))*VLOOKUP(P93,'MunicípiosEstados'!$W$2:$X$80,2,FALSE),
  O93="Minas Gerais",((W93*0.15)+(X93*0.7))*VLOOKUP(P93,'MunicípiosEstados'!$Y$2:$Z$854,2,FALSE),
  O93="Pará",((W93*0.15)+(X93*0.7))*VLOOKUP(P93,'MunicípiosEstados'!$AA$2:$AB$145,2,FALSE),
  O93="Paraíba",((W93*0.15)+(X93*0.7))*VLOOKUP(P93,'MunicípiosEstados'!$AC$2:$AD$224,2,FALSE),
  O93="Paraná",((W93*0.15)+(X93*0.7))*VLOOKUP(P93,'MunicípiosEstados'!$AE$2:$AF$400,2,FALSE),
  O93="Pernambuco",((W93*0.15)+(X93*0.7))*VLOOKUP(P93,'MunicípiosEstados'!$AG$2:$AH$186,2,FALSE),
  O93="Piauí",((W93*0.15)+(X93*0.7))*VLOOKUP(P93,'MunicípiosEstados'!$AI$2:$AJ$225,2,FALSE),
  O93="Rio Grande do Norte",((W93*0.15)+(X93*0.7))*VLOOKUP(P93,'MunicípiosEstados'!$AK$2:$AL$168,2,FALSE),
  O93="Rio Grande do Sul",((W93*0.15)+(X93*0.7))*VLOOKUP(P93,'MunicípiosEstados'!$AM$2:$AN$498,2,FALSE),
  O93="Rio de Janeiro",((W93*0.15)+(X93*0.7))*VLOOKUP(P93,'MunicípiosEstados'!$AO$2:$AP$93,2,FALSE),
  O93="Rondônia",((W93*0.15)+(X93*0.7))*VLOOKUP(P93,'MunicípiosEstados'!$AQ$2:$AR$53,2,FALSE),
  O93="Roraima",((W93*0.15)+(X93*0.7))*VLOOKUP(P93,'MunicípiosEstados'!$AS$2:$AT$16,2,FALSE),
  O93="Santa Catarina",((W93*0.15)+(X93*0.7))*VLOOKUP(P93,'MunicípiosEstados'!$AU$2:$AV$296,2,FALSE),
  O93="São Paulo",((W93*0.15)+(X93*0.7))*VLOOKUP(P93,'MunicípiosEstados'!$AW$2:$AX$646,2,FALSE),
  O93="Sergipe",((W93*0.15)+(X93*0.7))*VLOOKUP(P93,'MunicípiosEstados'!$AY$2:$AZ$76,2,FALSE),
  O93="Tocantins",((W93*0.15)+(X93*0.7))*VLOOKUP(P93,'MunicípiosEstados'!$BA$2:$BB$140,2,FALSE),
  O93="Exterior",((W93*0.15)+(X93*0.7))*VLOOKUP(P93,'MunicípiosEstados'!$BC$2:$BE$221,3,FALSE),TRUE,0
)
</f>
        <v>2091.96</v>
      </c>
      <c r="AL93" s="25">
        <f t="shared" si="3"/>
        <v>2511.96</v>
      </c>
    </row>
    <row r="94" ht="22.5" customHeight="1">
      <c r="A94" s="15">
        <f t="shared" si="1"/>
        <v>93</v>
      </c>
      <c r="B94" s="16">
        <v>45985.550027708334</v>
      </c>
      <c r="C94" s="17" t="s">
        <v>696</v>
      </c>
      <c r="D94" s="27" t="s">
        <v>443</v>
      </c>
      <c r="E94" s="15" t="str">
        <f>VLOOKUP(G94,DiretoriaDepart.Coord.!$A$1:$C$72,2,FALSE)</f>
        <v>Extensão Rural</v>
      </c>
      <c r="F94" s="15" t="str">
        <f>VLOOKUP(G94,DiretoriaDepart.Coord.!$A$1:$C$72,3,FALSE)</f>
        <v>Projetos e Cadeias Produtivas</v>
      </c>
      <c r="G94" s="17" t="s">
        <v>697</v>
      </c>
      <c r="H94" s="15"/>
      <c r="I94" s="17" t="s">
        <v>924</v>
      </c>
      <c r="J94" s="17" t="s">
        <v>728</v>
      </c>
      <c r="K94" s="17">
        <v>20.0</v>
      </c>
      <c r="L94" s="15"/>
      <c r="M94" s="17" t="s">
        <v>925</v>
      </c>
      <c r="N94" s="17">
        <v>20.0</v>
      </c>
      <c r="O94" s="17" t="s">
        <v>714</v>
      </c>
      <c r="P94" s="17" t="s">
        <v>18</v>
      </c>
      <c r="Q94" s="20">
        <v>45698.333333333336</v>
      </c>
      <c r="R94" s="20">
        <v>45701.708333333336</v>
      </c>
      <c r="S94" s="17" t="s">
        <v>464</v>
      </c>
      <c r="T94" s="17" t="s">
        <v>452</v>
      </c>
      <c r="U94" s="30" t="s">
        <v>926</v>
      </c>
      <c r="V94" s="30" t="s">
        <v>927</v>
      </c>
      <c r="W94" s="22">
        <v>120.0</v>
      </c>
      <c r="X94" s="22">
        <v>0.0</v>
      </c>
      <c r="Y94" s="23">
        <v>0.0</v>
      </c>
      <c r="Z94" s="23">
        <v>0.0</v>
      </c>
      <c r="AA94" s="24">
        <v>0.0</v>
      </c>
      <c r="AB94" s="24">
        <v>0.0</v>
      </c>
      <c r="AC94" s="24">
        <v>0.0</v>
      </c>
      <c r="AD94" s="23">
        <v>0.0</v>
      </c>
      <c r="AE94" s="24">
        <v>0.0</v>
      </c>
      <c r="AF94" s="17" t="s">
        <v>451</v>
      </c>
      <c r="AG94" s="17">
        <v>6000.0</v>
      </c>
      <c r="AH94" s="17" t="s">
        <v>464</v>
      </c>
      <c r="AI94" s="25">
        <f>IF(AF94="Sim",INT((R94-Q94+1))*K94*VLOOKUP(P94,'Tabelas Auxiliares'!$A$1:$C$400,3,FALSE),0)</f>
        <v>0</v>
      </c>
      <c r="AJ94" s="25">
        <f t="shared" si="2"/>
        <v>4200</v>
      </c>
      <c r="AK94" s="25">
        <f>IFS(
  O94="Acre",((W94*0.15)+(X94*0.7))*VLOOKUP(P94,'MunicípiosEstados'!$A$2:$B$23,2,FALSE),
  O94="Alagoas",((W94*0.15)+(X94*0.7))*VLOOKUP(P94,'MunicípiosEstados'!$C$2:$D$103,2,FALSE),
  O94="Amapá",((W94*0.15)+(X94*0.7))*VLOOKUP(P94,'MunicípiosEstados'!$E$2:$F$17,2,FALSE),
  O94="Amazonas",((W94*0.15)+(X94*0.7))*VLOOKUP(P94,'MunicípiosEstados'!$G$2:$H$63,2,FALSE),
  O94="Bahia",((W94*0.15)+(X94*0.7))*VLOOKUP(P94,'MunicípiosEstados'!$I$2:$J$418,2,FALSE),
  O94="Ceará",((W94*0.15)+(X94*0.7))*VLOOKUP(P94,'MunicípiosEstados'!$K$2:$L$185,2,FALSE),
  O94="Distrito Federal",((W94*0.15)+(X94*0.7))*VLOOKUP(P94,'MunicípiosEstados'!$M$2:$N$2,2,FALSE),
  O94="Espírito Santo",((W94*0.15)+(X94*0.7))*VLOOKUP(P94,'MunicípiosEstados'!$O$2:$P$79,2,FALSE),
  O94="Goiás",((W94*0.15)+(X94*0.7))*VLOOKUP(P94,'MunicípiosEstados'!$Q$2:$R$247,2,FALSE),
  O94="Maranhão",((W94*0.15)+(X94*0.7))*VLOOKUP(P94,'MunicípiosEstados'!$S$2:$T$218,2,FALSE),
  O94="Mato Grosso",((W94*0.15)+(X94*0.7))*VLOOKUP(P94,'MunicípiosEstados'!$U$2:$V$143,2,FALSE),
  O94="Mato Grosso do Sul",((W94*0.15)+(X94*0.7))*VLOOKUP(P94,'MunicípiosEstados'!$W$2:$X$80,2,FALSE),
  O94="Minas Gerais",((W94*0.15)+(X94*0.7))*VLOOKUP(P94,'MunicípiosEstados'!$Y$2:$Z$854,2,FALSE),
  O94="Pará",((W94*0.15)+(X94*0.7))*VLOOKUP(P94,'MunicípiosEstados'!$AA$2:$AB$145,2,FALSE),
  O94="Paraíba",((W94*0.15)+(X94*0.7))*VLOOKUP(P94,'MunicípiosEstados'!$AC$2:$AD$224,2,FALSE),
  O94="Paraná",((W94*0.15)+(X94*0.7))*VLOOKUP(P94,'MunicípiosEstados'!$AE$2:$AF$400,2,FALSE),
  O94="Pernambuco",((W94*0.15)+(X94*0.7))*VLOOKUP(P94,'MunicípiosEstados'!$AG$2:$AH$186,2,FALSE),
  O94="Piauí",((W94*0.15)+(X94*0.7))*VLOOKUP(P94,'MunicípiosEstados'!$AI$2:$AJ$225,2,FALSE),
  O94="Rio Grande do Norte",((W94*0.15)+(X94*0.7))*VLOOKUP(P94,'MunicípiosEstados'!$AK$2:$AL$168,2,FALSE),
  O94="Rio Grande do Sul",((W94*0.15)+(X94*0.7))*VLOOKUP(P94,'MunicípiosEstados'!$AM$2:$AN$498,2,FALSE),
  O94="Rio de Janeiro",((W94*0.15)+(X94*0.7))*VLOOKUP(P94,'MunicípiosEstados'!$AO$2:$AP$93,2,FALSE),
  O94="Rondônia",((W94*0.15)+(X94*0.7))*VLOOKUP(P94,'MunicípiosEstados'!$AQ$2:$AR$53,2,FALSE),
  O94="Roraima",((W94*0.15)+(X94*0.7))*VLOOKUP(P94,'MunicípiosEstados'!$AS$2:$AT$16,2,FALSE),
  O94="Santa Catarina",((W94*0.15)+(X94*0.7))*VLOOKUP(P94,'MunicípiosEstados'!$AU$2:$AV$296,2,FALSE),
  O94="São Paulo",((W94*0.15)+(X94*0.7))*VLOOKUP(P94,'MunicípiosEstados'!$AW$2:$AX$646,2,FALSE),
  O94="Sergipe",((W94*0.15)+(X94*0.7))*VLOOKUP(P94,'MunicípiosEstados'!$AY$2:$AZ$76,2,FALSE),
  O94="Tocantins",((W94*0.15)+(X94*0.7))*VLOOKUP(P94,'MunicípiosEstados'!$BA$2:$BB$140,2,FALSE),
  O94="Exterior",((W94*0.15)+(X94*0.7))*VLOOKUP(P94,'MunicípiosEstados'!$BC$2:$BE$221,3,FALSE),TRUE,0
)
</f>
        <v>5229.9</v>
      </c>
      <c r="AL94" s="25">
        <f t="shared" si="3"/>
        <v>9429.9</v>
      </c>
    </row>
    <row r="95" ht="22.5" hidden="1" customHeight="1">
      <c r="A95" s="15">
        <f t="shared" si="1"/>
        <v>94</v>
      </c>
      <c r="B95" s="16">
        <v>45985.559913668985</v>
      </c>
      <c r="C95" s="17" t="s">
        <v>928</v>
      </c>
      <c r="D95" s="27" t="s">
        <v>443</v>
      </c>
      <c r="E95" s="15" t="str">
        <f>VLOOKUP(G95,DiretoriaDepart.Coord.!$A$1:$C$72,2,FALSE)</f>
        <v>Pesquisa e Inovação</v>
      </c>
      <c r="F95" s="15" t="str">
        <f>VLOOKUP(G95,DiretoriaDepart.Coord.!$A$1:$C$72,3,FALSE)</f>
        <v>Inovação e Comunicação Científica</v>
      </c>
      <c r="G95" s="17" t="s">
        <v>753</v>
      </c>
      <c r="H95" s="15"/>
      <c r="I95" s="17" t="s">
        <v>929</v>
      </c>
      <c r="J95" s="17" t="s">
        <v>728</v>
      </c>
      <c r="K95" s="17">
        <v>1.0</v>
      </c>
      <c r="L95" s="17" t="s">
        <v>930</v>
      </c>
      <c r="M95" s="17" t="s">
        <v>461</v>
      </c>
      <c r="N95" s="17">
        <v>0.0</v>
      </c>
      <c r="O95" s="17" t="s">
        <v>714</v>
      </c>
      <c r="P95" s="17" t="s">
        <v>18</v>
      </c>
      <c r="Q95" s="20">
        <v>45753.333333333336</v>
      </c>
      <c r="R95" s="20">
        <v>45756.5</v>
      </c>
      <c r="S95" s="17" t="s">
        <v>451</v>
      </c>
      <c r="T95" s="17" t="s">
        <v>452</v>
      </c>
      <c r="U95" s="30" t="s">
        <v>931</v>
      </c>
      <c r="V95" s="30" t="s">
        <v>932</v>
      </c>
      <c r="W95" s="22">
        <v>0.0</v>
      </c>
      <c r="X95" s="22">
        <v>0.0</v>
      </c>
      <c r="Y95" s="23">
        <v>350.0</v>
      </c>
      <c r="Z95" s="23">
        <v>0.0</v>
      </c>
      <c r="AA95" s="24">
        <v>0.0</v>
      </c>
      <c r="AB95" s="24">
        <v>0.0</v>
      </c>
      <c r="AC95" s="24">
        <v>0.0</v>
      </c>
      <c r="AD95" s="23">
        <v>0.0</v>
      </c>
      <c r="AE95" s="24">
        <v>0.0</v>
      </c>
      <c r="AF95" s="17" t="s">
        <v>451</v>
      </c>
      <c r="AG95" s="17">
        <v>0.0</v>
      </c>
      <c r="AH95" s="17" t="s">
        <v>451</v>
      </c>
      <c r="AI95" s="25">
        <f>IF(AF95="Sim",INT((R95-Q95+1))*K95*VLOOKUP(P95,'Tabelas Auxiliares'!$A$1:$C$400,3,FALSE),0)</f>
        <v>0</v>
      </c>
      <c r="AJ95" s="25">
        <f t="shared" si="2"/>
        <v>0</v>
      </c>
      <c r="AK95" s="25">
        <f>IFS(
  O95="Acre",((W95*0.15)+(X95*0.7))*VLOOKUP(P95,'MunicípiosEstados'!$A$2:$B$23,2,FALSE),
  O95="Alagoas",((W95*0.15)+(X95*0.7))*VLOOKUP(P95,'MunicípiosEstados'!$C$2:$D$103,2,FALSE),
  O95="Amapá",((W95*0.15)+(X95*0.7))*VLOOKUP(P95,'MunicípiosEstados'!$E$2:$F$17,2,FALSE),
  O95="Amazonas",((W95*0.15)+(X95*0.7))*VLOOKUP(P95,'MunicípiosEstados'!$G$2:$H$63,2,FALSE),
  O95="Bahia",((W95*0.15)+(X95*0.7))*VLOOKUP(P95,'MunicípiosEstados'!$I$2:$J$418,2,FALSE),
  O95="Ceará",((W95*0.15)+(X95*0.7))*VLOOKUP(P95,'MunicípiosEstados'!$K$2:$L$185,2,FALSE),
  O95="Distrito Federal",((W95*0.15)+(X95*0.7))*VLOOKUP(P95,'MunicípiosEstados'!$M$2:$N$2,2,FALSE),
  O95="Espírito Santo",((W95*0.15)+(X95*0.7))*VLOOKUP(P95,'MunicípiosEstados'!$O$2:$P$79,2,FALSE),
  O95="Goiás",((W95*0.15)+(X95*0.7))*VLOOKUP(P95,'MunicípiosEstados'!$Q$2:$R$247,2,FALSE),
  O95="Maranhão",((W95*0.15)+(X95*0.7))*VLOOKUP(P95,'MunicípiosEstados'!$S$2:$T$218,2,FALSE),
  O95="Mato Grosso",((W95*0.15)+(X95*0.7))*VLOOKUP(P95,'MunicípiosEstados'!$U$2:$V$143,2,FALSE),
  O95="Mato Grosso do Sul",((W95*0.15)+(X95*0.7))*VLOOKUP(P95,'MunicípiosEstados'!$W$2:$X$80,2,FALSE),
  O95="Minas Gerais",((W95*0.15)+(X95*0.7))*VLOOKUP(P95,'MunicípiosEstados'!$Y$2:$Z$854,2,FALSE),
  O95="Pará",((W95*0.15)+(X95*0.7))*VLOOKUP(P95,'MunicípiosEstados'!$AA$2:$AB$145,2,FALSE),
  O95="Paraíba",((W95*0.15)+(X95*0.7))*VLOOKUP(P95,'MunicípiosEstados'!$AC$2:$AD$224,2,FALSE),
  O95="Paraná",((W95*0.15)+(X95*0.7))*VLOOKUP(P95,'MunicípiosEstados'!$AE$2:$AF$400,2,FALSE),
  O95="Pernambuco",((W95*0.15)+(X95*0.7))*VLOOKUP(P95,'MunicípiosEstados'!$AG$2:$AH$186,2,FALSE),
  O95="Piauí",((W95*0.15)+(X95*0.7))*VLOOKUP(P95,'MunicípiosEstados'!$AI$2:$AJ$225,2,FALSE),
  O95="Rio Grande do Norte",((W95*0.15)+(X95*0.7))*VLOOKUP(P95,'MunicípiosEstados'!$AK$2:$AL$168,2,FALSE),
  O95="Rio Grande do Sul",((W95*0.15)+(X95*0.7))*VLOOKUP(P95,'MunicípiosEstados'!$AM$2:$AN$498,2,FALSE),
  O95="Rio de Janeiro",((W95*0.15)+(X95*0.7))*VLOOKUP(P95,'MunicípiosEstados'!$AO$2:$AP$93,2,FALSE),
  O95="Rondônia",((W95*0.15)+(X95*0.7))*VLOOKUP(P95,'MunicípiosEstados'!$AQ$2:$AR$53,2,FALSE),
  O95="Roraima",((W95*0.15)+(X95*0.7))*VLOOKUP(P95,'MunicípiosEstados'!$AS$2:$AT$16,2,FALSE),
  O95="Santa Catarina",((W95*0.15)+(X95*0.7))*VLOOKUP(P95,'MunicípiosEstados'!$AU$2:$AV$296,2,FALSE),
  O95="São Paulo",((W95*0.15)+(X95*0.7))*VLOOKUP(P95,'MunicípiosEstados'!$AW$2:$AX$646,2,FALSE),
  O95="Sergipe",((W95*0.15)+(X95*0.7))*VLOOKUP(P95,'MunicípiosEstados'!$AY$2:$AZ$76,2,FALSE),
  O95="Tocantins",((W95*0.15)+(X95*0.7))*VLOOKUP(P95,'MunicípiosEstados'!$BA$2:$BB$140,2,FALSE),
  O95="Exterior",((W95*0.15)+(X95*0.7))*VLOOKUP(P95,'MunicípiosEstados'!$BC$2:$BE$221,3,FALSE),TRUE,0
)
</f>
        <v>0</v>
      </c>
      <c r="AL95" s="25">
        <f t="shared" si="3"/>
        <v>350</v>
      </c>
      <c r="AN95" s="35"/>
    </row>
    <row r="96" ht="22.5" hidden="1" customHeight="1">
      <c r="A96" s="15">
        <f t="shared" si="1"/>
        <v>95</v>
      </c>
      <c r="B96" s="16">
        <v>45985.56474609954</v>
      </c>
      <c r="C96" s="17" t="s">
        <v>928</v>
      </c>
      <c r="D96" s="27" t="s">
        <v>443</v>
      </c>
      <c r="E96" s="15" t="str">
        <f>VLOOKUP(G96,DiretoriaDepart.Coord.!$A$1:$C$72,2,FALSE)</f>
        <v>Pesquisa e Inovação</v>
      </c>
      <c r="F96" s="15" t="str">
        <f>VLOOKUP(G96,DiretoriaDepart.Coord.!$A$1:$C$72,3,FALSE)</f>
        <v>Inovação e Comunicação Científica</v>
      </c>
      <c r="G96" s="17" t="s">
        <v>753</v>
      </c>
      <c r="H96" s="15"/>
      <c r="I96" s="17" t="s">
        <v>933</v>
      </c>
      <c r="J96" s="17" t="s">
        <v>728</v>
      </c>
      <c r="K96" s="17">
        <v>1.0</v>
      </c>
      <c r="L96" s="17" t="s">
        <v>930</v>
      </c>
      <c r="M96" s="17" t="s">
        <v>461</v>
      </c>
      <c r="N96" s="17">
        <v>0.0</v>
      </c>
      <c r="O96" s="17" t="s">
        <v>714</v>
      </c>
      <c r="P96" s="17" t="s">
        <v>18</v>
      </c>
      <c r="Q96" s="20">
        <v>45760.333333333336</v>
      </c>
      <c r="R96" s="20">
        <v>45764.333333333336</v>
      </c>
      <c r="S96" s="17" t="s">
        <v>451</v>
      </c>
      <c r="T96" s="17" t="s">
        <v>452</v>
      </c>
      <c r="U96" s="30" t="s">
        <v>933</v>
      </c>
      <c r="V96" s="30" t="s">
        <v>934</v>
      </c>
      <c r="W96" s="22">
        <v>0.0</v>
      </c>
      <c r="X96" s="22">
        <v>0.0</v>
      </c>
      <c r="Y96" s="23">
        <v>750.0</v>
      </c>
      <c r="Z96" s="23">
        <v>0.0</v>
      </c>
      <c r="AA96" s="24">
        <v>0.0</v>
      </c>
      <c r="AB96" s="24">
        <v>0.0</v>
      </c>
      <c r="AC96" s="24">
        <v>0.0</v>
      </c>
      <c r="AD96" s="23">
        <v>0.0</v>
      </c>
      <c r="AE96" s="24">
        <v>0.0</v>
      </c>
      <c r="AF96" s="17" t="s">
        <v>451</v>
      </c>
      <c r="AG96" s="17">
        <v>0.0</v>
      </c>
      <c r="AH96" s="17" t="s">
        <v>451</v>
      </c>
      <c r="AI96" s="25">
        <f>IF(AF96="Sim",INT((R96-Q96+1))*K96*VLOOKUP(P96,'Tabelas Auxiliares'!$A$1:$C$400,3,FALSE),0)</f>
        <v>0</v>
      </c>
      <c r="AJ96" s="25">
        <f t="shared" si="2"/>
        <v>0</v>
      </c>
      <c r="AK96" s="25">
        <f>IFS(
  O96="Acre",((W96*0.15)+(X96*0.7))*VLOOKUP(P96,'MunicípiosEstados'!$A$2:$B$23,2,FALSE),
  O96="Alagoas",((W96*0.15)+(X96*0.7))*VLOOKUP(P96,'MunicípiosEstados'!$C$2:$D$103,2,FALSE),
  O96="Amapá",((W96*0.15)+(X96*0.7))*VLOOKUP(P96,'MunicípiosEstados'!$E$2:$F$17,2,FALSE),
  O96="Amazonas",((W96*0.15)+(X96*0.7))*VLOOKUP(P96,'MunicípiosEstados'!$G$2:$H$63,2,FALSE),
  O96="Bahia",((W96*0.15)+(X96*0.7))*VLOOKUP(P96,'MunicípiosEstados'!$I$2:$J$418,2,FALSE),
  O96="Ceará",((W96*0.15)+(X96*0.7))*VLOOKUP(P96,'MunicípiosEstados'!$K$2:$L$185,2,FALSE),
  O96="Distrito Federal",((W96*0.15)+(X96*0.7))*VLOOKUP(P96,'MunicípiosEstados'!$M$2:$N$2,2,FALSE),
  O96="Espírito Santo",((W96*0.15)+(X96*0.7))*VLOOKUP(P96,'MunicípiosEstados'!$O$2:$P$79,2,FALSE),
  O96="Goiás",((W96*0.15)+(X96*0.7))*VLOOKUP(P96,'MunicípiosEstados'!$Q$2:$R$247,2,FALSE),
  O96="Maranhão",((W96*0.15)+(X96*0.7))*VLOOKUP(P96,'MunicípiosEstados'!$S$2:$T$218,2,FALSE),
  O96="Mato Grosso",((W96*0.15)+(X96*0.7))*VLOOKUP(P96,'MunicípiosEstados'!$U$2:$V$143,2,FALSE),
  O96="Mato Grosso do Sul",((W96*0.15)+(X96*0.7))*VLOOKUP(P96,'MunicípiosEstados'!$W$2:$X$80,2,FALSE),
  O96="Minas Gerais",((W96*0.15)+(X96*0.7))*VLOOKUP(P96,'MunicípiosEstados'!$Y$2:$Z$854,2,FALSE),
  O96="Pará",((W96*0.15)+(X96*0.7))*VLOOKUP(P96,'MunicípiosEstados'!$AA$2:$AB$145,2,FALSE),
  O96="Paraíba",((W96*0.15)+(X96*0.7))*VLOOKUP(P96,'MunicípiosEstados'!$AC$2:$AD$224,2,FALSE),
  O96="Paraná",((W96*0.15)+(X96*0.7))*VLOOKUP(P96,'MunicípiosEstados'!$AE$2:$AF$400,2,FALSE),
  O96="Pernambuco",((W96*0.15)+(X96*0.7))*VLOOKUP(P96,'MunicípiosEstados'!$AG$2:$AH$186,2,FALSE),
  O96="Piauí",((W96*0.15)+(X96*0.7))*VLOOKUP(P96,'MunicípiosEstados'!$AI$2:$AJ$225,2,FALSE),
  O96="Rio Grande do Norte",((W96*0.15)+(X96*0.7))*VLOOKUP(P96,'MunicípiosEstados'!$AK$2:$AL$168,2,FALSE),
  O96="Rio Grande do Sul",((W96*0.15)+(X96*0.7))*VLOOKUP(P96,'MunicípiosEstados'!$AM$2:$AN$498,2,FALSE),
  O96="Rio de Janeiro",((W96*0.15)+(X96*0.7))*VLOOKUP(P96,'MunicípiosEstados'!$AO$2:$AP$93,2,FALSE),
  O96="Rondônia",((W96*0.15)+(X96*0.7))*VLOOKUP(P96,'MunicípiosEstados'!$AQ$2:$AR$53,2,FALSE),
  O96="Roraima",((W96*0.15)+(X96*0.7))*VLOOKUP(P96,'MunicípiosEstados'!$AS$2:$AT$16,2,FALSE),
  O96="Santa Catarina",((W96*0.15)+(X96*0.7))*VLOOKUP(P96,'MunicípiosEstados'!$AU$2:$AV$296,2,FALSE),
  O96="São Paulo",((W96*0.15)+(X96*0.7))*VLOOKUP(P96,'MunicípiosEstados'!$AW$2:$AX$646,2,FALSE),
  O96="Sergipe",((W96*0.15)+(X96*0.7))*VLOOKUP(P96,'MunicípiosEstados'!$AY$2:$AZ$76,2,FALSE),
  O96="Tocantins",((W96*0.15)+(X96*0.7))*VLOOKUP(P96,'MunicípiosEstados'!$BA$2:$BB$140,2,FALSE),
  O96="Exterior",((W96*0.15)+(X96*0.7))*VLOOKUP(P96,'MunicípiosEstados'!$BC$2:$BE$221,3,FALSE),TRUE,0
)
</f>
        <v>0</v>
      </c>
      <c r="AL96" s="25">
        <f t="shared" si="3"/>
        <v>750</v>
      </c>
      <c r="AN96" s="35"/>
    </row>
    <row r="97" ht="22.5" hidden="1" customHeight="1">
      <c r="A97" s="15">
        <f t="shared" si="1"/>
        <v>96</v>
      </c>
      <c r="B97" s="16">
        <v>45985.571077002314</v>
      </c>
      <c r="C97" s="17" t="s">
        <v>928</v>
      </c>
      <c r="D97" s="27" t="s">
        <v>443</v>
      </c>
      <c r="E97" s="15" t="str">
        <f>VLOOKUP(G97,DiretoriaDepart.Coord.!$A$1:$C$72,2,FALSE)</f>
        <v>Pesquisa e Inovação</v>
      </c>
      <c r="F97" s="15" t="str">
        <f>VLOOKUP(G97,DiretoriaDepart.Coord.!$A$1:$C$72,3,FALSE)</f>
        <v>Inovação e Comunicação Científica</v>
      </c>
      <c r="G97" s="17" t="s">
        <v>753</v>
      </c>
      <c r="H97" s="15"/>
      <c r="I97" s="17" t="s">
        <v>935</v>
      </c>
      <c r="J97" s="17" t="s">
        <v>728</v>
      </c>
      <c r="K97" s="17">
        <v>1.0</v>
      </c>
      <c r="L97" s="15"/>
      <c r="M97" s="17" t="s">
        <v>461</v>
      </c>
      <c r="N97" s="17">
        <v>0.0</v>
      </c>
      <c r="O97" s="17" t="s">
        <v>714</v>
      </c>
      <c r="P97" s="17" t="s">
        <v>18</v>
      </c>
      <c r="Q97" s="20">
        <v>45767.333333333336</v>
      </c>
      <c r="R97" s="20">
        <v>45771.5</v>
      </c>
      <c r="S97" s="17" t="s">
        <v>451</v>
      </c>
      <c r="T97" s="17" t="s">
        <v>452</v>
      </c>
      <c r="U97" s="30" t="s">
        <v>936</v>
      </c>
      <c r="V97" s="30" t="s">
        <v>937</v>
      </c>
      <c r="W97" s="22">
        <v>0.0</v>
      </c>
      <c r="X97" s="22">
        <v>0.0</v>
      </c>
      <c r="Y97" s="23">
        <v>350.0</v>
      </c>
      <c r="Z97" s="23">
        <v>0.0</v>
      </c>
      <c r="AA97" s="24">
        <v>0.0</v>
      </c>
      <c r="AB97" s="24">
        <v>0.0</v>
      </c>
      <c r="AC97" s="24">
        <v>0.0</v>
      </c>
      <c r="AD97" s="23">
        <v>0.0</v>
      </c>
      <c r="AE97" s="24">
        <v>0.0</v>
      </c>
      <c r="AF97" s="17" t="s">
        <v>451</v>
      </c>
      <c r="AG97" s="17">
        <v>0.0</v>
      </c>
      <c r="AH97" s="17" t="s">
        <v>451</v>
      </c>
      <c r="AI97" s="25">
        <f>IF(AF97="Sim",INT((R97-Q97+1))*K97*VLOOKUP(P97,'Tabelas Auxiliares'!$A$1:$C$400,3,FALSE),0)</f>
        <v>0</v>
      </c>
      <c r="AJ97" s="25">
        <f t="shared" si="2"/>
        <v>0</v>
      </c>
      <c r="AK97" s="25">
        <f>IFS(
  O97="Acre",((W97*0.15)+(X97*0.7))*VLOOKUP(P97,'MunicípiosEstados'!$A$2:$B$23,2,FALSE),
  O97="Alagoas",((W97*0.15)+(X97*0.7))*VLOOKUP(P97,'MunicípiosEstados'!$C$2:$D$103,2,FALSE),
  O97="Amapá",((W97*0.15)+(X97*0.7))*VLOOKUP(P97,'MunicípiosEstados'!$E$2:$F$17,2,FALSE),
  O97="Amazonas",((W97*0.15)+(X97*0.7))*VLOOKUP(P97,'MunicípiosEstados'!$G$2:$H$63,2,FALSE),
  O97="Bahia",((W97*0.15)+(X97*0.7))*VLOOKUP(P97,'MunicípiosEstados'!$I$2:$J$418,2,FALSE),
  O97="Ceará",((W97*0.15)+(X97*0.7))*VLOOKUP(P97,'MunicípiosEstados'!$K$2:$L$185,2,FALSE),
  O97="Distrito Federal",((W97*0.15)+(X97*0.7))*VLOOKUP(P97,'MunicípiosEstados'!$M$2:$N$2,2,FALSE),
  O97="Espírito Santo",((W97*0.15)+(X97*0.7))*VLOOKUP(P97,'MunicípiosEstados'!$O$2:$P$79,2,FALSE),
  O97="Goiás",((W97*0.15)+(X97*0.7))*VLOOKUP(P97,'MunicípiosEstados'!$Q$2:$R$247,2,FALSE),
  O97="Maranhão",((W97*0.15)+(X97*0.7))*VLOOKUP(P97,'MunicípiosEstados'!$S$2:$T$218,2,FALSE),
  O97="Mato Grosso",((W97*0.15)+(X97*0.7))*VLOOKUP(P97,'MunicípiosEstados'!$U$2:$V$143,2,FALSE),
  O97="Mato Grosso do Sul",((W97*0.15)+(X97*0.7))*VLOOKUP(P97,'MunicípiosEstados'!$W$2:$X$80,2,FALSE),
  O97="Minas Gerais",((W97*0.15)+(X97*0.7))*VLOOKUP(P97,'MunicípiosEstados'!$Y$2:$Z$854,2,FALSE),
  O97="Pará",((W97*0.15)+(X97*0.7))*VLOOKUP(P97,'MunicípiosEstados'!$AA$2:$AB$145,2,FALSE),
  O97="Paraíba",((W97*0.15)+(X97*0.7))*VLOOKUP(P97,'MunicípiosEstados'!$AC$2:$AD$224,2,FALSE),
  O97="Paraná",((W97*0.15)+(X97*0.7))*VLOOKUP(P97,'MunicípiosEstados'!$AE$2:$AF$400,2,FALSE),
  O97="Pernambuco",((W97*0.15)+(X97*0.7))*VLOOKUP(P97,'MunicípiosEstados'!$AG$2:$AH$186,2,FALSE),
  O97="Piauí",((W97*0.15)+(X97*0.7))*VLOOKUP(P97,'MunicípiosEstados'!$AI$2:$AJ$225,2,FALSE),
  O97="Rio Grande do Norte",((W97*0.15)+(X97*0.7))*VLOOKUP(P97,'MunicípiosEstados'!$AK$2:$AL$168,2,FALSE),
  O97="Rio Grande do Sul",((W97*0.15)+(X97*0.7))*VLOOKUP(P97,'MunicípiosEstados'!$AM$2:$AN$498,2,FALSE),
  O97="Rio de Janeiro",((W97*0.15)+(X97*0.7))*VLOOKUP(P97,'MunicípiosEstados'!$AO$2:$AP$93,2,FALSE),
  O97="Rondônia",((W97*0.15)+(X97*0.7))*VLOOKUP(P97,'MunicípiosEstados'!$AQ$2:$AR$53,2,FALSE),
  O97="Roraima",((W97*0.15)+(X97*0.7))*VLOOKUP(P97,'MunicípiosEstados'!$AS$2:$AT$16,2,FALSE),
  O97="Santa Catarina",((W97*0.15)+(X97*0.7))*VLOOKUP(P97,'MunicípiosEstados'!$AU$2:$AV$296,2,FALSE),
  O97="São Paulo",((W97*0.15)+(X97*0.7))*VLOOKUP(P97,'MunicípiosEstados'!$AW$2:$AX$646,2,FALSE),
  O97="Sergipe",((W97*0.15)+(X97*0.7))*VLOOKUP(P97,'MunicípiosEstados'!$AY$2:$AZ$76,2,FALSE),
  O97="Tocantins",((W97*0.15)+(X97*0.7))*VLOOKUP(P97,'MunicípiosEstados'!$BA$2:$BB$140,2,FALSE),
  O97="Exterior",((W97*0.15)+(X97*0.7))*VLOOKUP(P97,'MunicípiosEstados'!$BC$2:$BE$221,3,FALSE),TRUE,0
)
</f>
        <v>0</v>
      </c>
      <c r="AL97" s="25">
        <f t="shared" si="3"/>
        <v>350</v>
      </c>
      <c r="AN97" s="35"/>
    </row>
    <row r="98" ht="22.5" hidden="1" customHeight="1">
      <c r="A98" s="15">
        <f t="shared" si="1"/>
        <v>97</v>
      </c>
      <c r="B98" s="16">
        <v>45985.57719252315</v>
      </c>
      <c r="C98" s="17" t="s">
        <v>928</v>
      </c>
      <c r="D98" s="27" t="s">
        <v>443</v>
      </c>
      <c r="E98" s="15" t="str">
        <f>VLOOKUP(G98,DiretoriaDepart.Coord.!$A$1:$C$72,2,FALSE)</f>
        <v>Pesquisa e Inovação</v>
      </c>
      <c r="F98" s="15" t="str">
        <f>VLOOKUP(G98,DiretoriaDepart.Coord.!$A$1:$C$72,3,FALSE)</f>
        <v>Inovação e Comunicação Científica</v>
      </c>
      <c r="G98" s="17" t="s">
        <v>753</v>
      </c>
      <c r="H98" s="15"/>
      <c r="I98" s="17" t="s">
        <v>938</v>
      </c>
      <c r="J98" s="17" t="s">
        <v>728</v>
      </c>
      <c r="K98" s="17">
        <v>1.0</v>
      </c>
      <c r="L98" s="15"/>
      <c r="M98" s="17" t="s">
        <v>461</v>
      </c>
      <c r="N98" s="17">
        <v>0.0</v>
      </c>
      <c r="O98" s="17" t="s">
        <v>714</v>
      </c>
      <c r="P98" s="17" t="s">
        <v>18</v>
      </c>
      <c r="Q98" s="20">
        <v>45774.333333333336</v>
      </c>
      <c r="R98" s="20">
        <v>45778.5</v>
      </c>
      <c r="S98" s="17" t="s">
        <v>451</v>
      </c>
      <c r="T98" s="17" t="s">
        <v>452</v>
      </c>
      <c r="U98" s="21" t="s">
        <v>939</v>
      </c>
      <c r="V98" s="21" t="s">
        <v>940</v>
      </c>
      <c r="W98" s="22">
        <v>0.0</v>
      </c>
      <c r="X98" s="22">
        <v>0.0</v>
      </c>
      <c r="Y98" s="23">
        <v>350.0</v>
      </c>
      <c r="Z98" s="23">
        <v>0.0</v>
      </c>
      <c r="AA98" s="24">
        <v>0.0</v>
      </c>
      <c r="AB98" s="24">
        <v>0.0</v>
      </c>
      <c r="AC98" s="24">
        <v>0.0</v>
      </c>
      <c r="AD98" s="23">
        <v>0.0</v>
      </c>
      <c r="AE98" s="24">
        <v>0.0</v>
      </c>
      <c r="AF98" s="17" t="s">
        <v>451</v>
      </c>
      <c r="AG98" s="17">
        <v>0.0</v>
      </c>
      <c r="AH98" s="17" t="s">
        <v>451</v>
      </c>
      <c r="AI98" s="25">
        <f>IF(AF98="Sim",INT((R98-Q98+1))*K98*VLOOKUP(P98,'Tabelas Auxiliares'!$A$1:$C$400,3,FALSE),0)</f>
        <v>0</v>
      </c>
      <c r="AJ98" s="25">
        <f t="shared" si="2"/>
        <v>0</v>
      </c>
      <c r="AK98" s="25">
        <f>IFS(
  O98="Acre",((W98*0.15)+(X98*0.7))*VLOOKUP(P98,'MunicípiosEstados'!$A$2:$B$23,2,FALSE),
  O98="Alagoas",((W98*0.15)+(X98*0.7))*VLOOKUP(P98,'MunicípiosEstados'!$C$2:$D$103,2,FALSE),
  O98="Amapá",((W98*0.15)+(X98*0.7))*VLOOKUP(P98,'MunicípiosEstados'!$E$2:$F$17,2,FALSE),
  O98="Amazonas",((W98*0.15)+(X98*0.7))*VLOOKUP(P98,'MunicípiosEstados'!$G$2:$H$63,2,FALSE),
  O98="Bahia",((W98*0.15)+(X98*0.7))*VLOOKUP(P98,'MunicípiosEstados'!$I$2:$J$418,2,FALSE),
  O98="Ceará",((W98*0.15)+(X98*0.7))*VLOOKUP(P98,'MunicípiosEstados'!$K$2:$L$185,2,FALSE),
  O98="Distrito Federal",((W98*0.15)+(X98*0.7))*VLOOKUP(P98,'MunicípiosEstados'!$M$2:$N$2,2,FALSE),
  O98="Espírito Santo",((W98*0.15)+(X98*0.7))*VLOOKUP(P98,'MunicípiosEstados'!$O$2:$P$79,2,FALSE),
  O98="Goiás",((W98*0.15)+(X98*0.7))*VLOOKUP(P98,'MunicípiosEstados'!$Q$2:$R$247,2,FALSE),
  O98="Maranhão",((W98*0.15)+(X98*0.7))*VLOOKUP(P98,'MunicípiosEstados'!$S$2:$T$218,2,FALSE),
  O98="Mato Grosso",((W98*0.15)+(X98*0.7))*VLOOKUP(P98,'MunicípiosEstados'!$U$2:$V$143,2,FALSE),
  O98="Mato Grosso do Sul",((W98*0.15)+(X98*0.7))*VLOOKUP(P98,'MunicípiosEstados'!$W$2:$X$80,2,FALSE),
  O98="Minas Gerais",((W98*0.15)+(X98*0.7))*VLOOKUP(P98,'MunicípiosEstados'!$Y$2:$Z$854,2,FALSE),
  O98="Pará",((W98*0.15)+(X98*0.7))*VLOOKUP(P98,'MunicípiosEstados'!$AA$2:$AB$145,2,FALSE),
  O98="Paraíba",((W98*0.15)+(X98*0.7))*VLOOKUP(P98,'MunicípiosEstados'!$AC$2:$AD$224,2,FALSE),
  O98="Paraná",((W98*0.15)+(X98*0.7))*VLOOKUP(P98,'MunicípiosEstados'!$AE$2:$AF$400,2,FALSE),
  O98="Pernambuco",((W98*0.15)+(X98*0.7))*VLOOKUP(P98,'MunicípiosEstados'!$AG$2:$AH$186,2,FALSE),
  O98="Piauí",((W98*0.15)+(X98*0.7))*VLOOKUP(P98,'MunicípiosEstados'!$AI$2:$AJ$225,2,FALSE),
  O98="Rio Grande do Norte",((W98*0.15)+(X98*0.7))*VLOOKUP(P98,'MunicípiosEstados'!$AK$2:$AL$168,2,FALSE),
  O98="Rio Grande do Sul",((W98*0.15)+(X98*0.7))*VLOOKUP(P98,'MunicípiosEstados'!$AM$2:$AN$498,2,FALSE),
  O98="Rio de Janeiro",((W98*0.15)+(X98*0.7))*VLOOKUP(P98,'MunicípiosEstados'!$AO$2:$AP$93,2,FALSE),
  O98="Rondônia",((W98*0.15)+(X98*0.7))*VLOOKUP(P98,'MunicípiosEstados'!$AQ$2:$AR$53,2,FALSE),
  O98="Roraima",((W98*0.15)+(X98*0.7))*VLOOKUP(P98,'MunicípiosEstados'!$AS$2:$AT$16,2,FALSE),
  O98="Santa Catarina",((W98*0.15)+(X98*0.7))*VLOOKUP(P98,'MunicípiosEstados'!$AU$2:$AV$296,2,FALSE),
  O98="São Paulo",((W98*0.15)+(X98*0.7))*VLOOKUP(P98,'MunicípiosEstados'!$AW$2:$AX$646,2,FALSE),
  O98="Sergipe",((W98*0.15)+(X98*0.7))*VLOOKUP(P98,'MunicípiosEstados'!$AY$2:$AZ$76,2,FALSE),
  O98="Tocantins",((W98*0.15)+(X98*0.7))*VLOOKUP(P98,'MunicípiosEstados'!$BA$2:$BB$140,2,FALSE),
  O98="Exterior",((W98*0.15)+(X98*0.7))*VLOOKUP(P98,'MunicípiosEstados'!$BC$2:$BE$221,3,FALSE),TRUE,0
)
</f>
        <v>0</v>
      </c>
      <c r="AL98" s="25">
        <f t="shared" si="3"/>
        <v>350</v>
      </c>
      <c r="AN98" s="35"/>
    </row>
    <row r="99" ht="22.5" hidden="1" customHeight="1">
      <c r="A99" s="15">
        <f t="shared" si="1"/>
        <v>98</v>
      </c>
      <c r="B99" s="16">
        <v>45985.58104615741</v>
      </c>
      <c r="C99" s="17" t="s">
        <v>928</v>
      </c>
      <c r="D99" s="27" t="s">
        <v>443</v>
      </c>
      <c r="E99" s="15" t="str">
        <f>VLOOKUP(G99,DiretoriaDepart.Coord.!$A$1:$C$72,2,FALSE)</f>
        <v>Pesquisa e Inovação</v>
      </c>
      <c r="F99" s="15" t="str">
        <f>VLOOKUP(G99,DiretoriaDepart.Coord.!$A$1:$C$72,3,FALSE)</f>
        <v>Inovação e Comunicação Científica</v>
      </c>
      <c r="G99" s="17" t="s">
        <v>753</v>
      </c>
      <c r="H99" s="15"/>
      <c r="I99" s="17" t="s">
        <v>941</v>
      </c>
      <c r="J99" s="17" t="s">
        <v>942</v>
      </c>
      <c r="K99" s="17">
        <v>1.0</v>
      </c>
      <c r="L99" s="15"/>
      <c r="M99" s="17" t="s">
        <v>461</v>
      </c>
      <c r="N99" s="17">
        <v>0.0</v>
      </c>
      <c r="O99" s="17" t="s">
        <v>714</v>
      </c>
      <c r="P99" s="17" t="s">
        <v>18</v>
      </c>
      <c r="Q99" s="20">
        <v>45781.333333333336</v>
      </c>
      <c r="R99" s="20">
        <v>45785.5</v>
      </c>
      <c r="S99" s="17" t="s">
        <v>451</v>
      </c>
      <c r="T99" s="17" t="s">
        <v>452</v>
      </c>
      <c r="U99" s="21" t="s">
        <v>943</v>
      </c>
      <c r="V99" s="21" t="s">
        <v>944</v>
      </c>
      <c r="W99" s="22">
        <v>0.0</v>
      </c>
      <c r="X99" s="22">
        <v>0.0</v>
      </c>
      <c r="Y99" s="23">
        <v>400.0</v>
      </c>
      <c r="Z99" s="23">
        <v>0.0</v>
      </c>
      <c r="AA99" s="24">
        <v>0.0</v>
      </c>
      <c r="AB99" s="24">
        <v>0.0</v>
      </c>
      <c r="AC99" s="24">
        <v>0.0</v>
      </c>
      <c r="AD99" s="23">
        <v>0.0</v>
      </c>
      <c r="AE99" s="24">
        <v>0.0</v>
      </c>
      <c r="AF99" s="17" t="s">
        <v>451</v>
      </c>
      <c r="AG99" s="17">
        <v>0.0</v>
      </c>
      <c r="AH99" s="17" t="s">
        <v>451</v>
      </c>
      <c r="AI99" s="25">
        <f>IF(AF99="Sim",INT((R99-Q99+1))*K99*VLOOKUP(P99,'Tabelas Auxiliares'!$A$1:$C$400,3,FALSE),0)</f>
        <v>0</v>
      </c>
      <c r="AJ99" s="25">
        <f t="shared" si="2"/>
        <v>0</v>
      </c>
      <c r="AK99" s="25">
        <f>IFS(
  O99="Acre",((W99*0.15)+(X99*0.7))*VLOOKUP(P99,'MunicípiosEstados'!$A$2:$B$23,2,FALSE),
  O99="Alagoas",((W99*0.15)+(X99*0.7))*VLOOKUP(P99,'MunicípiosEstados'!$C$2:$D$103,2,FALSE),
  O99="Amapá",((W99*0.15)+(X99*0.7))*VLOOKUP(P99,'MunicípiosEstados'!$E$2:$F$17,2,FALSE),
  O99="Amazonas",((W99*0.15)+(X99*0.7))*VLOOKUP(P99,'MunicípiosEstados'!$G$2:$H$63,2,FALSE),
  O99="Bahia",((W99*0.15)+(X99*0.7))*VLOOKUP(P99,'MunicípiosEstados'!$I$2:$J$418,2,FALSE),
  O99="Ceará",((W99*0.15)+(X99*0.7))*VLOOKUP(P99,'MunicípiosEstados'!$K$2:$L$185,2,FALSE),
  O99="Distrito Federal",((W99*0.15)+(X99*0.7))*VLOOKUP(P99,'MunicípiosEstados'!$M$2:$N$2,2,FALSE),
  O99="Espírito Santo",((W99*0.15)+(X99*0.7))*VLOOKUP(P99,'MunicípiosEstados'!$O$2:$P$79,2,FALSE),
  O99="Goiás",((W99*0.15)+(X99*0.7))*VLOOKUP(P99,'MunicípiosEstados'!$Q$2:$R$247,2,FALSE),
  O99="Maranhão",((W99*0.15)+(X99*0.7))*VLOOKUP(P99,'MunicípiosEstados'!$S$2:$T$218,2,FALSE),
  O99="Mato Grosso",((W99*0.15)+(X99*0.7))*VLOOKUP(P99,'MunicípiosEstados'!$U$2:$V$143,2,FALSE),
  O99="Mato Grosso do Sul",((W99*0.15)+(X99*0.7))*VLOOKUP(P99,'MunicípiosEstados'!$W$2:$X$80,2,FALSE),
  O99="Minas Gerais",((W99*0.15)+(X99*0.7))*VLOOKUP(P99,'MunicípiosEstados'!$Y$2:$Z$854,2,FALSE),
  O99="Pará",((W99*0.15)+(X99*0.7))*VLOOKUP(P99,'MunicípiosEstados'!$AA$2:$AB$145,2,FALSE),
  O99="Paraíba",((W99*0.15)+(X99*0.7))*VLOOKUP(P99,'MunicípiosEstados'!$AC$2:$AD$224,2,FALSE),
  O99="Paraná",((W99*0.15)+(X99*0.7))*VLOOKUP(P99,'MunicípiosEstados'!$AE$2:$AF$400,2,FALSE),
  O99="Pernambuco",((W99*0.15)+(X99*0.7))*VLOOKUP(P99,'MunicípiosEstados'!$AG$2:$AH$186,2,FALSE),
  O99="Piauí",((W99*0.15)+(X99*0.7))*VLOOKUP(P99,'MunicípiosEstados'!$AI$2:$AJ$225,2,FALSE),
  O99="Rio Grande do Norte",((W99*0.15)+(X99*0.7))*VLOOKUP(P99,'MunicípiosEstados'!$AK$2:$AL$168,2,FALSE),
  O99="Rio Grande do Sul",((W99*0.15)+(X99*0.7))*VLOOKUP(P99,'MunicípiosEstados'!$AM$2:$AN$498,2,FALSE),
  O99="Rio de Janeiro",((W99*0.15)+(X99*0.7))*VLOOKUP(P99,'MunicípiosEstados'!$AO$2:$AP$93,2,FALSE),
  O99="Rondônia",((W99*0.15)+(X99*0.7))*VLOOKUP(P99,'MunicípiosEstados'!$AQ$2:$AR$53,2,FALSE),
  O99="Roraima",((W99*0.15)+(X99*0.7))*VLOOKUP(P99,'MunicípiosEstados'!$AS$2:$AT$16,2,FALSE),
  O99="Santa Catarina",((W99*0.15)+(X99*0.7))*VLOOKUP(P99,'MunicípiosEstados'!$AU$2:$AV$296,2,FALSE),
  O99="São Paulo",((W99*0.15)+(X99*0.7))*VLOOKUP(P99,'MunicípiosEstados'!$AW$2:$AX$646,2,FALSE),
  O99="Sergipe",((W99*0.15)+(X99*0.7))*VLOOKUP(P99,'MunicípiosEstados'!$AY$2:$AZ$76,2,FALSE),
  O99="Tocantins",((W99*0.15)+(X99*0.7))*VLOOKUP(P99,'MunicípiosEstados'!$BA$2:$BB$140,2,FALSE),
  O99="Exterior",((W99*0.15)+(X99*0.7))*VLOOKUP(P99,'MunicípiosEstados'!$BC$2:$BE$221,3,FALSE),TRUE,0
)
</f>
        <v>0</v>
      </c>
      <c r="AL99" s="25">
        <f t="shared" si="3"/>
        <v>400</v>
      </c>
      <c r="AN99" s="35"/>
    </row>
    <row r="100" ht="22.5" hidden="1" customHeight="1">
      <c r="A100" s="15">
        <f t="shared" si="1"/>
        <v>99</v>
      </c>
      <c r="B100" s="16">
        <v>45985.60055934028</v>
      </c>
      <c r="C100" s="17" t="s">
        <v>945</v>
      </c>
      <c r="D100" s="27" t="s">
        <v>443</v>
      </c>
      <c r="E100" s="15" t="str">
        <f>VLOOKUP(G100,DiretoriaDepart.Coord.!$A$1:$C$72,2,FALSE)</f>
        <v>Pesquisa e Inovação</v>
      </c>
      <c r="F100" s="15" t="str">
        <f>VLOOKUP(G100,DiretoriaDepart.Coord.!$A$1:$C$72,3,FALSE)</f>
        <v>Pesquisa e Capacitação</v>
      </c>
      <c r="G100" s="17" t="s">
        <v>827</v>
      </c>
      <c r="H100" s="15"/>
      <c r="I100" s="17" t="s">
        <v>946</v>
      </c>
      <c r="J100" s="17" t="s">
        <v>728</v>
      </c>
      <c r="K100" s="17">
        <v>1.0</v>
      </c>
      <c r="L100" s="17" t="s">
        <v>947</v>
      </c>
      <c r="M100" s="17" t="s">
        <v>948</v>
      </c>
      <c r="N100" s="17">
        <v>1.0</v>
      </c>
      <c r="O100" s="17" t="s">
        <v>714</v>
      </c>
      <c r="P100" s="17" t="s">
        <v>6</v>
      </c>
      <c r="Q100" s="20">
        <v>45778.333333333336</v>
      </c>
      <c r="R100" s="20">
        <v>46009.708333333336</v>
      </c>
      <c r="S100" s="17" t="s">
        <v>451</v>
      </c>
      <c r="T100" s="17" t="s">
        <v>452</v>
      </c>
      <c r="U100" s="21" t="s">
        <v>949</v>
      </c>
      <c r="V100" s="21" t="s">
        <v>950</v>
      </c>
      <c r="W100" s="22">
        <v>0.0</v>
      </c>
      <c r="X100" s="22">
        <v>0.0</v>
      </c>
      <c r="Y100" s="23">
        <v>0.0</v>
      </c>
      <c r="Z100" s="23">
        <v>0.0</v>
      </c>
      <c r="AA100" s="24">
        <v>0.0</v>
      </c>
      <c r="AB100" s="24">
        <v>0.0</v>
      </c>
      <c r="AC100" s="24">
        <v>0.0</v>
      </c>
      <c r="AD100" s="23">
        <v>0.0</v>
      </c>
      <c r="AE100" s="24">
        <v>0.0</v>
      </c>
      <c r="AF100" s="17" t="s">
        <v>451</v>
      </c>
      <c r="AG100" s="17">
        <v>0.0</v>
      </c>
      <c r="AH100" s="17" t="s">
        <v>451</v>
      </c>
      <c r="AI100" s="25">
        <f>IF(AF100="Sim",INT((R100-Q100+1))*K100*VLOOKUP(P100,'Tabelas Auxiliares'!$A$1:$C$400,3,FALSE),0)</f>
        <v>0</v>
      </c>
      <c r="AJ100" s="25">
        <f t="shared" si="2"/>
        <v>0</v>
      </c>
      <c r="AK100" s="25">
        <f>IFS(
  O100="Acre",((W100*0.15)+(X100*0.7))*VLOOKUP(P100,'MunicípiosEstados'!$A$2:$B$23,2,FALSE),
  O100="Alagoas",((W100*0.15)+(X100*0.7))*VLOOKUP(P100,'MunicípiosEstados'!$C$2:$D$103,2,FALSE),
  O100="Amapá",((W100*0.15)+(X100*0.7))*VLOOKUP(P100,'MunicípiosEstados'!$E$2:$F$17,2,FALSE),
  O100="Amazonas",((W100*0.15)+(X100*0.7))*VLOOKUP(P100,'MunicípiosEstados'!$G$2:$H$63,2,FALSE),
  O100="Bahia",((W100*0.15)+(X100*0.7))*VLOOKUP(P100,'MunicípiosEstados'!$I$2:$J$418,2,FALSE),
  O100="Ceará",((W100*0.15)+(X100*0.7))*VLOOKUP(P100,'MunicípiosEstados'!$K$2:$L$185,2,FALSE),
  O100="Distrito Federal",((W100*0.15)+(X100*0.7))*VLOOKUP(P100,'MunicípiosEstados'!$M$2:$N$2,2,FALSE),
  O100="Espírito Santo",((W100*0.15)+(X100*0.7))*VLOOKUP(P100,'MunicípiosEstados'!$O$2:$P$79,2,FALSE),
  O100="Goiás",((W100*0.15)+(X100*0.7))*VLOOKUP(P100,'MunicípiosEstados'!$Q$2:$R$247,2,FALSE),
  O100="Maranhão",((W100*0.15)+(X100*0.7))*VLOOKUP(P100,'MunicípiosEstados'!$S$2:$T$218,2,FALSE),
  O100="Mato Grosso",((W100*0.15)+(X100*0.7))*VLOOKUP(P100,'MunicípiosEstados'!$U$2:$V$143,2,FALSE),
  O100="Mato Grosso do Sul",((W100*0.15)+(X100*0.7))*VLOOKUP(P100,'MunicípiosEstados'!$W$2:$X$80,2,FALSE),
  O100="Minas Gerais",((W100*0.15)+(X100*0.7))*VLOOKUP(P100,'MunicípiosEstados'!$Y$2:$Z$854,2,FALSE),
  O100="Pará",((W100*0.15)+(X100*0.7))*VLOOKUP(P100,'MunicípiosEstados'!$AA$2:$AB$145,2,FALSE),
  O100="Paraíba",((W100*0.15)+(X100*0.7))*VLOOKUP(P100,'MunicípiosEstados'!$AC$2:$AD$224,2,FALSE),
  O100="Paraná",((W100*0.15)+(X100*0.7))*VLOOKUP(P100,'MunicípiosEstados'!$AE$2:$AF$400,2,FALSE),
  O100="Pernambuco",((W100*0.15)+(X100*0.7))*VLOOKUP(P100,'MunicípiosEstados'!$AG$2:$AH$186,2,FALSE),
  O100="Piauí",((W100*0.15)+(X100*0.7))*VLOOKUP(P100,'MunicípiosEstados'!$AI$2:$AJ$225,2,FALSE),
  O100="Rio Grande do Norte",((W100*0.15)+(X100*0.7))*VLOOKUP(P100,'MunicípiosEstados'!$AK$2:$AL$168,2,FALSE),
  O100="Rio Grande do Sul",((W100*0.15)+(X100*0.7))*VLOOKUP(P100,'MunicípiosEstados'!$AM$2:$AN$498,2,FALSE),
  O100="Rio de Janeiro",((W100*0.15)+(X100*0.7))*VLOOKUP(P100,'MunicípiosEstados'!$AO$2:$AP$93,2,FALSE),
  O100="Rondônia",((W100*0.15)+(X100*0.7))*VLOOKUP(P100,'MunicípiosEstados'!$AQ$2:$AR$53,2,FALSE),
  O100="Roraima",((W100*0.15)+(X100*0.7))*VLOOKUP(P100,'MunicípiosEstados'!$AS$2:$AT$16,2,FALSE),
  O100="Santa Catarina",((W100*0.15)+(X100*0.7))*VLOOKUP(P100,'MunicípiosEstados'!$AU$2:$AV$296,2,FALSE),
  O100="São Paulo",((W100*0.15)+(X100*0.7))*VLOOKUP(P100,'MunicípiosEstados'!$AW$2:$AX$646,2,FALSE),
  O100="Sergipe",((W100*0.15)+(X100*0.7))*VLOOKUP(P100,'MunicípiosEstados'!$AY$2:$AZ$76,2,FALSE),
  O100="Tocantins",((W100*0.15)+(X100*0.7))*VLOOKUP(P100,'MunicípiosEstados'!$BA$2:$BB$140,2,FALSE),
  O100="Exterior",((W100*0.15)+(X100*0.7))*VLOOKUP(P100,'MunicípiosEstados'!$BC$2:$BE$221,3,FALSE),TRUE,0
)
</f>
        <v>0</v>
      </c>
      <c r="AL100" s="25">
        <f t="shared" si="3"/>
        <v>0</v>
      </c>
      <c r="AN100" s="35"/>
    </row>
    <row r="101" ht="22.5" customHeight="1">
      <c r="A101" s="15">
        <f t="shared" si="1"/>
        <v>100</v>
      </c>
      <c r="B101" s="16">
        <v>45985.61196180555</v>
      </c>
      <c r="C101" s="17" t="s">
        <v>696</v>
      </c>
      <c r="D101" s="27" t="s">
        <v>443</v>
      </c>
      <c r="E101" s="15" t="str">
        <f>VLOOKUP(G101,DiretoriaDepart.Coord.!$A$1:$C$72,2,FALSE)</f>
        <v>Extensão Rural</v>
      </c>
      <c r="F101" s="15" t="str">
        <f>VLOOKUP(G101,DiretoriaDepart.Coord.!$A$1:$C$72,3,FALSE)</f>
        <v>Projetos e Cadeias Produtivas</v>
      </c>
      <c r="G101" s="17" t="s">
        <v>697</v>
      </c>
      <c r="H101" s="15"/>
      <c r="I101" s="17" t="s">
        <v>951</v>
      </c>
      <c r="J101" s="17" t="s">
        <v>728</v>
      </c>
      <c r="K101" s="17">
        <v>20.0</v>
      </c>
      <c r="L101" s="15"/>
      <c r="M101" s="17" t="s">
        <v>925</v>
      </c>
      <c r="N101" s="17">
        <v>20.0</v>
      </c>
      <c r="O101" s="17" t="s">
        <v>714</v>
      </c>
      <c r="P101" s="17" t="s">
        <v>18</v>
      </c>
      <c r="Q101" s="20">
        <v>45719.333333333336</v>
      </c>
      <c r="R101" s="20">
        <v>45721.708333333336</v>
      </c>
      <c r="S101" s="17" t="s">
        <v>464</v>
      </c>
      <c r="T101" s="17" t="s">
        <v>452</v>
      </c>
      <c r="U101" s="21" t="s">
        <v>952</v>
      </c>
      <c r="V101" s="21" t="s">
        <v>953</v>
      </c>
      <c r="W101" s="22">
        <v>120.0</v>
      </c>
      <c r="X101" s="22">
        <v>0.0</v>
      </c>
      <c r="Y101" s="23">
        <v>0.0</v>
      </c>
      <c r="Z101" s="23">
        <v>0.0</v>
      </c>
      <c r="AA101" s="24">
        <v>0.0</v>
      </c>
      <c r="AB101" s="24">
        <v>0.0</v>
      </c>
      <c r="AC101" s="24">
        <v>0.0</v>
      </c>
      <c r="AD101" s="23">
        <v>0.0</v>
      </c>
      <c r="AE101" s="24">
        <v>0.0</v>
      </c>
      <c r="AF101" s="17" t="s">
        <v>451</v>
      </c>
      <c r="AG101" s="17">
        <v>6000.0</v>
      </c>
      <c r="AH101" s="17" t="s">
        <v>464</v>
      </c>
      <c r="AI101" s="25">
        <f>IF(AF101="Sim",INT((R101-Q101+1))*K101*VLOOKUP(P101,'Tabelas Auxiliares'!$A$1:$C$400,3,FALSE),0)</f>
        <v>0</v>
      </c>
      <c r="AJ101" s="25">
        <f t="shared" si="2"/>
        <v>4200</v>
      </c>
      <c r="AK101" s="25">
        <f>IFS(
  O101="Acre",((W101*0.15)+(X101*0.7))*VLOOKUP(P101,'MunicípiosEstados'!$A$2:$B$23,2,FALSE),
  O101="Alagoas",((W101*0.15)+(X101*0.7))*VLOOKUP(P101,'MunicípiosEstados'!$C$2:$D$103,2,FALSE),
  O101="Amapá",((W101*0.15)+(X101*0.7))*VLOOKUP(P101,'MunicípiosEstados'!$E$2:$F$17,2,FALSE),
  O101="Amazonas",((W101*0.15)+(X101*0.7))*VLOOKUP(P101,'MunicípiosEstados'!$G$2:$H$63,2,FALSE),
  O101="Bahia",((W101*0.15)+(X101*0.7))*VLOOKUP(P101,'MunicípiosEstados'!$I$2:$J$418,2,FALSE),
  O101="Ceará",((W101*0.15)+(X101*0.7))*VLOOKUP(P101,'MunicípiosEstados'!$K$2:$L$185,2,FALSE),
  O101="Distrito Federal",((W101*0.15)+(X101*0.7))*VLOOKUP(P101,'MunicípiosEstados'!$M$2:$N$2,2,FALSE),
  O101="Espírito Santo",((W101*0.15)+(X101*0.7))*VLOOKUP(P101,'MunicípiosEstados'!$O$2:$P$79,2,FALSE),
  O101="Goiás",((W101*0.15)+(X101*0.7))*VLOOKUP(P101,'MunicípiosEstados'!$Q$2:$R$247,2,FALSE),
  O101="Maranhão",((W101*0.15)+(X101*0.7))*VLOOKUP(P101,'MunicípiosEstados'!$S$2:$T$218,2,FALSE),
  O101="Mato Grosso",((W101*0.15)+(X101*0.7))*VLOOKUP(P101,'MunicípiosEstados'!$U$2:$V$143,2,FALSE),
  O101="Mato Grosso do Sul",((W101*0.15)+(X101*0.7))*VLOOKUP(P101,'MunicípiosEstados'!$W$2:$X$80,2,FALSE),
  O101="Minas Gerais",((W101*0.15)+(X101*0.7))*VLOOKUP(P101,'MunicípiosEstados'!$Y$2:$Z$854,2,FALSE),
  O101="Pará",((W101*0.15)+(X101*0.7))*VLOOKUP(P101,'MunicípiosEstados'!$AA$2:$AB$145,2,FALSE),
  O101="Paraíba",((W101*0.15)+(X101*0.7))*VLOOKUP(P101,'MunicípiosEstados'!$AC$2:$AD$224,2,FALSE),
  O101="Paraná",((W101*0.15)+(X101*0.7))*VLOOKUP(P101,'MunicípiosEstados'!$AE$2:$AF$400,2,FALSE),
  O101="Pernambuco",((W101*0.15)+(X101*0.7))*VLOOKUP(P101,'MunicípiosEstados'!$AG$2:$AH$186,2,FALSE),
  O101="Piauí",((W101*0.15)+(X101*0.7))*VLOOKUP(P101,'MunicípiosEstados'!$AI$2:$AJ$225,2,FALSE),
  O101="Rio Grande do Norte",((W101*0.15)+(X101*0.7))*VLOOKUP(P101,'MunicípiosEstados'!$AK$2:$AL$168,2,FALSE),
  O101="Rio Grande do Sul",((W101*0.15)+(X101*0.7))*VLOOKUP(P101,'MunicípiosEstados'!$AM$2:$AN$498,2,FALSE),
  O101="Rio de Janeiro",((W101*0.15)+(X101*0.7))*VLOOKUP(P101,'MunicípiosEstados'!$AO$2:$AP$93,2,FALSE),
  O101="Rondônia",((W101*0.15)+(X101*0.7))*VLOOKUP(P101,'MunicípiosEstados'!$AQ$2:$AR$53,2,FALSE),
  O101="Roraima",((W101*0.15)+(X101*0.7))*VLOOKUP(P101,'MunicípiosEstados'!$AS$2:$AT$16,2,FALSE),
  O101="Santa Catarina",((W101*0.15)+(X101*0.7))*VLOOKUP(P101,'MunicípiosEstados'!$AU$2:$AV$296,2,FALSE),
  O101="São Paulo",((W101*0.15)+(X101*0.7))*VLOOKUP(P101,'MunicípiosEstados'!$AW$2:$AX$646,2,FALSE),
  O101="Sergipe",((W101*0.15)+(X101*0.7))*VLOOKUP(P101,'MunicípiosEstados'!$AY$2:$AZ$76,2,FALSE),
  O101="Tocantins",((W101*0.15)+(X101*0.7))*VLOOKUP(P101,'MunicípiosEstados'!$BA$2:$BB$140,2,FALSE),
  O101="Exterior",((W101*0.15)+(X101*0.7))*VLOOKUP(P101,'MunicípiosEstados'!$BC$2:$BE$221,3,FALSE),TRUE,0
)
</f>
        <v>5229.9</v>
      </c>
      <c r="AL101" s="25">
        <f t="shared" si="3"/>
        <v>9429.9</v>
      </c>
    </row>
    <row r="102" ht="22.5" customHeight="1">
      <c r="A102" s="15">
        <f t="shared" si="1"/>
        <v>101</v>
      </c>
      <c r="B102" s="16">
        <v>45985.61713380787</v>
      </c>
      <c r="C102" s="17" t="s">
        <v>696</v>
      </c>
      <c r="D102" s="27" t="s">
        <v>443</v>
      </c>
      <c r="E102" s="15" t="str">
        <f>VLOOKUP(G102,DiretoriaDepart.Coord.!$A$1:$C$72,2,FALSE)</f>
        <v>Extensão Rural</v>
      </c>
      <c r="F102" s="15" t="str">
        <f>VLOOKUP(G102,DiretoriaDepart.Coord.!$A$1:$C$72,3,FALSE)</f>
        <v>Projetos e Cadeias Produtivas</v>
      </c>
      <c r="G102" s="17" t="s">
        <v>697</v>
      </c>
      <c r="H102" s="15"/>
      <c r="I102" s="17" t="s">
        <v>954</v>
      </c>
      <c r="J102" s="17" t="s">
        <v>728</v>
      </c>
      <c r="K102" s="17">
        <v>20.0</v>
      </c>
      <c r="L102" s="15"/>
      <c r="M102" s="17" t="s">
        <v>925</v>
      </c>
      <c r="N102" s="17">
        <v>10.0</v>
      </c>
      <c r="O102" s="17" t="s">
        <v>714</v>
      </c>
      <c r="P102" s="17" t="s">
        <v>18</v>
      </c>
      <c r="Q102" s="20">
        <v>45782.333333333336</v>
      </c>
      <c r="R102" s="20">
        <v>45785.708333333336</v>
      </c>
      <c r="S102" s="17" t="s">
        <v>464</v>
      </c>
      <c r="T102" s="17" t="s">
        <v>452</v>
      </c>
      <c r="U102" s="21" t="s">
        <v>955</v>
      </c>
      <c r="V102" s="21" t="s">
        <v>956</v>
      </c>
      <c r="W102" s="22">
        <v>60.0</v>
      </c>
      <c r="X102" s="22">
        <v>0.0</v>
      </c>
      <c r="Y102" s="23">
        <v>0.0</v>
      </c>
      <c r="Z102" s="23">
        <v>0.0</v>
      </c>
      <c r="AA102" s="24">
        <v>0.0</v>
      </c>
      <c r="AB102" s="24">
        <v>0.0</v>
      </c>
      <c r="AC102" s="24">
        <v>0.0</v>
      </c>
      <c r="AD102" s="23">
        <v>0.0</v>
      </c>
      <c r="AE102" s="24">
        <v>0.0</v>
      </c>
      <c r="AF102" s="17" t="s">
        <v>451</v>
      </c>
      <c r="AG102" s="17">
        <v>3000.0</v>
      </c>
      <c r="AH102" s="17" t="s">
        <v>464</v>
      </c>
      <c r="AI102" s="25">
        <f>IF(AF102="Sim",INT((R102-Q102+1))*K102*VLOOKUP(P102,'Tabelas Auxiliares'!$A$1:$C$400,3,FALSE),0)</f>
        <v>0</v>
      </c>
      <c r="AJ102" s="25">
        <f t="shared" si="2"/>
        <v>2100</v>
      </c>
      <c r="AK102" s="25">
        <f>IFS(
  O102="Acre",((W102*0.15)+(X102*0.7))*VLOOKUP(P102,'MunicípiosEstados'!$A$2:$B$23,2,FALSE),
  O102="Alagoas",((W102*0.15)+(X102*0.7))*VLOOKUP(P102,'MunicípiosEstados'!$C$2:$D$103,2,FALSE),
  O102="Amapá",((W102*0.15)+(X102*0.7))*VLOOKUP(P102,'MunicípiosEstados'!$E$2:$F$17,2,FALSE),
  O102="Amazonas",((W102*0.15)+(X102*0.7))*VLOOKUP(P102,'MunicípiosEstados'!$G$2:$H$63,2,FALSE),
  O102="Bahia",((W102*0.15)+(X102*0.7))*VLOOKUP(P102,'MunicípiosEstados'!$I$2:$J$418,2,FALSE),
  O102="Ceará",((W102*0.15)+(X102*0.7))*VLOOKUP(P102,'MunicípiosEstados'!$K$2:$L$185,2,FALSE),
  O102="Distrito Federal",((W102*0.15)+(X102*0.7))*VLOOKUP(P102,'MunicípiosEstados'!$M$2:$N$2,2,FALSE),
  O102="Espírito Santo",((W102*0.15)+(X102*0.7))*VLOOKUP(P102,'MunicípiosEstados'!$O$2:$P$79,2,FALSE),
  O102="Goiás",((W102*0.15)+(X102*0.7))*VLOOKUP(P102,'MunicípiosEstados'!$Q$2:$R$247,2,FALSE),
  O102="Maranhão",((W102*0.15)+(X102*0.7))*VLOOKUP(P102,'MunicípiosEstados'!$S$2:$T$218,2,FALSE),
  O102="Mato Grosso",((W102*0.15)+(X102*0.7))*VLOOKUP(P102,'MunicípiosEstados'!$U$2:$V$143,2,FALSE),
  O102="Mato Grosso do Sul",((W102*0.15)+(X102*0.7))*VLOOKUP(P102,'MunicípiosEstados'!$W$2:$X$80,2,FALSE),
  O102="Minas Gerais",((W102*0.15)+(X102*0.7))*VLOOKUP(P102,'MunicípiosEstados'!$Y$2:$Z$854,2,FALSE),
  O102="Pará",((W102*0.15)+(X102*0.7))*VLOOKUP(P102,'MunicípiosEstados'!$AA$2:$AB$145,2,FALSE),
  O102="Paraíba",((W102*0.15)+(X102*0.7))*VLOOKUP(P102,'MunicípiosEstados'!$AC$2:$AD$224,2,FALSE),
  O102="Paraná",((W102*0.15)+(X102*0.7))*VLOOKUP(P102,'MunicípiosEstados'!$AE$2:$AF$400,2,FALSE),
  O102="Pernambuco",((W102*0.15)+(X102*0.7))*VLOOKUP(P102,'MunicípiosEstados'!$AG$2:$AH$186,2,FALSE),
  O102="Piauí",((W102*0.15)+(X102*0.7))*VLOOKUP(P102,'MunicípiosEstados'!$AI$2:$AJ$225,2,FALSE),
  O102="Rio Grande do Norte",((W102*0.15)+(X102*0.7))*VLOOKUP(P102,'MunicípiosEstados'!$AK$2:$AL$168,2,FALSE),
  O102="Rio Grande do Sul",((W102*0.15)+(X102*0.7))*VLOOKUP(P102,'MunicípiosEstados'!$AM$2:$AN$498,2,FALSE),
  O102="Rio de Janeiro",((W102*0.15)+(X102*0.7))*VLOOKUP(P102,'MunicípiosEstados'!$AO$2:$AP$93,2,FALSE),
  O102="Rondônia",((W102*0.15)+(X102*0.7))*VLOOKUP(P102,'MunicípiosEstados'!$AQ$2:$AR$53,2,FALSE),
  O102="Roraima",((W102*0.15)+(X102*0.7))*VLOOKUP(P102,'MunicípiosEstados'!$AS$2:$AT$16,2,FALSE),
  O102="Santa Catarina",((W102*0.15)+(X102*0.7))*VLOOKUP(P102,'MunicípiosEstados'!$AU$2:$AV$296,2,FALSE),
  O102="São Paulo",((W102*0.15)+(X102*0.7))*VLOOKUP(P102,'MunicípiosEstados'!$AW$2:$AX$646,2,FALSE),
  O102="Sergipe",((W102*0.15)+(X102*0.7))*VLOOKUP(P102,'MunicípiosEstados'!$AY$2:$AZ$76,2,FALSE),
  O102="Tocantins",((W102*0.15)+(X102*0.7))*VLOOKUP(P102,'MunicípiosEstados'!$BA$2:$BB$140,2,FALSE),
  O102="Exterior",((W102*0.15)+(X102*0.7))*VLOOKUP(P102,'MunicípiosEstados'!$BC$2:$BE$221,3,FALSE),TRUE,0
)
</f>
        <v>2614.95</v>
      </c>
      <c r="AL102" s="25">
        <f t="shared" si="3"/>
        <v>4714.95</v>
      </c>
    </row>
    <row r="103" ht="22.5" customHeight="1">
      <c r="A103" s="15">
        <f t="shared" si="1"/>
        <v>102</v>
      </c>
      <c r="B103" s="16">
        <v>45985.62257020833</v>
      </c>
      <c r="C103" s="17" t="s">
        <v>696</v>
      </c>
      <c r="D103" s="27" t="s">
        <v>443</v>
      </c>
      <c r="E103" s="15" t="str">
        <f>VLOOKUP(G103,DiretoriaDepart.Coord.!$A$1:$C$72,2,FALSE)</f>
        <v>Extensão Rural</v>
      </c>
      <c r="F103" s="15" t="str">
        <f>VLOOKUP(G103,DiretoriaDepart.Coord.!$A$1:$C$72,3,FALSE)</f>
        <v>Projetos e Cadeias Produtivas</v>
      </c>
      <c r="G103" s="17" t="s">
        <v>697</v>
      </c>
      <c r="H103" s="15"/>
      <c r="I103" s="17" t="s">
        <v>957</v>
      </c>
      <c r="J103" s="17" t="s">
        <v>728</v>
      </c>
      <c r="K103" s="17">
        <v>20.0</v>
      </c>
      <c r="L103" s="15"/>
      <c r="M103" s="17" t="s">
        <v>958</v>
      </c>
      <c r="N103" s="17">
        <v>10.0</v>
      </c>
      <c r="O103" s="17" t="s">
        <v>714</v>
      </c>
      <c r="P103" s="17" t="s">
        <v>18</v>
      </c>
      <c r="Q103" s="20">
        <v>45810.333333333336</v>
      </c>
      <c r="R103" s="20">
        <v>45812.708333333336</v>
      </c>
      <c r="S103" s="17" t="s">
        <v>464</v>
      </c>
      <c r="T103" s="17" t="s">
        <v>452</v>
      </c>
      <c r="U103" s="21" t="s">
        <v>959</v>
      </c>
      <c r="V103" s="21" t="s">
        <v>960</v>
      </c>
      <c r="W103" s="22">
        <v>120.0</v>
      </c>
      <c r="X103" s="22">
        <v>0.0</v>
      </c>
      <c r="Y103" s="23">
        <v>0.0</v>
      </c>
      <c r="Z103" s="23">
        <v>0.0</v>
      </c>
      <c r="AA103" s="24">
        <v>0.0</v>
      </c>
      <c r="AB103" s="24">
        <v>0.0</v>
      </c>
      <c r="AC103" s="24">
        <v>0.0</v>
      </c>
      <c r="AD103" s="23">
        <v>0.0</v>
      </c>
      <c r="AE103" s="24">
        <v>0.0</v>
      </c>
      <c r="AF103" s="17" t="s">
        <v>451</v>
      </c>
      <c r="AG103" s="17">
        <v>3000.0</v>
      </c>
      <c r="AH103" s="17" t="s">
        <v>464</v>
      </c>
      <c r="AI103" s="25">
        <f>IF(AF103="Sim",INT((R103-Q103+1))*K103*VLOOKUP(P103,'Tabelas Auxiliares'!$A$1:$C$400,3,FALSE),0)</f>
        <v>0</v>
      </c>
      <c r="AJ103" s="25">
        <f t="shared" si="2"/>
        <v>2100</v>
      </c>
      <c r="AK103" s="25">
        <f>IFS(
  O103="Acre",((W103*0.15)+(X103*0.7))*VLOOKUP(P103,'MunicípiosEstados'!$A$2:$B$23,2,FALSE),
  O103="Alagoas",((W103*0.15)+(X103*0.7))*VLOOKUP(P103,'MunicípiosEstados'!$C$2:$D$103,2,FALSE),
  O103="Amapá",((W103*0.15)+(X103*0.7))*VLOOKUP(P103,'MunicípiosEstados'!$E$2:$F$17,2,FALSE),
  O103="Amazonas",((W103*0.15)+(X103*0.7))*VLOOKUP(P103,'MunicípiosEstados'!$G$2:$H$63,2,FALSE),
  O103="Bahia",((W103*0.15)+(X103*0.7))*VLOOKUP(P103,'MunicípiosEstados'!$I$2:$J$418,2,FALSE),
  O103="Ceará",((W103*0.15)+(X103*0.7))*VLOOKUP(P103,'MunicípiosEstados'!$K$2:$L$185,2,FALSE),
  O103="Distrito Federal",((W103*0.15)+(X103*0.7))*VLOOKUP(P103,'MunicípiosEstados'!$M$2:$N$2,2,FALSE),
  O103="Espírito Santo",((W103*0.15)+(X103*0.7))*VLOOKUP(P103,'MunicípiosEstados'!$O$2:$P$79,2,FALSE),
  O103="Goiás",((W103*0.15)+(X103*0.7))*VLOOKUP(P103,'MunicípiosEstados'!$Q$2:$R$247,2,FALSE),
  O103="Maranhão",((W103*0.15)+(X103*0.7))*VLOOKUP(P103,'MunicípiosEstados'!$S$2:$T$218,2,FALSE),
  O103="Mato Grosso",((W103*0.15)+(X103*0.7))*VLOOKUP(P103,'MunicípiosEstados'!$U$2:$V$143,2,FALSE),
  O103="Mato Grosso do Sul",((W103*0.15)+(X103*0.7))*VLOOKUP(P103,'MunicípiosEstados'!$W$2:$X$80,2,FALSE),
  O103="Minas Gerais",((W103*0.15)+(X103*0.7))*VLOOKUP(P103,'MunicípiosEstados'!$Y$2:$Z$854,2,FALSE),
  O103="Pará",((W103*0.15)+(X103*0.7))*VLOOKUP(P103,'MunicípiosEstados'!$AA$2:$AB$145,2,FALSE),
  O103="Paraíba",((W103*0.15)+(X103*0.7))*VLOOKUP(P103,'MunicípiosEstados'!$AC$2:$AD$224,2,FALSE),
  O103="Paraná",((W103*0.15)+(X103*0.7))*VLOOKUP(P103,'MunicípiosEstados'!$AE$2:$AF$400,2,FALSE),
  O103="Pernambuco",((W103*0.15)+(X103*0.7))*VLOOKUP(P103,'MunicípiosEstados'!$AG$2:$AH$186,2,FALSE),
  O103="Piauí",((W103*0.15)+(X103*0.7))*VLOOKUP(P103,'MunicípiosEstados'!$AI$2:$AJ$225,2,FALSE),
  O103="Rio Grande do Norte",((W103*0.15)+(X103*0.7))*VLOOKUP(P103,'MunicípiosEstados'!$AK$2:$AL$168,2,FALSE),
  O103="Rio Grande do Sul",((W103*0.15)+(X103*0.7))*VLOOKUP(P103,'MunicípiosEstados'!$AM$2:$AN$498,2,FALSE),
  O103="Rio de Janeiro",((W103*0.15)+(X103*0.7))*VLOOKUP(P103,'MunicípiosEstados'!$AO$2:$AP$93,2,FALSE),
  O103="Rondônia",((W103*0.15)+(X103*0.7))*VLOOKUP(P103,'MunicípiosEstados'!$AQ$2:$AR$53,2,FALSE),
  O103="Roraima",((W103*0.15)+(X103*0.7))*VLOOKUP(P103,'MunicípiosEstados'!$AS$2:$AT$16,2,FALSE),
  O103="Santa Catarina",((W103*0.15)+(X103*0.7))*VLOOKUP(P103,'MunicípiosEstados'!$AU$2:$AV$296,2,FALSE),
  O103="São Paulo",((W103*0.15)+(X103*0.7))*VLOOKUP(P103,'MunicípiosEstados'!$AW$2:$AX$646,2,FALSE),
  O103="Sergipe",((W103*0.15)+(X103*0.7))*VLOOKUP(P103,'MunicípiosEstados'!$AY$2:$AZ$76,2,FALSE),
  O103="Tocantins",((W103*0.15)+(X103*0.7))*VLOOKUP(P103,'MunicípiosEstados'!$BA$2:$BB$140,2,FALSE),
  O103="Exterior",((W103*0.15)+(X103*0.7))*VLOOKUP(P103,'MunicípiosEstados'!$BC$2:$BE$221,3,FALSE),TRUE,0
)
</f>
        <v>5229.9</v>
      </c>
      <c r="AL103" s="25">
        <f t="shared" si="3"/>
        <v>7329.9</v>
      </c>
    </row>
    <row r="104" ht="22.5" customHeight="1">
      <c r="A104" s="15">
        <f t="shared" si="1"/>
        <v>103</v>
      </c>
      <c r="B104" s="16">
        <v>45985.63027527778</v>
      </c>
      <c r="C104" s="17" t="s">
        <v>696</v>
      </c>
      <c r="D104" s="27" t="s">
        <v>443</v>
      </c>
      <c r="E104" s="15" t="str">
        <f>VLOOKUP(G104,DiretoriaDepart.Coord.!$A$1:$C$72,2,FALSE)</f>
        <v>Extensão Rural</v>
      </c>
      <c r="F104" s="15" t="str">
        <f>VLOOKUP(G104,DiretoriaDepart.Coord.!$A$1:$C$72,3,FALSE)</f>
        <v>Projetos e Cadeias Produtivas</v>
      </c>
      <c r="G104" s="17" t="s">
        <v>697</v>
      </c>
      <c r="H104" s="15"/>
      <c r="I104" s="17" t="s">
        <v>961</v>
      </c>
      <c r="J104" s="17" t="s">
        <v>728</v>
      </c>
      <c r="K104" s="17">
        <v>15.0</v>
      </c>
      <c r="L104" s="15"/>
      <c r="M104" s="17" t="s">
        <v>925</v>
      </c>
      <c r="N104" s="17">
        <v>15.0</v>
      </c>
      <c r="O104" s="17" t="s">
        <v>714</v>
      </c>
      <c r="P104" s="17" t="s">
        <v>18</v>
      </c>
      <c r="Q104" s="20">
        <v>45901.333333333336</v>
      </c>
      <c r="R104" s="20">
        <v>45903.708333333336</v>
      </c>
      <c r="S104" s="17" t="s">
        <v>464</v>
      </c>
      <c r="T104" s="17" t="s">
        <v>452</v>
      </c>
      <c r="U104" s="21" t="s">
        <v>962</v>
      </c>
      <c r="V104" s="21" t="s">
        <v>963</v>
      </c>
      <c r="W104" s="22">
        <v>90.0</v>
      </c>
      <c r="X104" s="22">
        <v>0.0</v>
      </c>
      <c r="Y104" s="23">
        <v>0.0</v>
      </c>
      <c r="Z104" s="23">
        <v>0.0</v>
      </c>
      <c r="AA104" s="24">
        <v>0.0</v>
      </c>
      <c r="AB104" s="24">
        <v>0.0</v>
      </c>
      <c r="AC104" s="24">
        <v>0.0</v>
      </c>
      <c r="AD104" s="23">
        <v>0.0</v>
      </c>
      <c r="AE104" s="24">
        <v>0.0</v>
      </c>
      <c r="AF104" s="17" t="s">
        <v>451</v>
      </c>
      <c r="AG104" s="17">
        <v>6000.0</v>
      </c>
      <c r="AH104" s="17" t="s">
        <v>464</v>
      </c>
      <c r="AI104" s="25">
        <f>IF(AF104="Sim",INT((R104-Q104+1))*K104*VLOOKUP(P104,'Tabelas Auxiliares'!$A$1:$C$400,3,FALSE),0)</f>
        <v>0</v>
      </c>
      <c r="AJ104" s="25">
        <f t="shared" si="2"/>
        <v>4200</v>
      </c>
      <c r="AK104" s="25">
        <f>IFS(
  O104="Acre",((W104*0.15)+(X104*0.7))*VLOOKUP(P104,'MunicípiosEstados'!$A$2:$B$23,2,FALSE),
  O104="Alagoas",((W104*0.15)+(X104*0.7))*VLOOKUP(P104,'MunicípiosEstados'!$C$2:$D$103,2,FALSE),
  O104="Amapá",((W104*0.15)+(X104*0.7))*VLOOKUP(P104,'MunicípiosEstados'!$E$2:$F$17,2,FALSE),
  O104="Amazonas",((W104*0.15)+(X104*0.7))*VLOOKUP(P104,'MunicípiosEstados'!$G$2:$H$63,2,FALSE),
  O104="Bahia",((W104*0.15)+(X104*0.7))*VLOOKUP(P104,'MunicípiosEstados'!$I$2:$J$418,2,FALSE),
  O104="Ceará",((W104*0.15)+(X104*0.7))*VLOOKUP(P104,'MunicípiosEstados'!$K$2:$L$185,2,FALSE),
  O104="Distrito Federal",((W104*0.15)+(X104*0.7))*VLOOKUP(P104,'MunicípiosEstados'!$M$2:$N$2,2,FALSE),
  O104="Espírito Santo",((W104*0.15)+(X104*0.7))*VLOOKUP(P104,'MunicípiosEstados'!$O$2:$P$79,2,FALSE),
  O104="Goiás",((W104*0.15)+(X104*0.7))*VLOOKUP(P104,'MunicípiosEstados'!$Q$2:$R$247,2,FALSE),
  O104="Maranhão",((W104*0.15)+(X104*0.7))*VLOOKUP(P104,'MunicípiosEstados'!$S$2:$T$218,2,FALSE),
  O104="Mato Grosso",((W104*0.15)+(X104*0.7))*VLOOKUP(P104,'MunicípiosEstados'!$U$2:$V$143,2,FALSE),
  O104="Mato Grosso do Sul",((W104*0.15)+(X104*0.7))*VLOOKUP(P104,'MunicípiosEstados'!$W$2:$X$80,2,FALSE),
  O104="Minas Gerais",((W104*0.15)+(X104*0.7))*VLOOKUP(P104,'MunicípiosEstados'!$Y$2:$Z$854,2,FALSE),
  O104="Pará",((W104*0.15)+(X104*0.7))*VLOOKUP(P104,'MunicípiosEstados'!$AA$2:$AB$145,2,FALSE),
  O104="Paraíba",((W104*0.15)+(X104*0.7))*VLOOKUP(P104,'MunicípiosEstados'!$AC$2:$AD$224,2,FALSE),
  O104="Paraná",((W104*0.15)+(X104*0.7))*VLOOKUP(P104,'MunicípiosEstados'!$AE$2:$AF$400,2,FALSE),
  O104="Pernambuco",((W104*0.15)+(X104*0.7))*VLOOKUP(P104,'MunicípiosEstados'!$AG$2:$AH$186,2,FALSE),
  O104="Piauí",((W104*0.15)+(X104*0.7))*VLOOKUP(P104,'MunicípiosEstados'!$AI$2:$AJ$225,2,FALSE),
  O104="Rio Grande do Norte",((W104*0.15)+(X104*0.7))*VLOOKUP(P104,'MunicípiosEstados'!$AK$2:$AL$168,2,FALSE),
  O104="Rio Grande do Sul",((W104*0.15)+(X104*0.7))*VLOOKUP(P104,'MunicípiosEstados'!$AM$2:$AN$498,2,FALSE),
  O104="Rio de Janeiro",((W104*0.15)+(X104*0.7))*VLOOKUP(P104,'MunicípiosEstados'!$AO$2:$AP$93,2,FALSE),
  O104="Rondônia",((W104*0.15)+(X104*0.7))*VLOOKUP(P104,'MunicípiosEstados'!$AQ$2:$AR$53,2,FALSE),
  O104="Roraima",((W104*0.15)+(X104*0.7))*VLOOKUP(P104,'MunicípiosEstados'!$AS$2:$AT$16,2,FALSE),
  O104="Santa Catarina",((W104*0.15)+(X104*0.7))*VLOOKUP(P104,'MunicípiosEstados'!$AU$2:$AV$296,2,FALSE),
  O104="São Paulo",((W104*0.15)+(X104*0.7))*VLOOKUP(P104,'MunicípiosEstados'!$AW$2:$AX$646,2,FALSE),
  O104="Sergipe",((W104*0.15)+(X104*0.7))*VLOOKUP(P104,'MunicípiosEstados'!$AY$2:$AZ$76,2,FALSE),
  O104="Tocantins",((W104*0.15)+(X104*0.7))*VLOOKUP(P104,'MunicípiosEstados'!$BA$2:$BB$140,2,FALSE),
  O104="Exterior",((W104*0.15)+(X104*0.7))*VLOOKUP(P104,'MunicípiosEstados'!$BC$2:$BE$221,3,FALSE),TRUE,0
)
</f>
        <v>3922.425</v>
      </c>
      <c r="AL104" s="25">
        <f t="shared" si="3"/>
        <v>8122.425</v>
      </c>
    </row>
    <row r="105" ht="22.5" customHeight="1">
      <c r="A105" s="15">
        <f t="shared" si="1"/>
        <v>104</v>
      </c>
      <c r="B105" s="16">
        <v>45985.638062453705</v>
      </c>
      <c r="C105" s="17" t="s">
        <v>696</v>
      </c>
      <c r="D105" s="27" t="s">
        <v>443</v>
      </c>
      <c r="E105" s="15" t="str">
        <f>VLOOKUP(G105,DiretoriaDepart.Coord.!$A$1:$C$72,2,FALSE)</f>
        <v>Extensão Rural</v>
      </c>
      <c r="F105" s="15" t="str">
        <f>VLOOKUP(G105,DiretoriaDepart.Coord.!$A$1:$C$72,3,FALSE)</f>
        <v>Projetos e Cadeias Produtivas</v>
      </c>
      <c r="G105" s="17" t="s">
        <v>697</v>
      </c>
      <c r="H105" s="15"/>
      <c r="I105" s="17" t="s">
        <v>964</v>
      </c>
      <c r="J105" s="17" t="s">
        <v>728</v>
      </c>
      <c r="K105" s="17">
        <v>15.0</v>
      </c>
      <c r="L105" s="15"/>
      <c r="M105" s="17" t="s">
        <v>925</v>
      </c>
      <c r="N105" s="17">
        <v>15.0</v>
      </c>
      <c r="O105" s="17" t="s">
        <v>714</v>
      </c>
      <c r="P105" s="17" t="s">
        <v>18</v>
      </c>
      <c r="Q105" s="20">
        <v>45936.333333333336</v>
      </c>
      <c r="R105" s="20">
        <v>45938.708333333336</v>
      </c>
      <c r="S105" s="17" t="s">
        <v>464</v>
      </c>
      <c r="T105" s="17" t="s">
        <v>452</v>
      </c>
      <c r="U105" s="21" t="s">
        <v>965</v>
      </c>
      <c r="V105" s="21" t="s">
        <v>966</v>
      </c>
      <c r="W105" s="22">
        <v>120.0</v>
      </c>
      <c r="X105" s="22">
        <v>0.0</v>
      </c>
      <c r="Y105" s="23">
        <v>0.0</v>
      </c>
      <c r="Z105" s="23">
        <v>0.0</v>
      </c>
      <c r="AA105" s="24">
        <v>0.0</v>
      </c>
      <c r="AB105" s="24">
        <v>0.0</v>
      </c>
      <c r="AC105" s="24">
        <v>0.0</v>
      </c>
      <c r="AD105" s="23">
        <v>0.0</v>
      </c>
      <c r="AE105" s="24">
        <v>0.0</v>
      </c>
      <c r="AF105" s="17" t="s">
        <v>451</v>
      </c>
      <c r="AG105" s="17">
        <v>6000.0</v>
      </c>
      <c r="AH105" s="17" t="s">
        <v>464</v>
      </c>
      <c r="AI105" s="25">
        <f>IF(AF105="Sim",INT((R105-Q105+1))*K105*VLOOKUP(P105,'Tabelas Auxiliares'!$A$1:$C$400,3,FALSE),0)</f>
        <v>0</v>
      </c>
      <c r="AJ105" s="25">
        <f t="shared" si="2"/>
        <v>4200</v>
      </c>
      <c r="AK105" s="25">
        <f>IFS(
  O105="Acre",((W105*0.15)+(X105*0.7))*VLOOKUP(P105,'MunicípiosEstados'!$A$2:$B$23,2,FALSE),
  O105="Alagoas",((W105*0.15)+(X105*0.7))*VLOOKUP(P105,'MunicípiosEstados'!$C$2:$D$103,2,FALSE),
  O105="Amapá",((W105*0.15)+(X105*0.7))*VLOOKUP(P105,'MunicípiosEstados'!$E$2:$F$17,2,FALSE),
  O105="Amazonas",((W105*0.15)+(X105*0.7))*VLOOKUP(P105,'MunicípiosEstados'!$G$2:$H$63,2,FALSE),
  O105="Bahia",((W105*0.15)+(X105*0.7))*VLOOKUP(P105,'MunicípiosEstados'!$I$2:$J$418,2,FALSE),
  O105="Ceará",((W105*0.15)+(X105*0.7))*VLOOKUP(P105,'MunicípiosEstados'!$K$2:$L$185,2,FALSE),
  O105="Distrito Federal",((W105*0.15)+(X105*0.7))*VLOOKUP(P105,'MunicípiosEstados'!$M$2:$N$2,2,FALSE),
  O105="Espírito Santo",((W105*0.15)+(X105*0.7))*VLOOKUP(P105,'MunicípiosEstados'!$O$2:$P$79,2,FALSE),
  O105="Goiás",((W105*0.15)+(X105*0.7))*VLOOKUP(P105,'MunicípiosEstados'!$Q$2:$R$247,2,FALSE),
  O105="Maranhão",((W105*0.15)+(X105*0.7))*VLOOKUP(P105,'MunicípiosEstados'!$S$2:$T$218,2,FALSE),
  O105="Mato Grosso",((W105*0.15)+(X105*0.7))*VLOOKUP(P105,'MunicípiosEstados'!$U$2:$V$143,2,FALSE),
  O105="Mato Grosso do Sul",((W105*0.15)+(X105*0.7))*VLOOKUP(P105,'MunicípiosEstados'!$W$2:$X$80,2,FALSE),
  O105="Minas Gerais",((W105*0.15)+(X105*0.7))*VLOOKUP(P105,'MunicípiosEstados'!$Y$2:$Z$854,2,FALSE),
  O105="Pará",((W105*0.15)+(X105*0.7))*VLOOKUP(P105,'MunicípiosEstados'!$AA$2:$AB$145,2,FALSE),
  O105="Paraíba",((W105*0.15)+(X105*0.7))*VLOOKUP(P105,'MunicípiosEstados'!$AC$2:$AD$224,2,FALSE),
  O105="Paraná",((W105*0.15)+(X105*0.7))*VLOOKUP(P105,'MunicípiosEstados'!$AE$2:$AF$400,2,FALSE),
  O105="Pernambuco",((W105*0.15)+(X105*0.7))*VLOOKUP(P105,'MunicípiosEstados'!$AG$2:$AH$186,2,FALSE),
  O105="Piauí",((W105*0.15)+(X105*0.7))*VLOOKUP(P105,'MunicípiosEstados'!$AI$2:$AJ$225,2,FALSE),
  O105="Rio Grande do Norte",((W105*0.15)+(X105*0.7))*VLOOKUP(P105,'MunicípiosEstados'!$AK$2:$AL$168,2,FALSE),
  O105="Rio Grande do Sul",((W105*0.15)+(X105*0.7))*VLOOKUP(P105,'MunicípiosEstados'!$AM$2:$AN$498,2,FALSE),
  O105="Rio de Janeiro",((W105*0.15)+(X105*0.7))*VLOOKUP(P105,'MunicípiosEstados'!$AO$2:$AP$93,2,FALSE),
  O105="Rondônia",((W105*0.15)+(X105*0.7))*VLOOKUP(P105,'MunicípiosEstados'!$AQ$2:$AR$53,2,FALSE),
  O105="Roraima",((W105*0.15)+(X105*0.7))*VLOOKUP(P105,'MunicípiosEstados'!$AS$2:$AT$16,2,FALSE),
  O105="Santa Catarina",((W105*0.15)+(X105*0.7))*VLOOKUP(P105,'MunicípiosEstados'!$AU$2:$AV$296,2,FALSE),
  O105="São Paulo",((W105*0.15)+(X105*0.7))*VLOOKUP(P105,'MunicípiosEstados'!$AW$2:$AX$646,2,FALSE),
  O105="Sergipe",((W105*0.15)+(X105*0.7))*VLOOKUP(P105,'MunicípiosEstados'!$AY$2:$AZ$76,2,FALSE),
  O105="Tocantins",((W105*0.15)+(X105*0.7))*VLOOKUP(P105,'MunicípiosEstados'!$BA$2:$BB$140,2,FALSE),
  O105="Exterior",((W105*0.15)+(X105*0.7))*VLOOKUP(P105,'MunicípiosEstados'!$BC$2:$BE$221,3,FALSE),TRUE,0
)
</f>
        <v>5229.9</v>
      </c>
      <c r="AL105" s="25">
        <f t="shared" si="3"/>
        <v>9429.9</v>
      </c>
    </row>
    <row r="106" ht="22.5" hidden="1" customHeight="1">
      <c r="A106" s="15">
        <f t="shared" si="1"/>
        <v>105</v>
      </c>
      <c r="B106" s="16">
        <v>45985.68260905093</v>
      </c>
      <c r="C106" s="17" t="s">
        <v>967</v>
      </c>
      <c r="D106" s="27" t="s">
        <v>443</v>
      </c>
      <c r="E106" s="15" t="str">
        <f>VLOOKUP(G106,DiretoriaDepart.Coord.!$A$1:$C$72,2,FALSE)</f>
        <v>Extensão Rural</v>
      </c>
      <c r="F106" s="15" t="str">
        <f>VLOOKUP(G106,DiretoriaDepart.Coord.!$A$1:$C$72,3,FALSE)</f>
        <v>Projetos e Cadeias Produtivas</v>
      </c>
      <c r="G106" s="17" t="s">
        <v>968</v>
      </c>
      <c r="H106" s="15"/>
      <c r="I106" s="17" t="s">
        <v>969</v>
      </c>
      <c r="J106" s="17" t="s">
        <v>728</v>
      </c>
      <c r="K106" s="17">
        <v>35.0</v>
      </c>
      <c r="L106" s="15"/>
      <c r="M106" s="17" t="s">
        <v>970</v>
      </c>
      <c r="N106" s="17">
        <v>25.0</v>
      </c>
      <c r="O106" s="17" t="s">
        <v>714</v>
      </c>
      <c r="P106" s="17" t="s">
        <v>18</v>
      </c>
      <c r="Q106" s="20">
        <v>45810.333333333336</v>
      </c>
      <c r="R106" s="20">
        <v>45812.5</v>
      </c>
      <c r="S106" s="17" t="s">
        <v>464</v>
      </c>
      <c r="T106" s="17" t="s">
        <v>452</v>
      </c>
      <c r="U106" s="21" t="s">
        <v>971</v>
      </c>
      <c r="V106" s="21" t="s">
        <v>972</v>
      </c>
      <c r="W106" s="22">
        <v>245.0</v>
      </c>
      <c r="X106" s="22">
        <v>105.0</v>
      </c>
      <c r="Y106" s="23">
        <v>0.0</v>
      </c>
      <c r="Z106" s="23">
        <v>0.0</v>
      </c>
      <c r="AA106" s="24">
        <v>0.0</v>
      </c>
      <c r="AB106" s="24">
        <v>0.0</v>
      </c>
      <c r="AC106" s="24">
        <v>0.0</v>
      </c>
      <c r="AD106" s="23">
        <v>0.0</v>
      </c>
      <c r="AE106" s="24">
        <v>0.0</v>
      </c>
      <c r="AF106" s="17" t="s">
        <v>464</v>
      </c>
      <c r="AG106" s="17">
        <v>7000.0</v>
      </c>
      <c r="AH106" s="17" t="s">
        <v>464</v>
      </c>
      <c r="AI106" s="25">
        <f>IF(AF106="Sim",INT((R106-Q106+1))*K106*VLOOKUP(P106,'Tabelas Auxiliares'!$A$1:$C$400,3,FALSE),0)</f>
        <v>2377.2</v>
      </c>
      <c r="AJ106" s="25">
        <f t="shared" si="2"/>
        <v>4900</v>
      </c>
      <c r="AK106" s="25">
        <f>IFS(
  O106="Acre",((W106*0.15)+(X106*0.7))*VLOOKUP(P106,'MunicípiosEstados'!$A$2:$B$23,2,FALSE),
  O106="Alagoas",((W106*0.15)+(X106*0.7))*VLOOKUP(P106,'MunicípiosEstados'!$C$2:$D$103,2,FALSE),
  O106="Amapá",((W106*0.15)+(X106*0.7))*VLOOKUP(P106,'MunicípiosEstados'!$E$2:$F$17,2,FALSE),
  O106="Amazonas",((W106*0.15)+(X106*0.7))*VLOOKUP(P106,'MunicípiosEstados'!$G$2:$H$63,2,FALSE),
  O106="Bahia",((W106*0.15)+(X106*0.7))*VLOOKUP(P106,'MunicípiosEstados'!$I$2:$J$418,2,FALSE),
  O106="Ceará",((W106*0.15)+(X106*0.7))*VLOOKUP(P106,'MunicípiosEstados'!$K$2:$L$185,2,FALSE),
  O106="Distrito Federal",((W106*0.15)+(X106*0.7))*VLOOKUP(P106,'MunicípiosEstados'!$M$2:$N$2,2,FALSE),
  O106="Espírito Santo",((W106*0.15)+(X106*0.7))*VLOOKUP(P106,'MunicípiosEstados'!$O$2:$P$79,2,FALSE),
  O106="Goiás",((W106*0.15)+(X106*0.7))*VLOOKUP(P106,'MunicípiosEstados'!$Q$2:$R$247,2,FALSE),
  O106="Maranhão",((W106*0.15)+(X106*0.7))*VLOOKUP(P106,'MunicípiosEstados'!$S$2:$T$218,2,FALSE),
  O106="Mato Grosso",((W106*0.15)+(X106*0.7))*VLOOKUP(P106,'MunicípiosEstados'!$U$2:$V$143,2,FALSE),
  O106="Mato Grosso do Sul",((W106*0.15)+(X106*0.7))*VLOOKUP(P106,'MunicípiosEstados'!$W$2:$X$80,2,FALSE),
  O106="Minas Gerais",((W106*0.15)+(X106*0.7))*VLOOKUP(P106,'MunicípiosEstados'!$Y$2:$Z$854,2,FALSE),
  O106="Pará",((W106*0.15)+(X106*0.7))*VLOOKUP(P106,'MunicípiosEstados'!$AA$2:$AB$145,2,FALSE),
  O106="Paraíba",((W106*0.15)+(X106*0.7))*VLOOKUP(P106,'MunicípiosEstados'!$AC$2:$AD$224,2,FALSE),
  O106="Paraná",((W106*0.15)+(X106*0.7))*VLOOKUP(P106,'MunicípiosEstados'!$AE$2:$AF$400,2,FALSE),
  O106="Pernambuco",((W106*0.15)+(X106*0.7))*VLOOKUP(P106,'MunicípiosEstados'!$AG$2:$AH$186,2,FALSE),
  O106="Piauí",((W106*0.15)+(X106*0.7))*VLOOKUP(P106,'MunicípiosEstados'!$AI$2:$AJ$225,2,FALSE),
  O106="Rio Grande do Norte",((W106*0.15)+(X106*0.7))*VLOOKUP(P106,'MunicípiosEstados'!$AK$2:$AL$168,2,FALSE),
  O106="Rio Grande do Sul",((W106*0.15)+(X106*0.7))*VLOOKUP(P106,'MunicípiosEstados'!$AM$2:$AN$498,2,FALSE),
  O106="Rio de Janeiro",((W106*0.15)+(X106*0.7))*VLOOKUP(P106,'MunicípiosEstados'!$AO$2:$AP$93,2,FALSE),
  O106="Rondônia",((W106*0.15)+(X106*0.7))*VLOOKUP(P106,'MunicípiosEstados'!$AQ$2:$AR$53,2,FALSE),
  O106="Roraima",((W106*0.15)+(X106*0.7))*VLOOKUP(P106,'MunicípiosEstados'!$AS$2:$AT$16,2,FALSE),
  O106="Santa Catarina",((W106*0.15)+(X106*0.7))*VLOOKUP(P106,'MunicípiosEstados'!$AU$2:$AV$296,2,FALSE),
  O106="São Paulo",((W106*0.15)+(X106*0.7))*VLOOKUP(P106,'MunicípiosEstados'!$AW$2:$AX$646,2,FALSE),
  O106="Sergipe",((W106*0.15)+(X106*0.7))*VLOOKUP(P106,'MunicípiosEstados'!$AY$2:$AZ$76,2,FALSE),
  O106="Tocantins",((W106*0.15)+(X106*0.7))*VLOOKUP(P106,'MunicípiosEstados'!$BA$2:$BB$140,2,FALSE),
  O106="Exterior",((W106*0.15)+(X106*0.7))*VLOOKUP(P106,'MunicípiosEstados'!$BC$2:$BE$221,3,FALSE),TRUE,0
)
</f>
        <v>32033.1375</v>
      </c>
      <c r="AL106" s="25">
        <f t="shared" si="3"/>
        <v>39310.3375</v>
      </c>
    </row>
    <row r="107" ht="22.5" hidden="1" customHeight="1">
      <c r="A107" s="15">
        <f t="shared" si="1"/>
        <v>106</v>
      </c>
      <c r="B107" s="16">
        <v>45985.69404894676</v>
      </c>
      <c r="C107" s="17" t="s">
        <v>967</v>
      </c>
      <c r="D107" s="27" t="s">
        <v>443</v>
      </c>
      <c r="E107" s="15" t="str">
        <f>VLOOKUP(G107,DiretoriaDepart.Coord.!$A$1:$C$72,2,FALSE)</f>
        <v>Extensão Rural</v>
      </c>
      <c r="F107" s="15" t="str">
        <f>VLOOKUP(G107,DiretoriaDepart.Coord.!$A$1:$C$72,3,FALSE)</f>
        <v>Projetos e Cadeias Produtivas</v>
      </c>
      <c r="G107" s="17" t="s">
        <v>968</v>
      </c>
      <c r="H107" s="15"/>
      <c r="I107" s="17" t="s">
        <v>973</v>
      </c>
      <c r="J107" s="17" t="s">
        <v>728</v>
      </c>
      <c r="K107" s="17">
        <v>35.0</v>
      </c>
      <c r="L107" s="15"/>
      <c r="M107" s="17" t="s">
        <v>974</v>
      </c>
      <c r="N107" s="17">
        <v>35.0</v>
      </c>
      <c r="O107" s="17" t="s">
        <v>714</v>
      </c>
      <c r="P107" s="17" t="s">
        <v>18</v>
      </c>
      <c r="Q107" s="20">
        <v>45873.541666666664</v>
      </c>
      <c r="R107" s="20">
        <v>45876.5</v>
      </c>
      <c r="S107" s="17" t="s">
        <v>464</v>
      </c>
      <c r="T107" s="17" t="s">
        <v>452</v>
      </c>
      <c r="U107" s="21" t="s">
        <v>975</v>
      </c>
      <c r="V107" s="21" t="s">
        <v>976</v>
      </c>
      <c r="W107" s="22">
        <v>490.0</v>
      </c>
      <c r="X107" s="22">
        <v>105.0</v>
      </c>
      <c r="Y107" s="23">
        <v>0.0</v>
      </c>
      <c r="Z107" s="23">
        <v>0.0</v>
      </c>
      <c r="AA107" s="24">
        <v>0.0</v>
      </c>
      <c r="AB107" s="24">
        <v>0.0</v>
      </c>
      <c r="AC107" s="24">
        <v>0.0</v>
      </c>
      <c r="AD107" s="23">
        <v>0.0</v>
      </c>
      <c r="AE107" s="24">
        <v>0.0</v>
      </c>
      <c r="AF107" s="17" t="s">
        <v>464</v>
      </c>
      <c r="AG107" s="17">
        <v>7000.0</v>
      </c>
      <c r="AH107" s="17" t="s">
        <v>464</v>
      </c>
      <c r="AI107" s="25">
        <f>IF(AF107="Sim",INT((R107-Q107+1))*K107*VLOOKUP(P107,'Tabelas Auxiliares'!$A$1:$C$400,3,FALSE),0)</f>
        <v>2377.2</v>
      </c>
      <c r="AJ107" s="25">
        <f t="shared" si="2"/>
        <v>4900</v>
      </c>
      <c r="AK107" s="25">
        <f>IFS(
  O107="Acre",((W107*0.15)+(X107*0.7))*VLOOKUP(P107,'MunicípiosEstados'!$A$2:$B$23,2,FALSE),
  O107="Alagoas",((W107*0.15)+(X107*0.7))*VLOOKUP(P107,'MunicípiosEstados'!$C$2:$D$103,2,FALSE),
  O107="Amapá",((W107*0.15)+(X107*0.7))*VLOOKUP(P107,'MunicípiosEstados'!$E$2:$F$17,2,FALSE),
  O107="Amazonas",((W107*0.15)+(X107*0.7))*VLOOKUP(P107,'MunicípiosEstados'!$G$2:$H$63,2,FALSE),
  O107="Bahia",((W107*0.15)+(X107*0.7))*VLOOKUP(P107,'MunicípiosEstados'!$I$2:$J$418,2,FALSE),
  O107="Ceará",((W107*0.15)+(X107*0.7))*VLOOKUP(P107,'MunicípiosEstados'!$K$2:$L$185,2,FALSE),
  O107="Distrito Federal",((W107*0.15)+(X107*0.7))*VLOOKUP(P107,'MunicípiosEstados'!$M$2:$N$2,2,FALSE),
  O107="Espírito Santo",((W107*0.15)+(X107*0.7))*VLOOKUP(P107,'MunicípiosEstados'!$O$2:$P$79,2,FALSE),
  O107="Goiás",((W107*0.15)+(X107*0.7))*VLOOKUP(P107,'MunicípiosEstados'!$Q$2:$R$247,2,FALSE),
  O107="Maranhão",((W107*0.15)+(X107*0.7))*VLOOKUP(P107,'MunicípiosEstados'!$S$2:$T$218,2,FALSE),
  O107="Mato Grosso",((W107*0.15)+(X107*0.7))*VLOOKUP(P107,'MunicípiosEstados'!$U$2:$V$143,2,FALSE),
  O107="Mato Grosso do Sul",((W107*0.15)+(X107*0.7))*VLOOKUP(P107,'MunicípiosEstados'!$W$2:$X$80,2,FALSE),
  O107="Minas Gerais",((W107*0.15)+(X107*0.7))*VLOOKUP(P107,'MunicípiosEstados'!$Y$2:$Z$854,2,FALSE),
  O107="Pará",((W107*0.15)+(X107*0.7))*VLOOKUP(P107,'MunicípiosEstados'!$AA$2:$AB$145,2,FALSE),
  O107="Paraíba",((W107*0.15)+(X107*0.7))*VLOOKUP(P107,'MunicípiosEstados'!$AC$2:$AD$224,2,FALSE),
  O107="Paraná",((W107*0.15)+(X107*0.7))*VLOOKUP(P107,'MunicípiosEstados'!$AE$2:$AF$400,2,FALSE),
  O107="Pernambuco",((W107*0.15)+(X107*0.7))*VLOOKUP(P107,'MunicípiosEstados'!$AG$2:$AH$186,2,FALSE),
  O107="Piauí",((W107*0.15)+(X107*0.7))*VLOOKUP(P107,'MunicípiosEstados'!$AI$2:$AJ$225,2,FALSE),
  O107="Rio Grande do Norte",((W107*0.15)+(X107*0.7))*VLOOKUP(P107,'MunicípiosEstados'!$AK$2:$AL$168,2,FALSE),
  O107="Rio Grande do Sul",((W107*0.15)+(X107*0.7))*VLOOKUP(P107,'MunicípiosEstados'!$AM$2:$AN$498,2,FALSE),
  O107="Rio de Janeiro",((W107*0.15)+(X107*0.7))*VLOOKUP(P107,'MunicípiosEstados'!$AO$2:$AP$93,2,FALSE),
  O107="Rondônia",((W107*0.15)+(X107*0.7))*VLOOKUP(P107,'MunicípiosEstados'!$AQ$2:$AR$53,2,FALSE),
  O107="Roraima",((W107*0.15)+(X107*0.7))*VLOOKUP(P107,'MunicípiosEstados'!$AS$2:$AT$16,2,FALSE),
  O107="Santa Catarina",((W107*0.15)+(X107*0.7))*VLOOKUP(P107,'MunicípiosEstados'!$AU$2:$AV$296,2,FALSE),
  O107="São Paulo",((W107*0.15)+(X107*0.7))*VLOOKUP(P107,'MunicípiosEstados'!$AW$2:$AX$646,2,FALSE),
  O107="Sergipe",((W107*0.15)+(X107*0.7))*VLOOKUP(P107,'MunicípiosEstados'!$AY$2:$AZ$76,2,FALSE),
  O107="Tocantins",((W107*0.15)+(X107*0.7))*VLOOKUP(P107,'MunicípiosEstados'!$BA$2:$BB$140,2,FALSE),
  O107="Exterior",((W107*0.15)+(X107*0.7))*VLOOKUP(P107,'MunicípiosEstados'!$BC$2:$BE$221,3,FALSE),TRUE,0
)
</f>
        <v>42710.85</v>
      </c>
      <c r="AL107" s="25">
        <f t="shared" si="3"/>
        <v>49988.05</v>
      </c>
    </row>
    <row r="108" ht="22.5" hidden="1" customHeight="1">
      <c r="A108" s="15">
        <f t="shared" si="1"/>
        <v>107</v>
      </c>
      <c r="B108" s="16">
        <v>45985.69893534722</v>
      </c>
      <c r="C108" s="17" t="s">
        <v>967</v>
      </c>
      <c r="D108" s="27" t="s">
        <v>443</v>
      </c>
      <c r="E108" s="15" t="str">
        <f>VLOOKUP(G108,DiretoriaDepart.Coord.!$A$1:$C$72,2,FALSE)</f>
        <v>Extensão Rural</v>
      </c>
      <c r="F108" s="15" t="str">
        <f>VLOOKUP(G108,DiretoriaDepart.Coord.!$A$1:$C$72,3,FALSE)</f>
        <v>Projetos e Cadeias Produtivas</v>
      </c>
      <c r="G108" s="17" t="s">
        <v>968</v>
      </c>
      <c r="H108" s="15"/>
      <c r="I108" s="17" t="s">
        <v>977</v>
      </c>
      <c r="J108" s="17" t="s">
        <v>728</v>
      </c>
      <c r="K108" s="17">
        <v>35.0</v>
      </c>
      <c r="L108" s="15"/>
      <c r="M108" s="17" t="s">
        <v>978</v>
      </c>
      <c r="N108" s="17">
        <v>0.0</v>
      </c>
      <c r="O108" s="17" t="s">
        <v>714</v>
      </c>
      <c r="P108" s="17" t="s">
        <v>18</v>
      </c>
      <c r="Q108" s="20">
        <v>45971.541666666664</v>
      </c>
      <c r="R108" s="20">
        <v>45974.5</v>
      </c>
      <c r="S108" s="17" t="s">
        <v>464</v>
      </c>
      <c r="T108" s="17" t="s">
        <v>452</v>
      </c>
      <c r="U108" s="21" t="s">
        <v>979</v>
      </c>
      <c r="V108" s="21" t="s">
        <v>980</v>
      </c>
      <c r="W108" s="22">
        <v>490.0</v>
      </c>
      <c r="X108" s="22">
        <v>105.0</v>
      </c>
      <c r="Y108" s="23">
        <v>0.0</v>
      </c>
      <c r="Z108" s="23">
        <v>0.0</v>
      </c>
      <c r="AA108" s="24">
        <v>0.0</v>
      </c>
      <c r="AB108" s="24">
        <v>0.0</v>
      </c>
      <c r="AC108" s="24">
        <v>0.0</v>
      </c>
      <c r="AD108" s="23">
        <v>0.0</v>
      </c>
      <c r="AE108" s="24">
        <v>0.0</v>
      </c>
      <c r="AF108" s="17" t="s">
        <v>464</v>
      </c>
      <c r="AG108" s="17">
        <v>7000.0</v>
      </c>
      <c r="AH108" s="17" t="s">
        <v>464</v>
      </c>
      <c r="AI108" s="25">
        <f>IF(AF108="Sim",INT((R108-Q108+1))*K108*VLOOKUP(P108,'Tabelas Auxiliares'!$A$1:$C$400,3,FALSE),0)</f>
        <v>2377.2</v>
      </c>
      <c r="AJ108" s="25">
        <f t="shared" si="2"/>
        <v>4900</v>
      </c>
      <c r="AK108" s="25">
        <f>IFS(
  O108="Acre",((W108*0.15)+(X108*0.7))*VLOOKUP(P108,'MunicípiosEstados'!$A$2:$B$23,2,FALSE),
  O108="Alagoas",((W108*0.15)+(X108*0.7))*VLOOKUP(P108,'MunicípiosEstados'!$C$2:$D$103,2,FALSE),
  O108="Amapá",((W108*0.15)+(X108*0.7))*VLOOKUP(P108,'MunicípiosEstados'!$E$2:$F$17,2,FALSE),
  O108="Amazonas",((W108*0.15)+(X108*0.7))*VLOOKUP(P108,'MunicípiosEstados'!$G$2:$H$63,2,FALSE),
  O108="Bahia",((W108*0.15)+(X108*0.7))*VLOOKUP(P108,'MunicípiosEstados'!$I$2:$J$418,2,FALSE),
  O108="Ceará",((W108*0.15)+(X108*0.7))*VLOOKUP(P108,'MunicípiosEstados'!$K$2:$L$185,2,FALSE),
  O108="Distrito Federal",((W108*0.15)+(X108*0.7))*VLOOKUP(P108,'MunicípiosEstados'!$M$2:$N$2,2,FALSE),
  O108="Espírito Santo",((W108*0.15)+(X108*0.7))*VLOOKUP(P108,'MunicípiosEstados'!$O$2:$P$79,2,FALSE),
  O108="Goiás",((W108*0.15)+(X108*0.7))*VLOOKUP(P108,'MunicípiosEstados'!$Q$2:$R$247,2,FALSE),
  O108="Maranhão",((W108*0.15)+(X108*0.7))*VLOOKUP(P108,'MunicípiosEstados'!$S$2:$T$218,2,FALSE),
  O108="Mato Grosso",((W108*0.15)+(X108*0.7))*VLOOKUP(P108,'MunicípiosEstados'!$U$2:$V$143,2,FALSE),
  O108="Mato Grosso do Sul",((W108*0.15)+(X108*0.7))*VLOOKUP(P108,'MunicípiosEstados'!$W$2:$X$80,2,FALSE),
  O108="Minas Gerais",((W108*0.15)+(X108*0.7))*VLOOKUP(P108,'MunicípiosEstados'!$Y$2:$Z$854,2,FALSE),
  O108="Pará",((W108*0.15)+(X108*0.7))*VLOOKUP(P108,'MunicípiosEstados'!$AA$2:$AB$145,2,FALSE),
  O108="Paraíba",((W108*0.15)+(X108*0.7))*VLOOKUP(P108,'MunicípiosEstados'!$AC$2:$AD$224,2,FALSE),
  O108="Paraná",((W108*0.15)+(X108*0.7))*VLOOKUP(P108,'MunicípiosEstados'!$AE$2:$AF$400,2,FALSE),
  O108="Pernambuco",((W108*0.15)+(X108*0.7))*VLOOKUP(P108,'MunicípiosEstados'!$AG$2:$AH$186,2,FALSE),
  O108="Piauí",((W108*0.15)+(X108*0.7))*VLOOKUP(P108,'MunicípiosEstados'!$AI$2:$AJ$225,2,FALSE),
  O108="Rio Grande do Norte",((W108*0.15)+(X108*0.7))*VLOOKUP(P108,'MunicípiosEstados'!$AK$2:$AL$168,2,FALSE),
  O108="Rio Grande do Sul",((W108*0.15)+(X108*0.7))*VLOOKUP(P108,'MunicípiosEstados'!$AM$2:$AN$498,2,FALSE),
  O108="Rio de Janeiro",((W108*0.15)+(X108*0.7))*VLOOKUP(P108,'MunicípiosEstados'!$AO$2:$AP$93,2,FALSE),
  O108="Rondônia",((W108*0.15)+(X108*0.7))*VLOOKUP(P108,'MunicípiosEstados'!$AQ$2:$AR$53,2,FALSE),
  O108="Roraima",((W108*0.15)+(X108*0.7))*VLOOKUP(P108,'MunicípiosEstados'!$AS$2:$AT$16,2,FALSE),
  O108="Santa Catarina",((W108*0.15)+(X108*0.7))*VLOOKUP(P108,'MunicípiosEstados'!$AU$2:$AV$296,2,FALSE),
  O108="São Paulo",((W108*0.15)+(X108*0.7))*VLOOKUP(P108,'MunicípiosEstados'!$AW$2:$AX$646,2,FALSE),
  O108="Sergipe",((W108*0.15)+(X108*0.7))*VLOOKUP(P108,'MunicípiosEstados'!$AY$2:$AZ$76,2,FALSE),
  O108="Tocantins",((W108*0.15)+(X108*0.7))*VLOOKUP(P108,'MunicípiosEstados'!$BA$2:$BB$140,2,FALSE),
  O108="Exterior",((W108*0.15)+(X108*0.7))*VLOOKUP(P108,'MunicípiosEstados'!$BC$2:$BE$221,3,FALSE),TRUE,0
)
</f>
        <v>42710.85</v>
      </c>
      <c r="AL108" s="25">
        <f t="shared" si="3"/>
        <v>49988.05</v>
      </c>
    </row>
    <row r="109" ht="22.5" hidden="1" customHeight="1">
      <c r="A109" s="15">
        <f t="shared" si="1"/>
        <v>108</v>
      </c>
      <c r="B109" s="16">
        <v>45985.75566491898</v>
      </c>
      <c r="C109" s="17" t="s">
        <v>914</v>
      </c>
      <c r="D109" s="27" t="s">
        <v>443</v>
      </c>
      <c r="E109" s="15" t="str">
        <f>VLOOKUP(G109,DiretoriaDepart.Coord.!$A$1:$C$72,2,FALSE)</f>
        <v>Extensão Rural</v>
      </c>
      <c r="F109" s="15" t="str">
        <f>VLOOKUP(G109,DiretoriaDepart.Coord.!$A$1:$C$72,3,FALSE)</f>
        <v>Projetos e Cadeias Produtivas</v>
      </c>
      <c r="G109" s="17" t="s">
        <v>903</v>
      </c>
      <c r="H109" s="15"/>
      <c r="I109" s="17" t="s">
        <v>981</v>
      </c>
      <c r="J109" s="17" t="s">
        <v>728</v>
      </c>
      <c r="K109" s="17">
        <v>2.0</v>
      </c>
      <c r="L109" s="15"/>
      <c r="M109" s="17" t="s">
        <v>920</v>
      </c>
      <c r="N109" s="17">
        <v>15.0</v>
      </c>
      <c r="O109" s="17" t="s">
        <v>714</v>
      </c>
      <c r="P109" s="17" t="s">
        <v>42</v>
      </c>
      <c r="Q109" s="20">
        <v>45846.333333333336</v>
      </c>
      <c r="R109" s="20">
        <v>45848.708333333336</v>
      </c>
      <c r="S109" s="17" t="s">
        <v>464</v>
      </c>
      <c r="T109" s="17" t="s">
        <v>452</v>
      </c>
      <c r="U109" s="21" t="s">
        <v>982</v>
      </c>
      <c r="V109" s="21" t="s">
        <v>918</v>
      </c>
      <c r="W109" s="22">
        <v>20.0</v>
      </c>
      <c r="X109" s="22">
        <v>6.0</v>
      </c>
      <c r="Y109" s="23">
        <v>0.0</v>
      </c>
      <c r="Z109" s="23">
        <v>0.0</v>
      </c>
      <c r="AA109" s="24">
        <v>0.0</v>
      </c>
      <c r="AB109" s="24">
        <v>0.0</v>
      </c>
      <c r="AC109" s="24">
        <v>0.0</v>
      </c>
      <c r="AD109" s="23">
        <v>0.0</v>
      </c>
      <c r="AE109" s="24">
        <v>0.0</v>
      </c>
      <c r="AF109" s="17" t="s">
        <v>451</v>
      </c>
      <c r="AG109" s="17">
        <v>600.0</v>
      </c>
      <c r="AH109" s="17" t="s">
        <v>451</v>
      </c>
      <c r="AI109" s="25">
        <f>IF(AF109="Sim",INT((R109-Q109+1))*K109*VLOOKUP(P109,'Tabelas Auxiliares'!$A$1:$C$400,3,FALSE),0)</f>
        <v>0</v>
      </c>
      <c r="AJ109" s="25">
        <f t="shared" si="2"/>
        <v>420</v>
      </c>
      <c r="AK109" s="25">
        <f>IFS(
  O109="Acre",((W109*0.15)+(X109*0.7))*VLOOKUP(P109,'MunicípiosEstados'!$A$2:$B$23,2,FALSE),
  O109="Alagoas",((W109*0.15)+(X109*0.7))*VLOOKUP(P109,'MunicípiosEstados'!$C$2:$D$103,2,FALSE),
  O109="Amapá",((W109*0.15)+(X109*0.7))*VLOOKUP(P109,'MunicípiosEstados'!$E$2:$F$17,2,FALSE),
  O109="Amazonas",((W109*0.15)+(X109*0.7))*VLOOKUP(P109,'MunicípiosEstados'!$G$2:$H$63,2,FALSE),
  O109="Bahia",((W109*0.15)+(X109*0.7))*VLOOKUP(P109,'MunicípiosEstados'!$I$2:$J$418,2,FALSE),
  O109="Ceará",((W109*0.15)+(X109*0.7))*VLOOKUP(P109,'MunicípiosEstados'!$K$2:$L$185,2,FALSE),
  O109="Distrito Federal",((W109*0.15)+(X109*0.7))*VLOOKUP(P109,'MunicípiosEstados'!$M$2:$N$2,2,FALSE),
  O109="Espírito Santo",((W109*0.15)+(X109*0.7))*VLOOKUP(P109,'MunicípiosEstados'!$O$2:$P$79,2,FALSE),
  O109="Goiás",((W109*0.15)+(X109*0.7))*VLOOKUP(P109,'MunicípiosEstados'!$Q$2:$R$247,2,FALSE),
  O109="Maranhão",((W109*0.15)+(X109*0.7))*VLOOKUP(P109,'MunicípiosEstados'!$S$2:$T$218,2,FALSE),
  O109="Mato Grosso",((W109*0.15)+(X109*0.7))*VLOOKUP(P109,'MunicípiosEstados'!$U$2:$V$143,2,FALSE),
  O109="Mato Grosso do Sul",((W109*0.15)+(X109*0.7))*VLOOKUP(P109,'MunicípiosEstados'!$W$2:$X$80,2,FALSE),
  O109="Minas Gerais",((W109*0.15)+(X109*0.7))*VLOOKUP(P109,'MunicípiosEstados'!$Y$2:$Z$854,2,FALSE),
  O109="Pará",((W109*0.15)+(X109*0.7))*VLOOKUP(P109,'MunicípiosEstados'!$AA$2:$AB$145,2,FALSE),
  O109="Paraíba",((W109*0.15)+(X109*0.7))*VLOOKUP(P109,'MunicípiosEstados'!$AC$2:$AD$224,2,FALSE),
  O109="Paraná",((W109*0.15)+(X109*0.7))*VLOOKUP(P109,'MunicípiosEstados'!$AE$2:$AF$400,2,FALSE),
  O109="Pernambuco",((W109*0.15)+(X109*0.7))*VLOOKUP(P109,'MunicípiosEstados'!$AG$2:$AH$186,2,FALSE),
  O109="Piauí",((W109*0.15)+(X109*0.7))*VLOOKUP(P109,'MunicípiosEstados'!$AI$2:$AJ$225,2,FALSE),
  O109="Rio Grande do Norte",((W109*0.15)+(X109*0.7))*VLOOKUP(P109,'MunicípiosEstados'!$AK$2:$AL$168,2,FALSE),
  O109="Rio Grande do Sul",((W109*0.15)+(X109*0.7))*VLOOKUP(P109,'MunicípiosEstados'!$AM$2:$AN$498,2,FALSE),
  O109="Rio de Janeiro",((W109*0.15)+(X109*0.7))*VLOOKUP(P109,'MunicípiosEstados'!$AO$2:$AP$93,2,FALSE),
  O109="Rondônia",((W109*0.15)+(X109*0.7))*VLOOKUP(P109,'MunicípiosEstados'!$AQ$2:$AR$53,2,FALSE),
  O109="Roraima",((W109*0.15)+(X109*0.7))*VLOOKUP(P109,'MunicípiosEstados'!$AS$2:$AT$16,2,FALSE),
  O109="Santa Catarina",((W109*0.15)+(X109*0.7))*VLOOKUP(P109,'MunicípiosEstados'!$AU$2:$AV$296,2,FALSE),
  O109="São Paulo",((W109*0.15)+(X109*0.7))*VLOOKUP(P109,'MunicípiosEstados'!$AW$2:$AX$646,2,FALSE),
  O109="Sergipe",((W109*0.15)+(X109*0.7))*VLOOKUP(P109,'MunicípiosEstados'!$AY$2:$AZ$76,2,FALSE),
  O109="Tocantins",((W109*0.15)+(X109*0.7))*VLOOKUP(P109,'MunicípiosEstados'!$BA$2:$BB$140,2,FALSE),
  O109="Exterior",((W109*0.15)+(X109*0.7))*VLOOKUP(P109,'MunicípiosEstados'!$BC$2:$BE$221,3,FALSE),TRUE,0
)
</f>
        <v>2091.96</v>
      </c>
      <c r="AL109" s="25">
        <f t="shared" si="3"/>
        <v>2511.96</v>
      </c>
    </row>
    <row r="110" ht="22.5" hidden="1" customHeight="1">
      <c r="A110" s="15">
        <f t="shared" si="1"/>
        <v>109</v>
      </c>
      <c r="B110" s="16">
        <v>45985.75704877314</v>
      </c>
      <c r="C110" s="17" t="s">
        <v>914</v>
      </c>
      <c r="D110" s="27" t="s">
        <v>443</v>
      </c>
      <c r="E110" s="15" t="str">
        <f>VLOOKUP(G110,DiretoriaDepart.Coord.!$A$1:$C$72,2,FALSE)</f>
        <v>Extensão Rural</v>
      </c>
      <c r="F110" s="15" t="str">
        <f>VLOOKUP(G110,DiretoriaDepart.Coord.!$A$1:$C$72,3,FALSE)</f>
        <v>Projetos e Cadeias Produtivas</v>
      </c>
      <c r="G110" s="17" t="s">
        <v>903</v>
      </c>
      <c r="H110" s="15"/>
      <c r="I110" s="17" t="s">
        <v>983</v>
      </c>
      <c r="J110" s="17" t="s">
        <v>728</v>
      </c>
      <c r="K110" s="17">
        <v>2.0</v>
      </c>
      <c r="L110" s="15"/>
      <c r="M110" s="17" t="s">
        <v>920</v>
      </c>
      <c r="N110" s="17">
        <v>15.0</v>
      </c>
      <c r="O110" s="17" t="s">
        <v>714</v>
      </c>
      <c r="P110" s="17" t="s">
        <v>42</v>
      </c>
      <c r="Q110" s="20">
        <v>45874.333333333336</v>
      </c>
      <c r="R110" s="20">
        <v>45876.708333333336</v>
      </c>
      <c r="S110" s="17" t="s">
        <v>464</v>
      </c>
      <c r="T110" s="17" t="s">
        <v>452</v>
      </c>
      <c r="U110" s="21" t="s">
        <v>921</v>
      </c>
      <c r="V110" s="21" t="s">
        <v>918</v>
      </c>
      <c r="W110" s="22">
        <v>20.0</v>
      </c>
      <c r="X110" s="22">
        <v>6.0</v>
      </c>
      <c r="Y110" s="23">
        <v>0.0</v>
      </c>
      <c r="Z110" s="23">
        <v>0.0</v>
      </c>
      <c r="AA110" s="24">
        <v>0.0</v>
      </c>
      <c r="AB110" s="24">
        <v>0.0</v>
      </c>
      <c r="AC110" s="24">
        <v>0.0</v>
      </c>
      <c r="AD110" s="23">
        <v>0.0</v>
      </c>
      <c r="AE110" s="24">
        <v>0.0</v>
      </c>
      <c r="AF110" s="17" t="s">
        <v>451</v>
      </c>
      <c r="AG110" s="17">
        <v>600.0</v>
      </c>
      <c r="AH110" s="17" t="s">
        <v>451</v>
      </c>
      <c r="AI110" s="25">
        <f>IF(AF110="Sim",INT((R110-Q110+1))*K110*VLOOKUP(P110,'Tabelas Auxiliares'!$A$1:$C$400,3,FALSE),0)</f>
        <v>0</v>
      </c>
      <c r="AJ110" s="25">
        <f t="shared" si="2"/>
        <v>420</v>
      </c>
      <c r="AK110" s="25">
        <f>IFS(
  O110="Acre",((W110*0.15)+(X110*0.7))*VLOOKUP(P110,'MunicípiosEstados'!$A$2:$B$23,2,FALSE),
  O110="Alagoas",((W110*0.15)+(X110*0.7))*VLOOKUP(P110,'MunicípiosEstados'!$C$2:$D$103,2,FALSE),
  O110="Amapá",((W110*0.15)+(X110*0.7))*VLOOKUP(P110,'MunicípiosEstados'!$E$2:$F$17,2,FALSE),
  O110="Amazonas",((W110*0.15)+(X110*0.7))*VLOOKUP(P110,'MunicípiosEstados'!$G$2:$H$63,2,FALSE),
  O110="Bahia",((W110*0.15)+(X110*0.7))*VLOOKUP(P110,'MunicípiosEstados'!$I$2:$J$418,2,FALSE),
  O110="Ceará",((W110*0.15)+(X110*0.7))*VLOOKUP(P110,'MunicípiosEstados'!$K$2:$L$185,2,FALSE),
  O110="Distrito Federal",((W110*0.15)+(X110*0.7))*VLOOKUP(P110,'MunicípiosEstados'!$M$2:$N$2,2,FALSE),
  O110="Espírito Santo",((W110*0.15)+(X110*0.7))*VLOOKUP(P110,'MunicípiosEstados'!$O$2:$P$79,2,FALSE),
  O110="Goiás",((W110*0.15)+(X110*0.7))*VLOOKUP(P110,'MunicípiosEstados'!$Q$2:$R$247,2,FALSE),
  O110="Maranhão",((W110*0.15)+(X110*0.7))*VLOOKUP(P110,'MunicípiosEstados'!$S$2:$T$218,2,FALSE),
  O110="Mato Grosso",((W110*0.15)+(X110*0.7))*VLOOKUP(P110,'MunicípiosEstados'!$U$2:$V$143,2,FALSE),
  O110="Mato Grosso do Sul",((W110*0.15)+(X110*0.7))*VLOOKUP(P110,'MunicípiosEstados'!$W$2:$X$80,2,FALSE),
  O110="Minas Gerais",((W110*0.15)+(X110*0.7))*VLOOKUP(P110,'MunicípiosEstados'!$Y$2:$Z$854,2,FALSE),
  O110="Pará",((W110*0.15)+(X110*0.7))*VLOOKUP(P110,'MunicípiosEstados'!$AA$2:$AB$145,2,FALSE),
  O110="Paraíba",((W110*0.15)+(X110*0.7))*VLOOKUP(P110,'MunicípiosEstados'!$AC$2:$AD$224,2,FALSE),
  O110="Paraná",((W110*0.15)+(X110*0.7))*VLOOKUP(P110,'MunicípiosEstados'!$AE$2:$AF$400,2,FALSE),
  O110="Pernambuco",((W110*0.15)+(X110*0.7))*VLOOKUP(P110,'MunicípiosEstados'!$AG$2:$AH$186,2,FALSE),
  O110="Piauí",((W110*0.15)+(X110*0.7))*VLOOKUP(P110,'MunicípiosEstados'!$AI$2:$AJ$225,2,FALSE),
  O110="Rio Grande do Norte",((W110*0.15)+(X110*0.7))*VLOOKUP(P110,'MunicípiosEstados'!$AK$2:$AL$168,2,FALSE),
  O110="Rio Grande do Sul",((W110*0.15)+(X110*0.7))*VLOOKUP(P110,'MunicípiosEstados'!$AM$2:$AN$498,2,FALSE),
  O110="Rio de Janeiro",((W110*0.15)+(X110*0.7))*VLOOKUP(P110,'MunicípiosEstados'!$AO$2:$AP$93,2,FALSE),
  O110="Rondônia",((W110*0.15)+(X110*0.7))*VLOOKUP(P110,'MunicípiosEstados'!$AQ$2:$AR$53,2,FALSE),
  O110="Roraima",((W110*0.15)+(X110*0.7))*VLOOKUP(P110,'MunicípiosEstados'!$AS$2:$AT$16,2,FALSE),
  O110="Santa Catarina",((W110*0.15)+(X110*0.7))*VLOOKUP(P110,'MunicípiosEstados'!$AU$2:$AV$296,2,FALSE),
  O110="São Paulo",((W110*0.15)+(X110*0.7))*VLOOKUP(P110,'MunicípiosEstados'!$AW$2:$AX$646,2,FALSE),
  O110="Sergipe",((W110*0.15)+(X110*0.7))*VLOOKUP(P110,'MunicípiosEstados'!$AY$2:$AZ$76,2,FALSE),
  O110="Tocantins",((W110*0.15)+(X110*0.7))*VLOOKUP(P110,'MunicípiosEstados'!$BA$2:$BB$140,2,FALSE),
  O110="Exterior",((W110*0.15)+(X110*0.7))*VLOOKUP(P110,'MunicípiosEstados'!$BC$2:$BE$221,3,FALSE),TRUE,0
)
</f>
        <v>2091.96</v>
      </c>
      <c r="AL110" s="25">
        <f t="shared" si="3"/>
        <v>2511.96</v>
      </c>
    </row>
    <row r="111" ht="22.5" hidden="1" customHeight="1">
      <c r="A111" s="15">
        <f t="shared" si="1"/>
        <v>110</v>
      </c>
      <c r="B111" s="16">
        <v>45985.758677465274</v>
      </c>
      <c r="C111" s="17" t="s">
        <v>914</v>
      </c>
      <c r="D111" s="27" t="s">
        <v>443</v>
      </c>
      <c r="E111" s="15" t="str">
        <f>VLOOKUP(G111,DiretoriaDepart.Coord.!$A$1:$C$72,2,FALSE)</f>
        <v>Extensão Rural</v>
      </c>
      <c r="F111" s="15" t="str">
        <f>VLOOKUP(G111,DiretoriaDepart.Coord.!$A$1:$C$72,3,FALSE)</f>
        <v>Projetos e Cadeias Produtivas</v>
      </c>
      <c r="G111" s="17" t="s">
        <v>903</v>
      </c>
      <c r="H111" s="15"/>
      <c r="I111" s="17" t="s">
        <v>984</v>
      </c>
      <c r="J111" s="17" t="s">
        <v>728</v>
      </c>
      <c r="K111" s="17">
        <v>2.0</v>
      </c>
      <c r="L111" s="15"/>
      <c r="M111" s="17" t="s">
        <v>920</v>
      </c>
      <c r="N111" s="17">
        <v>15.0</v>
      </c>
      <c r="O111" s="17" t="s">
        <v>714</v>
      </c>
      <c r="P111" s="17" t="s">
        <v>42</v>
      </c>
      <c r="Q111" s="20">
        <v>45916.333333333336</v>
      </c>
      <c r="R111" s="20">
        <v>45918.708333333336</v>
      </c>
      <c r="S111" s="17" t="s">
        <v>464</v>
      </c>
      <c r="T111" s="17" t="s">
        <v>452</v>
      </c>
      <c r="U111" s="21" t="s">
        <v>921</v>
      </c>
      <c r="V111" s="21" t="s">
        <v>918</v>
      </c>
      <c r="W111" s="22">
        <v>20.0</v>
      </c>
      <c r="X111" s="22">
        <v>6.0</v>
      </c>
      <c r="Y111" s="23">
        <v>0.0</v>
      </c>
      <c r="Z111" s="23">
        <v>0.0</v>
      </c>
      <c r="AA111" s="24">
        <v>0.0</v>
      </c>
      <c r="AB111" s="24">
        <v>0.0</v>
      </c>
      <c r="AC111" s="24">
        <v>0.0</v>
      </c>
      <c r="AD111" s="23">
        <v>0.0</v>
      </c>
      <c r="AE111" s="24">
        <v>0.0</v>
      </c>
      <c r="AF111" s="17" t="s">
        <v>451</v>
      </c>
      <c r="AG111" s="17">
        <v>600.0</v>
      </c>
      <c r="AH111" s="17" t="s">
        <v>451</v>
      </c>
      <c r="AI111" s="25">
        <f>IF(AF111="Sim",INT((R111-Q111+1))*K111*VLOOKUP(P111,'Tabelas Auxiliares'!$A$1:$C$400,3,FALSE),0)</f>
        <v>0</v>
      </c>
      <c r="AJ111" s="25">
        <f t="shared" si="2"/>
        <v>420</v>
      </c>
      <c r="AK111" s="25">
        <f>IFS(
  O111="Acre",((W111*0.15)+(X111*0.7))*VLOOKUP(P111,'MunicípiosEstados'!$A$2:$B$23,2,FALSE),
  O111="Alagoas",((W111*0.15)+(X111*0.7))*VLOOKUP(P111,'MunicípiosEstados'!$C$2:$D$103,2,FALSE),
  O111="Amapá",((W111*0.15)+(X111*0.7))*VLOOKUP(P111,'MunicípiosEstados'!$E$2:$F$17,2,FALSE),
  O111="Amazonas",((W111*0.15)+(X111*0.7))*VLOOKUP(P111,'MunicípiosEstados'!$G$2:$H$63,2,FALSE),
  O111="Bahia",((W111*0.15)+(X111*0.7))*VLOOKUP(P111,'MunicípiosEstados'!$I$2:$J$418,2,FALSE),
  O111="Ceará",((W111*0.15)+(X111*0.7))*VLOOKUP(P111,'MunicípiosEstados'!$K$2:$L$185,2,FALSE),
  O111="Distrito Federal",((W111*0.15)+(X111*0.7))*VLOOKUP(P111,'MunicípiosEstados'!$M$2:$N$2,2,FALSE),
  O111="Espírito Santo",((W111*0.15)+(X111*0.7))*VLOOKUP(P111,'MunicípiosEstados'!$O$2:$P$79,2,FALSE),
  O111="Goiás",((W111*0.15)+(X111*0.7))*VLOOKUP(P111,'MunicípiosEstados'!$Q$2:$R$247,2,FALSE),
  O111="Maranhão",((W111*0.15)+(X111*0.7))*VLOOKUP(P111,'MunicípiosEstados'!$S$2:$T$218,2,FALSE),
  O111="Mato Grosso",((W111*0.15)+(X111*0.7))*VLOOKUP(P111,'MunicípiosEstados'!$U$2:$V$143,2,FALSE),
  O111="Mato Grosso do Sul",((W111*0.15)+(X111*0.7))*VLOOKUP(P111,'MunicípiosEstados'!$W$2:$X$80,2,FALSE),
  O111="Minas Gerais",((W111*0.15)+(X111*0.7))*VLOOKUP(P111,'MunicípiosEstados'!$Y$2:$Z$854,2,FALSE),
  O111="Pará",((W111*0.15)+(X111*0.7))*VLOOKUP(P111,'MunicípiosEstados'!$AA$2:$AB$145,2,FALSE),
  O111="Paraíba",((W111*0.15)+(X111*0.7))*VLOOKUP(P111,'MunicípiosEstados'!$AC$2:$AD$224,2,FALSE),
  O111="Paraná",((W111*0.15)+(X111*0.7))*VLOOKUP(P111,'MunicípiosEstados'!$AE$2:$AF$400,2,FALSE),
  O111="Pernambuco",((W111*0.15)+(X111*0.7))*VLOOKUP(P111,'MunicípiosEstados'!$AG$2:$AH$186,2,FALSE),
  O111="Piauí",((W111*0.15)+(X111*0.7))*VLOOKUP(P111,'MunicípiosEstados'!$AI$2:$AJ$225,2,FALSE),
  O111="Rio Grande do Norte",((W111*0.15)+(X111*0.7))*VLOOKUP(P111,'MunicípiosEstados'!$AK$2:$AL$168,2,FALSE),
  O111="Rio Grande do Sul",((W111*0.15)+(X111*0.7))*VLOOKUP(P111,'MunicípiosEstados'!$AM$2:$AN$498,2,FALSE),
  O111="Rio de Janeiro",((W111*0.15)+(X111*0.7))*VLOOKUP(P111,'MunicípiosEstados'!$AO$2:$AP$93,2,FALSE),
  O111="Rondônia",((W111*0.15)+(X111*0.7))*VLOOKUP(P111,'MunicípiosEstados'!$AQ$2:$AR$53,2,FALSE),
  O111="Roraima",((W111*0.15)+(X111*0.7))*VLOOKUP(P111,'MunicípiosEstados'!$AS$2:$AT$16,2,FALSE),
  O111="Santa Catarina",((W111*0.15)+(X111*0.7))*VLOOKUP(P111,'MunicípiosEstados'!$AU$2:$AV$296,2,FALSE),
  O111="São Paulo",((W111*0.15)+(X111*0.7))*VLOOKUP(P111,'MunicípiosEstados'!$AW$2:$AX$646,2,FALSE),
  O111="Sergipe",((W111*0.15)+(X111*0.7))*VLOOKUP(P111,'MunicípiosEstados'!$AY$2:$AZ$76,2,FALSE),
  O111="Tocantins",((W111*0.15)+(X111*0.7))*VLOOKUP(P111,'MunicípiosEstados'!$BA$2:$BB$140,2,FALSE),
  O111="Exterior",((W111*0.15)+(X111*0.7))*VLOOKUP(P111,'MunicípiosEstados'!$BC$2:$BE$221,3,FALSE),TRUE,0
)
</f>
        <v>2091.96</v>
      </c>
      <c r="AL111" s="25">
        <f t="shared" si="3"/>
        <v>2511.96</v>
      </c>
    </row>
    <row r="112" ht="22.5" hidden="1" customHeight="1">
      <c r="A112" s="15">
        <f t="shared" si="1"/>
        <v>111</v>
      </c>
      <c r="B112" s="16">
        <v>45985.760189988425</v>
      </c>
      <c r="C112" s="17" t="s">
        <v>914</v>
      </c>
      <c r="D112" s="27" t="s">
        <v>443</v>
      </c>
      <c r="E112" s="15" t="str">
        <f>VLOOKUP(G112,DiretoriaDepart.Coord.!$A$1:$C$72,2,FALSE)</f>
        <v>Extensão Rural</v>
      </c>
      <c r="F112" s="15" t="str">
        <f>VLOOKUP(G112,DiretoriaDepart.Coord.!$A$1:$C$72,3,FALSE)</f>
        <v>Projetos e Cadeias Produtivas</v>
      </c>
      <c r="G112" s="17" t="s">
        <v>903</v>
      </c>
      <c r="H112" s="15"/>
      <c r="I112" s="17" t="s">
        <v>985</v>
      </c>
      <c r="J112" s="17" t="s">
        <v>728</v>
      </c>
      <c r="K112" s="17">
        <v>2.0</v>
      </c>
      <c r="L112" s="15"/>
      <c r="M112" s="17" t="s">
        <v>920</v>
      </c>
      <c r="N112" s="17">
        <v>15.0</v>
      </c>
      <c r="O112" s="17" t="s">
        <v>714</v>
      </c>
      <c r="P112" s="17" t="s">
        <v>42</v>
      </c>
      <c r="Q112" s="20">
        <v>45937.333333333336</v>
      </c>
      <c r="R112" s="20">
        <v>45940.708333333336</v>
      </c>
      <c r="S112" s="17" t="s">
        <v>464</v>
      </c>
      <c r="T112" s="17" t="s">
        <v>452</v>
      </c>
      <c r="U112" s="21" t="s">
        <v>921</v>
      </c>
      <c r="V112" s="21" t="s">
        <v>918</v>
      </c>
      <c r="W112" s="22">
        <v>20.0</v>
      </c>
      <c r="X112" s="22">
        <v>6.0</v>
      </c>
      <c r="Y112" s="23">
        <v>0.0</v>
      </c>
      <c r="Z112" s="23">
        <v>0.0</v>
      </c>
      <c r="AA112" s="24">
        <v>0.0</v>
      </c>
      <c r="AB112" s="24">
        <v>0.0</v>
      </c>
      <c r="AC112" s="24">
        <v>0.0</v>
      </c>
      <c r="AD112" s="23">
        <v>0.0</v>
      </c>
      <c r="AE112" s="24">
        <v>0.0</v>
      </c>
      <c r="AF112" s="17" t="s">
        <v>451</v>
      </c>
      <c r="AG112" s="17">
        <v>600.0</v>
      </c>
      <c r="AH112" s="17" t="s">
        <v>451</v>
      </c>
      <c r="AI112" s="25">
        <f>IF(AF112="Sim",INT((R112-Q112+1))*K112*VLOOKUP(P112,'Tabelas Auxiliares'!$A$1:$C$400,3,FALSE),0)</f>
        <v>0</v>
      </c>
      <c r="AJ112" s="25">
        <f t="shared" si="2"/>
        <v>420</v>
      </c>
      <c r="AK112" s="25">
        <f>IFS(
  O112="Acre",((W112*0.15)+(X112*0.7))*VLOOKUP(P112,'MunicípiosEstados'!$A$2:$B$23,2,FALSE),
  O112="Alagoas",((W112*0.15)+(X112*0.7))*VLOOKUP(P112,'MunicípiosEstados'!$C$2:$D$103,2,FALSE),
  O112="Amapá",((W112*0.15)+(X112*0.7))*VLOOKUP(P112,'MunicípiosEstados'!$E$2:$F$17,2,FALSE),
  O112="Amazonas",((W112*0.15)+(X112*0.7))*VLOOKUP(P112,'MunicípiosEstados'!$G$2:$H$63,2,FALSE),
  O112="Bahia",((W112*0.15)+(X112*0.7))*VLOOKUP(P112,'MunicípiosEstados'!$I$2:$J$418,2,FALSE),
  O112="Ceará",((W112*0.15)+(X112*0.7))*VLOOKUP(P112,'MunicípiosEstados'!$K$2:$L$185,2,FALSE),
  O112="Distrito Federal",((W112*0.15)+(X112*0.7))*VLOOKUP(P112,'MunicípiosEstados'!$M$2:$N$2,2,FALSE),
  O112="Espírito Santo",((W112*0.15)+(X112*0.7))*VLOOKUP(P112,'MunicípiosEstados'!$O$2:$P$79,2,FALSE),
  O112="Goiás",((W112*0.15)+(X112*0.7))*VLOOKUP(P112,'MunicípiosEstados'!$Q$2:$R$247,2,FALSE),
  O112="Maranhão",((W112*0.15)+(X112*0.7))*VLOOKUP(P112,'MunicípiosEstados'!$S$2:$T$218,2,FALSE),
  O112="Mato Grosso",((W112*0.15)+(X112*0.7))*VLOOKUP(P112,'MunicípiosEstados'!$U$2:$V$143,2,FALSE),
  O112="Mato Grosso do Sul",((W112*0.15)+(X112*0.7))*VLOOKUP(P112,'MunicípiosEstados'!$W$2:$X$80,2,FALSE),
  O112="Minas Gerais",((W112*0.15)+(X112*0.7))*VLOOKUP(P112,'MunicípiosEstados'!$Y$2:$Z$854,2,FALSE),
  O112="Pará",((W112*0.15)+(X112*0.7))*VLOOKUP(P112,'MunicípiosEstados'!$AA$2:$AB$145,2,FALSE),
  O112="Paraíba",((W112*0.15)+(X112*0.7))*VLOOKUP(P112,'MunicípiosEstados'!$AC$2:$AD$224,2,FALSE),
  O112="Paraná",((W112*0.15)+(X112*0.7))*VLOOKUP(P112,'MunicípiosEstados'!$AE$2:$AF$400,2,FALSE),
  O112="Pernambuco",((W112*0.15)+(X112*0.7))*VLOOKUP(P112,'MunicípiosEstados'!$AG$2:$AH$186,2,FALSE),
  O112="Piauí",((W112*0.15)+(X112*0.7))*VLOOKUP(P112,'MunicípiosEstados'!$AI$2:$AJ$225,2,FALSE),
  O112="Rio Grande do Norte",((W112*0.15)+(X112*0.7))*VLOOKUP(P112,'MunicípiosEstados'!$AK$2:$AL$168,2,FALSE),
  O112="Rio Grande do Sul",((W112*0.15)+(X112*0.7))*VLOOKUP(P112,'MunicípiosEstados'!$AM$2:$AN$498,2,FALSE),
  O112="Rio de Janeiro",((W112*0.15)+(X112*0.7))*VLOOKUP(P112,'MunicípiosEstados'!$AO$2:$AP$93,2,FALSE),
  O112="Rondônia",((W112*0.15)+(X112*0.7))*VLOOKUP(P112,'MunicípiosEstados'!$AQ$2:$AR$53,2,FALSE),
  O112="Roraima",((W112*0.15)+(X112*0.7))*VLOOKUP(P112,'MunicípiosEstados'!$AS$2:$AT$16,2,FALSE),
  O112="Santa Catarina",((W112*0.15)+(X112*0.7))*VLOOKUP(P112,'MunicípiosEstados'!$AU$2:$AV$296,2,FALSE),
  O112="São Paulo",((W112*0.15)+(X112*0.7))*VLOOKUP(P112,'MunicípiosEstados'!$AW$2:$AX$646,2,FALSE),
  O112="Sergipe",((W112*0.15)+(X112*0.7))*VLOOKUP(P112,'MunicípiosEstados'!$AY$2:$AZ$76,2,FALSE),
  O112="Tocantins",((W112*0.15)+(X112*0.7))*VLOOKUP(P112,'MunicípiosEstados'!$BA$2:$BB$140,2,FALSE),
  O112="Exterior",((W112*0.15)+(X112*0.7))*VLOOKUP(P112,'MunicípiosEstados'!$BC$2:$BE$221,3,FALSE),TRUE,0
)
</f>
        <v>2091.96</v>
      </c>
      <c r="AL112" s="25">
        <f t="shared" si="3"/>
        <v>2511.96</v>
      </c>
    </row>
    <row r="113" ht="22.5" hidden="1" customHeight="1">
      <c r="A113" s="15">
        <f t="shared" si="1"/>
        <v>112</v>
      </c>
      <c r="B113" s="16">
        <v>45985.76169684027</v>
      </c>
      <c r="C113" s="17" t="s">
        <v>914</v>
      </c>
      <c r="D113" s="27" t="s">
        <v>443</v>
      </c>
      <c r="E113" s="15" t="str">
        <f>VLOOKUP(G113,DiretoriaDepart.Coord.!$A$1:$C$72,2,FALSE)</f>
        <v>Extensão Rural</v>
      </c>
      <c r="F113" s="15" t="str">
        <f>VLOOKUP(G113,DiretoriaDepart.Coord.!$A$1:$C$72,3,FALSE)</f>
        <v>Projetos e Cadeias Produtivas</v>
      </c>
      <c r="G113" s="17" t="s">
        <v>903</v>
      </c>
      <c r="H113" s="15"/>
      <c r="I113" s="17" t="s">
        <v>986</v>
      </c>
      <c r="J113" s="17" t="s">
        <v>728</v>
      </c>
      <c r="K113" s="17">
        <v>2.0</v>
      </c>
      <c r="L113" s="15"/>
      <c r="M113" s="17" t="s">
        <v>920</v>
      </c>
      <c r="N113" s="17">
        <v>15.0</v>
      </c>
      <c r="O113" s="17" t="s">
        <v>714</v>
      </c>
      <c r="P113" s="17" t="s">
        <v>42</v>
      </c>
      <c r="Q113" s="20">
        <v>45986.333333333336</v>
      </c>
      <c r="R113" s="20">
        <v>45988.708333333336</v>
      </c>
      <c r="S113" s="17" t="s">
        <v>464</v>
      </c>
      <c r="T113" s="17" t="s">
        <v>452</v>
      </c>
      <c r="U113" s="21" t="s">
        <v>921</v>
      </c>
      <c r="V113" s="21" t="s">
        <v>918</v>
      </c>
      <c r="W113" s="22">
        <v>20.0</v>
      </c>
      <c r="X113" s="22">
        <v>6.0</v>
      </c>
      <c r="Y113" s="23">
        <v>0.0</v>
      </c>
      <c r="Z113" s="23">
        <v>0.0</v>
      </c>
      <c r="AA113" s="24">
        <v>0.0</v>
      </c>
      <c r="AB113" s="24">
        <v>0.0</v>
      </c>
      <c r="AC113" s="24">
        <v>0.0</v>
      </c>
      <c r="AD113" s="23">
        <v>0.0</v>
      </c>
      <c r="AE113" s="24">
        <v>0.0</v>
      </c>
      <c r="AF113" s="17" t="s">
        <v>451</v>
      </c>
      <c r="AG113" s="17">
        <v>600.0</v>
      </c>
      <c r="AH113" s="17" t="s">
        <v>451</v>
      </c>
      <c r="AI113" s="25">
        <f>IF(AF113="Sim",INT((R113-Q113+1))*K113*VLOOKUP(P113,'Tabelas Auxiliares'!$A$1:$C$400,3,FALSE),0)</f>
        <v>0</v>
      </c>
      <c r="AJ113" s="25">
        <f t="shared" si="2"/>
        <v>420</v>
      </c>
      <c r="AK113" s="25">
        <f>IFS(
  O113="Acre",((W113*0.15)+(X113*0.7))*VLOOKUP(P113,'MunicípiosEstados'!$A$2:$B$23,2,FALSE),
  O113="Alagoas",((W113*0.15)+(X113*0.7))*VLOOKUP(P113,'MunicípiosEstados'!$C$2:$D$103,2,FALSE),
  O113="Amapá",((W113*0.15)+(X113*0.7))*VLOOKUP(P113,'MunicípiosEstados'!$E$2:$F$17,2,FALSE),
  O113="Amazonas",((W113*0.15)+(X113*0.7))*VLOOKUP(P113,'MunicípiosEstados'!$G$2:$H$63,2,FALSE),
  O113="Bahia",((W113*0.15)+(X113*0.7))*VLOOKUP(P113,'MunicípiosEstados'!$I$2:$J$418,2,FALSE),
  O113="Ceará",((W113*0.15)+(X113*0.7))*VLOOKUP(P113,'MunicípiosEstados'!$K$2:$L$185,2,FALSE),
  O113="Distrito Federal",((W113*0.15)+(X113*0.7))*VLOOKUP(P113,'MunicípiosEstados'!$M$2:$N$2,2,FALSE),
  O113="Espírito Santo",((W113*0.15)+(X113*0.7))*VLOOKUP(P113,'MunicípiosEstados'!$O$2:$P$79,2,FALSE),
  O113="Goiás",((W113*0.15)+(X113*0.7))*VLOOKUP(P113,'MunicípiosEstados'!$Q$2:$R$247,2,FALSE),
  O113="Maranhão",((W113*0.15)+(X113*0.7))*VLOOKUP(P113,'MunicípiosEstados'!$S$2:$T$218,2,FALSE),
  O113="Mato Grosso",((W113*0.15)+(X113*0.7))*VLOOKUP(P113,'MunicípiosEstados'!$U$2:$V$143,2,FALSE),
  O113="Mato Grosso do Sul",((W113*0.15)+(X113*0.7))*VLOOKUP(P113,'MunicípiosEstados'!$W$2:$X$80,2,FALSE),
  O113="Minas Gerais",((W113*0.15)+(X113*0.7))*VLOOKUP(P113,'MunicípiosEstados'!$Y$2:$Z$854,2,FALSE),
  O113="Pará",((W113*0.15)+(X113*0.7))*VLOOKUP(P113,'MunicípiosEstados'!$AA$2:$AB$145,2,FALSE),
  O113="Paraíba",((W113*0.15)+(X113*0.7))*VLOOKUP(P113,'MunicípiosEstados'!$AC$2:$AD$224,2,FALSE),
  O113="Paraná",((W113*0.15)+(X113*0.7))*VLOOKUP(P113,'MunicípiosEstados'!$AE$2:$AF$400,2,FALSE),
  O113="Pernambuco",((W113*0.15)+(X113*0.7))*VLOOKUP(P113,'MunicípiosEstados'!$AG$2:$AH$186,2,FALSE),
  O113="Piauí",((W113*0.15)+(X113*0.7))*VLOOKUP(P113,'MunicípiosEstados'!$AI$2:$AJ$225,2,FALSE),
  O113="Rio Grande do Norte",((W113*0.15)+(X113*0.7))*VLOOKUP(P113,'MunicípiosEstados'!$AK$2:$AL$168,2,FALSE),
  O113="Rio Grande do Sul",((W113*0.15)+(X113*0.7))*VLOOKUP(P113,'MunicípiosEstados'!$AM$2:$AN$498,2,FALSE),
  O113="Rio de Janeiro",((W113*0.15)+(X113*0.7))*VLOOKUP(P113,'MunicípiosEstados'!$AO$2:$AP$93,2,FALSE),
  O113="Rondônia",((W113*0.15)+(X113*0.7))*VLOOKUP(P113,'MunicípiosEstados'!$AQ$2:$AR$53,2,FALSE),
  O113="Roraima",((W113*0.15)+(X113*0.7))*VLOOKUP(P113,'MunicípiosEstados'!$AS$2:$AT$16,2,FALSE),
  O113="Santa Catarina",((W113*0.15)+(X113*0.7))*VLOOKUP(P113,'MunicípiosEstados'!$AU$2:$AV$296,2,FALSE),
  O113="São Paulo",((W113*0.15)+(X113*0.7))*VLOOKUP(P113,'MunicípiosEstados'!$AW$2:$AX$646,2,FALSE),
  O113="Sergipe",((W113*0.15)+(X113*0.7))*VLOOKUP(P113,'MunicípiosEstados'!$AY$2:$AZ$76,2,FALSE),
  O113="Tocantins",((W113*0.15)+(X113*0.7))*VLOOKUP(P113,'MunicípiosEstados'!$BA$2:$BB$140,2,FALSE),
  O113="Exterior",((W113*0.15)+(X113*0.7))*VLOOKUP(P113,'MunicípiosEstados'!$BC$2:$BE$221,3,FALSE),TRUE,0
)
</f>
        <v>2091.96</v>
      </c>
      <c r="AL113" s="25">
        <f t="shared" si="3"/>
        <v>2511.96</v>
      </c>
    </row>
    <row r="114" ht="22.5" hidden="1" customHeight="1">
      <c r="A114" s="15">
        <f t="shared" si="1"/>
        <v>113</v>
      </c>
      <c r="B114" s="16">
        <v>45985.94706614583</v>
      </c>
      <c r="C114" s="17" t="s">
        <v>500</v>
      </c>
      <c r="D114" s="27" t="s">
        <v>443</v>
      </c>
      <c r="E114" s="15" t="str">
        <f>VLOOKUP(G114,DiretoriaDepart.Coord.!$A$1:$C$72,2,FALSE)</f>
        <v>Pesquisa e Inovação</v>
      </c>
      <c r="F114" s="15" t="str">
        <f>VLOOKUP(G114,DiretoriaDepart.Coord.!$A$1:$C$72,3,FALSE)</f>
        <v>Pesquisa e Capacitação</v>
      </c>
      <c r="G114" s="17" t="s">
        <v>501</v>
      </c>
      <c r="H114" s="15"/>
      <c r="I114" s="17" t="s">
        <v>987</v>
      </c>
      <c r="J114" s="17" t="s">
        <v>737</v>
      </c>
      <c r="K114" s="17">
        <v>1.0</v>
      </c>
      <c r="L114" s="17" t="s">
        <v>503</v>
      </c>
      <c r="M114" s="17" t="s">
        <v>988</v>
      </c>
      <c r="N114" s="17">
        <v>500.0</v>
      </c>
      <c r="O114" s="17" t="s">
        <v>714</v>
      </c>
      <c r="P114" s="17" t="s">
        <v>18</v>
      </c>
      <c r="Q114" s="20">
        <v>45818.333333333336</v>
      </c>
      <c r="R114" s="20">
        <v>45819.708333333336</v>
      </c>
      <c r="S114" s="17" t="s">
        <v>464</v>
      </c>
      <c r="T114" s="17" t="s">
        <v>452</v>
      </c>
      <c r="U114" s="21" t="s">
        <v>989</v>
      </c>
      <c r="V114" s="21" t="s">
        <v>990</v>
      </c>
      <c r="W114" s="22">
        <v>0.0</v>
      </c>
      <c r="X114" s="22">
        <v>0.0</v>
      </c>
      <c r="Y114" s="23">
        <v>1000.0</v>
      </c>
      <c r="Z114" s="23">
        <v>1200.0</v>
      </c>
      <c r="AA114" s="24">
        <v>0.0</v>
      </c>
      <c r="AB114" s="24">
        <v>0.0</v>
      </c>
      <c r="AC114" s="24">
        <v>0.0</v>
      </c>
      <c r="AD114" s="23">
        <v>0.0</v>
      </c>
      <c r="AE114" s="24">
        <v>0.0</v>
      </c>
      <c r="AF114" s="17" t="s">
        <v>451</v>
      </c>
      <c r="AG114" s="17">
        <v>100.0</v>
      </c>
      <c r="AH114" s="17" t="s">
        <v>464</v>
      </c>
      <c r="AI114" s="25">
        <f>IF(AF114="Sim",INT((R114-Q114+1))*K114*VLOOKUP(P114,'Tabelas Auxiliares'!$A$1:$C$400,3,FALSE),0)</f>
        <v>0</v>
      </c>
      <c r="AJ114" s="25">
        <f t="shared" si="2"/>
        <v>70</v>
      </c>
      <c r="AK114" s="25">
        <f>IFS(
  O114="Acre",((W114*0.15)+(X114*0.7))*VLOOKUP(P114,'MunicípiosEstados'!$A$2:$B$23,2,FALSE),
  O114="Alagoas",((W114*0.15)+(X114*0.7))*VLOOKUP(P114,'MunicípiosEstados'!$C$2:$D$103,2,FALSE),
  O114="Amapá",((W114*0.15)+(X114*0.7))*VLOOKUP(P114,'MunicípiosEstados'!$E$2:$F$17,2,FALSE),
  O114="Amazonas",((W114*0.15)+(X114*0.7))*VLOOKUP(P114,'MunicípiosEstados'!$G$2:$H$63,2,FALSE),
  O114="Bahia",((W114*0.15)+(X114*0.7))*VLOOKUP(P114,'MunicípiosEstados'!$I$2:$J$418,2,FALSE),
  O114="Ceará",((W114*0.15)+(X114*0.7))*VLOOKUP(P114,'MunicípiosEstados'!$K$2:$L$185,2,FALSE),
  O114="Distrito Federal",((W114*0.15)+(X114*0.7))*VLOOKUP(P114,'MunicípiosEstados'!$M$2:$N$2,2,FALSE),
  O114="Espírito Santo",((W114*0.15)+(X114*0.7))*VLOOKUP(P114,'MunicípiosEstados'!$O$2:$P$79,2,FALSE),
  O114="Goiás",((W114*0.15)+(X114*0.7))*VLOOKUP(P114,'MunicípiosEstados'!$Q$2:$R$247,2,FALSE),
  O114="Maranhão",((W114*0.15)+(X114*0.7))*VLOOKUP(P114,'MunicípiosEstados'!$S$2:$T$218,2,FALSE),
  O114="Mato Grosso",((W114*0.15)+(X114*0.7))*VLOOKUP(P114,'MunicípiosEstados'!$U$2:$V$143,2,FALSE),
  O114="Mato Grosso do Sul",((W114*0.15)+(X114*0.7))*VLOOKUP(P114,'MunicípiosEstados'!$W$2:$X$80,2,FALSE),
  O114="Minas Gerais",((W114*0.15)+(X114*0.7))*VLOOKUP(P114,'MunicípiosEstados'!$Y$2:$Z$854,2,FALSE),
  O114="Pará",((W114*0.15)+(X114*0.7))*VLOOKUP(P114,'MunicípiosEstados'!$AA$2:$AB$145,2,FALSE),
  O114="Paraíba",((W114*0.15)+(X114*0.7))*VLOOKUP(P114,'MunicípiosEstados'!$AC$2:$AD$224,2,FALSE),
  O114="Paraná",((W114*0.15)+(X114*0.7))*VLOOKUP(P114,'MunicípiosEstados'!$AE$2:$AF$400,2,FALSE),
  O114="Pernambuco",((W114*0.15)+(X114*0.7))*VLOOKUP(P114,'MunicípiosEstados'!$AG$2:$AH$186,2,FALSE),
  O114="Piauí",((W114*0.15)+(X114*0.7))*VLOOKUP(P114,'MunicípiosEstados'!$AI$2:$AJ$225,2,FALSE),
  O114="Rio Grande do Norte",((W114*0.15)+(X114*0.7))*VLOOKUP(P114,'MunicípiosEstados'!$AK$2:$AL$168,2,FALSE),
  O114="Rio Grande do Sul",((W114*0.15)+(X114*0.7))*VLOOKUP(P114,'MunicípiosEstados'!$AM$2:$AN$498,2,FALSE),
  O114="Rio de Janeiro",((W114*0.15)+(X114*0.7))*VLOOKUP(P114,'MunicípiosEstados'!$AO$2:$AP$93,2,FALSE),
  O114="Rondônia",((W114*0.15)+(X114*0.7))*VLOOKUP(P114,'MunicípiosEstados'!$AQ$2:$AR$53,2,FALSE),
  O114="Roraima",((W114*0.15)+(X114*0.7))*VLOOKUP(P114,'MunicípiosEstados'!$AS$2:$AT$16,2,FALSE),
  O114="Santa Catarina",((W114*0.15)+(X114*0.7))*VLOOKUP(P114,'MunicípiosEstados'!$AU$2:$AV$296,2,FALSE),
  O114="São Paulo",((W114*0.15)+(X114*0.7))*VLOOKUP(P114,'MunicípiosEstados'!$AW$2:$AX$646,2,FALSE),
  O114="Sergipe",((W114*0.15)+(X114*0.7))*VLOOKUP(P114,'MunicípiosEstados'!$AY$2:$AZ$76,2,FALSE),
  O114="Tocantins",((W114*0.15)+(X114*0.7))*VLOOKUP(P114,'MunicípiosEstados'!$BA$2:$BB$140,2,FALSE),
  O114="Exterior",((W114*0.15)+(X114*0.7))*VLOOKUP(P114,'MunicípiosEstados'!$BC$2:$BE$221,3,FALSE),TRUE,0
)
</f>
        <v>0</v>
      </c>
      <c r="AL114" s="25">
        <f t="shared" si="3"/>
        <v>2270</v>
      </c>
      <c r="AN114" s="35"/>
    </row>
    <row r="115" ht="22.5" hidden="1" customHeight="1">
      <c r="A115" s="15">
        <f t="shared" si="1"/>
        <v>114</v>
      </c>
      <c r="B115" s="16">
        <v>45985.955857152774</v>
      </c>
      <c r="C115" s="17" t="s">
        <v>661</v>
      </c>
      <c r="D115" s="27" t="s">
        <v>443</v>
      </c>
      <c r="E115" s="15" t="str">
        <f>VLOOKUP(G115,DiretoriaDepart.Coord.!$A$1:$C$72,2,FALSE)</f>
        <v>Extensão Rural</v>
      </c>
      <c r="F115" s="15" t="str">
        <f>VLOOKUP(G115,DiretoriaDepart.Coord.!$A$1:$C$72,3,FALSE)</f>
        <v>Projetos e Cadeias Produtivas</v>
      </c>
      <c r="G115" s="17" t="s">
        <v>662</v>
      </c>
      <c r="H115" s="15"/>
      <c r="I115" s="17" t="s">
        <v>991</v>
      </c>
      <c r="J115" s="17" t="s">
        <v>883</v>
      </c>
      <c r="K115" s="17">
        <v>35.0</v>
      </c>
      <c r="L115" s="15"/>
      <c r="M115" s="17" t="s">
        <v>770</v>
      </c>
      <c r="N115" s="17">
        <v>15.0</v>
      </c>
      <c r="O115" s="17" t="s">
        <v>714</v>
      </c>
      <c r="P115" s="17" t="s">
        <v>276</v>
      </c>
      <c r="Q115" s="20">
        <v>45740.541666666664</v>
      </c>
      <c r="R115" s="20">
        <v>45742.5</v>
      </c>
      <c r="S115" s="17" t="s">
        <v>451</v>
      </c>
      <c r="T115" s="17" t="s">
        <v>452</v>
      </c>
      <c r="U115" s="21" t="s">
        <v>992</v>
      </c>
      <c r="V115" s="21" t="s">
        <v>993</v>
      </c>
      <c r="W115" s="22">
        <v>140.0</v>
      </c>
      <c r="X115" s="22">
        <v>70.0</v>
      </c>
      <c r="Y115" s="23">
        <v>0.0</v>
      </c>
      <c r="Z115" s="23">
        <v>0.0</v>
      </c>
      <c r="AA115" s="24">
        <v>0.0</v>
      </c>
      <c r="AB115" s="24">
        <v>0.0</v>
      </c>
      <c r="AC115" s="24">
        <v>0.0</v>
      </c>
      <c r="AD115" s="23">
        <v>0.0</v>
      </c>
      <c r="AE115" s="24">
        <v>0.0</v>
      </c>
      <c r="AF115" s="17" t="s">
        <v>451</v>
      </c>
      <c r="AG115" s="17">
        <v>1200.0</v>
      </c>
      <c r="AH115" s="17" t="s">
        <v>464</v>
      </c>
      <c r="AI115" s="25">
        <f>IF(AF115="Sim",INT((R115-Q115+1))*K115*VLOOKUP(P115,'Tabelas Auxiliares'!$A$1:$C$400,3,FALSE),0)</f>
        <v>0</v>
      </c>
      <c r="AJ115" s="25">
        <f t="shared" si="2"/>
        <v>840</v>
      </c>
      <c r="AK115" s="25">
        <f>IFS(
  O115="Acre",((W115*0.15)+(X115*0.7))*VLOOKUP(P115,'MunicípiosEstados'!$A$2:$B$23,2,FALSE),
  O115="Alagoas",((W115*0.15)+(X115*0.7))*VLOOKUP(P115,'MunicípiosEstados'!$C$2:$D$103,2,FALSE),
  O115="Amapá",((W115*0.15)+(X115*0.7))*VLOOKUP(P115,'MunicípiosEstados'!$E$2:$F$17,2,FALSE),
  O115="Amazonas",((W115*0.15)+(X115*0.7))*VLOOKUP(P115,'MunicípiosEstados'!$G$2:$H$63,2,FALSE),
  O115="Bahia",((W115*0.15)+(X115*0.7))*VLOOKUP(P115,'MunicípiosEstados'!$I$2:$J$418,2,FALSE),
  O115="Ceará",((W115*0.15)+(X115*0.7))*VLOOKUP(P115,'MunicípiosEstados'!$K$2:$L$185,2,FALSE),
  O115="Distrito Federal",((W115*0.15)+(X115*0.7))*VLOOKUP(P115,'MunicípiosEstados'!$M$2:$N$2,2,FALSE),
  O115="Espírito Santo",((W115*0.15)+(X115*0.7))*VLOOKUP(P115,'MunicípiosEstados'!$O$2:$P$79,2,FALSE),
  O115="Goiás",((W115*0.15)+(X115*0.7))*VLOOKUP(P115,'MunicípiosEstados'!$Q$2:$R$247,2,FALSE),
  O115="Maranhão",((W115*0.15)+(X115*0.7))*VLOOKUP(P115,'MunicípiosEstados'!$S$2:$T$218,2,FALSE),
  O115="Mato Grosso",((W115*0.15)+(X115*0.7))*VLOOKUP(P115,'MunicípiosEstados'!$U$2:$V$143,2,FALSE),
  O115="Mato Grosso do Sul",((W115*0.15)+(X115*0.7))*VLOOKUP(P115,'MunicípiosEstados'!$W$2:$X$80,2,FALSE),
  O115="Minas Gerais",((W115*0.15)+(X115*0.7))*VLOOKUP(P115,'MunicípiosEstados'!$Y$2:$Z$854,2,FALSE),
  O115="Pará",((W115*0.15)+(X115*0.7))*VLOOKUP(P115,'MunicípiosEstados'!$AA$2:$AB$145,2,FALSE),
  O115="Paraíba",((W115*0.15)+(X115*0.7))*VLOOKUP(P115,'MunicípiosEstados'!$AC$2:$AD$224,2,FALSE),
  O115="Paraná",((W115*0.15)+(X115*0.7))*VLOOKUP(P115,'MunicípiosEstados'!$AE$2:$AF$400,2,FALSE),
  O115="Pernambuco",((W115*0.15)+(X115*0.7))*VLOOKUP(P115,'MunicípiosEstados'!$AG$2:$AH$186,2,FALSE),
  O115="Piauí",((W115*0.15)+(X115*0.7))*VLOOKUP(P115,'MunicípiosEstados'!$AI$2:$AJ$225,2,FALSE),
  O115="Rio Grande do Norte",((W115*0.15)+(X115*0.7))*VLOOKUP(P115,'MunicípiosEstados'!$AK$2:$AL$168,2,FALSE),
  O115="Rio Grande do Sul",((W115*0.15)+(X115*0.7))*VLOOKUP(P115,'MunicípiosEstados'!$AM$2:$AN$498,2,FALSE),
  O115="Rio de Janeiro",((W115*0.15)+(X115*0.7))*VLOOKUP(P115,'MunicípiosEstados'!$AO$2:$AP$93,2,FALSE),
  O115="Rondônia",((W115*0.15)+(X115*0.7))*VLOOKUP(P115,'MunicípiosEstados'!$AQ$2:$AR$53,2,FALSE),
  O115="Roraima",((W115*0.15)+(X115*0.7))*VLOOKUP(P115,'MunicípiosEstados'!$AS$2:$AT$16,2,FALSE),
  O115="Santa Catarina",((W115*0.15)+(X115*0.7))*VLOOKUP(P115,'MunicípiosEstados'!$AU$2:$AV$296,2,FALSE),
  O115="São Paulo",((W115*0.15)+(X115*0.7))*VLOOKUP(P115,'MunicípiosEstados'!$AW$2:$AX$646,2,FALSE),
  O115="Sergipe",((W115*0.15)+(X115*0.7))*VLOOKUP(P115,'MunicípiosEstados'!$AY$2:$AZ$76,2,FALSE),
  O115="Tocantins",((W115*0.15)+(X115*0.7))*VLOOKUP(P115,'MunicípiosEstados'!$BA$2:$BB$140,2,FALSE),
  O115="Exterior",((W115*0.15)+(X115*0.7))*VLOOKUP(P115,'MunicípiosEstados'!$BC$2:$BE$221,3,FALSE),TRUE,0
)
</f>
        <v>20338.5</v>
      </c>
      <c r="AL115" s="25">
        <f t="shared" si="3"/>
        <v>21178.5</v>
      </c>
    </row>
    <row r="116" ht="22.5" hidden="1" customHeight="1">
      <c r="A116" s="15">
        <f t="shared" si="1"/>
        <v>115</v>
      </c>
      <c r="B116" s="16">
        <v>45986.35013665509</v>
      </c>
      <c r="C116" s="17" t="s">
        <v>766</v>
      </c>
      <c r="D116" s="27" t="s">
        <v>443</v>
      </c>
      <c r="E116" s="15" t="str">
        <f>VLOOKUP(G116,DiretoriaDepart.Coord.!$A$1:$C$72,2,FALSE)</f>
        <v>Pesquisa e Inovação</v>
      </c>
      <c r="F116" s="15" t="str">
        <f>VLOOKUP(G116,DiretoriaDepart.Coord.!$A$1:$C$72,3,FALSE)</f>
        <v>Inovação e Comunicação Científica</v>
      </c>
      <c r="G116" s="17" t="s">
        <v>767</v>
      </c>
      <c r="H116" s="15"/>
      <c r="I116" s="17" t="s">
        <v>994</v>
      </c>
      <c r="J116" s="17" t="s">
        <v>728</v>
      </c>
      <c r="K116" s="17">
        <v>18.0</v>
      </c>
      <c r="L116" s="17" t="s">
        <v>995</v>
      </c>
      <c r="M116" s="17" t="s">
        <v>996</v>
      </c>
      <c r="N116" s="17">
        <v>0.0</v>
      </c>
      <c r="O116" s="17" t="s">
        <v>714</v>
      </c>
      <c r="P116" s="17" t="s">
        <v>58</v>
      </c>
      <c r="Q116" s="20">
        <v>45725.333333333336</v>
      </c>
      <c r="R116" s="20">
        <v>45726.5</v>
      </c>
      <c r="S116" s="17" t="s">
        <v>451</v>
      </c>
      <c r="T116" s="17" t="s">
        <v>452</v>
      </c>
      <c r="U116" s="21" t="s">
        <v>997</v>
      </c>
      <c r="V116" s="21" t="s">
        <v>998</v>
      </c>
      <c r="W116" s="22">
        <v>0.0</v>
      </c>
      <c r="X116" s="22">
        <v>0.0</v>
      </c>
      <c r="Y116" s="23">
        <v>700.0</v>
      </c>
      <c r="Z116" s="23">
        <v>0.0</v>
      </c>
      <c r="AA116" s="24">
        <v>0.0</v>
      </c>
      <c r="AB116" s="24">
        <v>0.0</v>
      </c>
      <c r="AC116" s="24">
        <v>0.0</v>
      </c>
      <c r="AD116" s="23">
        <v>0.0</v>
      </c>
      <c r="AE116" s="24">
        <v>0.0</v>
      </c>
      <c r="AF116" s="17" t="s">
        <v>464</v>
      </c>
      <c r="AG116" s="17">
        <v>0.0</v>
      </c>
      <c r="AH116" s="17" t="s">
        <v>451</v>
      </c>
      <c r="AI116" s="25">
        <f>IF(AF116="Sim",INT((R116-Q116+1))*K116*VLOOKUP(P116,'Tabelas Auxiliares'!$A$1:$C$400,3,FALSE),0)</f>
        <v>815.04</v>
      </c>
      <c r="AJ116" s="25">
        <f t="shared" si="2"/>
        <v>0</v>
      </c>
      <c r="AK116" s="25">
        <f>IFS(
  O116="Acre",((W116*0.15)+(X116*0.7))*VLOOKUP(P116,'MunicípiosEstados'!$A$2:$B$23,2,FALSE),
  O116="Alagoas",((W116*0.15)+(X116*0.7))*VLOOKUP(P116,'MunicípiosEstados'!$C$2:$D$103,2,FALSE),
  O116="Amapá",((W116*0.15)+(X116*0.7))*VLOOKUP(P116,'MunicípiosEstados'!$E$2:$F$17,2,FALSE),
  O116="Amazonas",((W116*0.15)+(X116*0.7))*VLOOKUP(P116,'MunicípiosEstados'!$G$2:$H$63,2,FALSE),
  O116="Bahia",((W116*0.15)+(X116*0.7))*VLOOKUP(P116,'MunicípiosEstados'!$I$2:$J$418,2,FALSE),
  O116="Ceará",((W116*0.15)+(X116*0.7))*VLOOKUP(P116,'MunicípiosEstados'!$K$2:$L$185,2,FALSE),
  O116="Distrito Federal",((W116*0.15)+(X116*0.7))*VLOOKUP(P116,'MunicípiosEstados'!$M$2:$N$2,2,FALSE),
  O116="Espírito Santo",((W116*0.15)+(X116*0.7))*VLOOKUP(P116,'MunicípiosEstados'!$O$2:$P$79,2,FALSE),
  O116="Goiás",((W116*0.15)+(X116*0.7))*VLOOKUP(P116,'MunicípiosEstados'!$Q$2:$R$247,2,FALSE),
  O116="Maranhão",((W116*0.15)+(X116*0.7))*VLOOKUP(P116,'MunicípiosEstados'!$S$2:$T$218,2,FALSE),
  O116="Mato Grosso",((W116*0.15)+(X116*0.7))*VLOOKUP(P116,'MunicípiosEstados'!$U$2:$V$143,2,FALSE),
  O116="Mato Grosso do Sul",((W116*0.15)+(X116*0.7))*VLOOKUP(P116,'MunicípiosEstados'!$W$2:$X$80,2,FALSE),
  O116="Minas Gerais",((W116*0.15)+(X116*0.7))*VLOOKUP(P116,'MunicípiosEstados'!$Y$2:$Z$854,2,FALSE),
  O116="Pará",((W116*0.15)+(X116*0.7))*VLOOKUP(P116,'MunicípiosEstados'!$AA$2:$AB$145,2,FALSE),
  O116="Paraíba",((W116*0.15)+(X116*0.7))*VLOOKUP(P116,'MunicípiosEstados'!$AC$2:$AD$224,2,FALSE),
  O116="Paraná",((W116*0.15)+(X116*0.7))*VLOOKUP(P116,'MunicípiosEstados'!$AE$2:$AF$400,2,FALSE),
  O116="Pernambuco",((W116*0.15)+(X116*0.7))*VLOOKUP(P116,'MunicípiosEstados'!$AG$2:$AH$186,2,FALSE),
  O116="Piauí",((W116*0.15)+(X116*0.7))*VLOOKUP(P116,'MunicípiosEstados'!$AI$2:$AJ$225,2,FALSE),
  O116="Rio Grande do Norte",((W116*0.15)+(X116*0.7))*VLOOKUP(P116,'MunicípiosEstados'!$AK$2:$AL$168,2,FALSE),
  O116="Rio Grande do Sul",((W116*0.15)+(X116*0.7))*VLOOKUP(P116,'MunicípiosEstados'!$AM$2:$AN$498,2,FALSE),
  O116="Rio de Janeiro",((W116*0.15)+(X116*0.7))*VLOOKUP(P116,'MunicípiosEstados'!$AO$2:$AP$93,2,FALSE),
  O116="Rondônia",((W116*0.15)+(X116*0.7))*VLOOKUP(P116,'MunicípiosEstados'!$AQ$2:$AR$53,2,FALSE),
  O116="Roraima",((W116*0.15)+(X116*0.7))*VLOOKUP(P116,'MunicípiosEstados'!$AS$2:$AT$16,2,FALSE),
  O116="Santa Catarina",((W116*0.15)+(X116*0.7))*VLOOKUP(P116,'MunicípiosEstados'!$AU$2:$AV$296,2,FALSE),
  O116="São Paulo",((W116*0.15)+(X116*0.7))*VLOOKUP(P116,'MunicípiosEstados'!$AW$2:$AX$646,2,FALSE),
  O116="Sergipe",((W116*0.15)+(X116*0.7))*VLOOKUP(P116,'MunicípiosEstados'!$AY$2:$AZ$76,2,FALSE),
  O116="Tocantins",((W116*0.15)+(X116*0.7))*VLOOKUP(P116,'MunicípiosEstados'!$BA$2:$BB$140,2,FALSE),
  O116="Exterior",((W116*0.15)+(X116*0.7))*VLOOKUP(P116,'MunicípiosEstados'!$BC$2:$BE$221,3,FALSE),TRUE,0
)
</f>
        <v>0</v>
      </c>
      <c r="AL116" s="25">
        <f t="shared" si="3"/>
        <v>1515.04</v>
      </c>
      <c r="AN116" s="35"/>
    </row>
    <row r="117" ht="22.5" hidden="1" customHeight="1">
      <c r="A117" s="15">
        <f t="shared" si="1"/>
        <v>116</v>
      </c>
      <c r="B117" s="16">
        <v>45986.423375115744</v>
      </c>
      <c r="C117" s="17" t="s">
        <v>914</v>
      </c>
      <c r="D117" s="27" t="s">
        <v>443</v>
      </c>
      <c r="E117" s="15" t="str">
        <f>VLOOKUP(G117,DiretoriaDepart.Coord.!$A$1:$C$72,2,FALSE)</f>
        <v>Extensão Rural</v>
      </c>
      <c r="F117" s="15" t="str">
        <f>VLOOKUP(G117,DiretoriaDepart.Coord.!$A$1:$C$72,3,FALSE)</f>
        <v>Projetos e Cadeias Produtivas</v>
      </c>
      <c r="G117" s="17" t="s">
        <v>903</v>
      </c>
      <c r="H117" s="15"/>
      <c r="I117" s="17" t="s">
        <v>999</v>
      </c>
      <c r="J117" s="17" t="s">
        <v>728</v>
      </c>
      <c r="K117" s="17">
        <v>18.0</v>
      </c>
      <c r="L117" s="15"/>
      <c r="M117" s="17" t="s">
        <v>834</v>
      </c>
      <c r="N117" s="17">
        <v>0.0</v>
      </c>
      <c r="O117" s="17" t="s">
        <v>714</v>
      </c>
      <c r="P117" s="17" t="s">
        <v>38</v>
      </c>
      <c r="Q117" s="20">
        <v>45733.375</v>
      </c>
      <c r="R117" s="20">
        <v>45733.75</v>
      </c>
      <c r="S117" s="17" t="s">
        <v>451</v>
      </c>
      <c r="T117" s="17" t="s">
        <v>1000</v>
      </c>
      <c r="U117" s="21" t="s">
        <v>1001</v>
      </c>
      <c r="V117" s="21" t="s">
        <v>1002</v>
      </c>
      <c r="W117" s="22">
        <v>108.0</v>
      </c>
      <c r="X117" s="22">
        <v>36.0</v>
      </c>
      <c r="Y117" s="23">
        <v>0.0</v>
      </c>
      <c r="Z117" s="23">
        <v>0.0</v>
      </c>
      <c r="AA117" s="24">
        <v>0.0</v>
      </c>
      <c r="AB117" s="24">
        <v>0.0</v>
      </c>
      <c r="AC117" s="24">
        <v>0.0</v>
      </c>
      <c r="AD117" s="23">
        <v>0.0</v>
      </c>
      <c r="AE117" s="24">
        <v>0.0</v>
      </c>
      <c r="AF117" s="17" t="s">
        <v>464</v>
      </c>
      <c r="AG117" s="32">
        <v>6000.0</v>
      </c>
      <c r="AH117" s="17" t="s">
        <v>451</v>
      </c>
      <c r="AI117" s="25">
        <f>IF(AF117="Sim",INT((R117-Q117+1))*K117*VLOOKUP(P117,'Tabelas Auxiliares'!$A$1:$C$400,3,FALSE),0)</f>
        <v>407.52</v>
      </c>
      <c r="AJ117" s="25">
        <f t="shared" si="2"/>
        <v>4200</v>
      </c>
      <c r="AK117" s="25">
        <f>IFS(
  O117="Acre",((W117*0.15)+(X117*0.7))*VLOOKUP(P117,'MunicípiosEstados'!$A$2:$B$23,2,FALSE),
  O117="Alagoas",((W117*0.15)+(X117*0.7))*VLOOKUP(P117,'MunicípiosEstados'!$C$2:$D$103,2,FALSE),
  O117="Amapá",((W117*0.15)+(X117*0.7))*VLOOKUP(P117,'MunicípiosEstados'!$E$2:$F$17,2,FALSE),
  O117="Amazonas",((W117*0.15)+(X117*0.7))*VLOOKUP(P117,'MunicípiosEstados'!$G$2:$H$63,2,FALSE),
  O117="Bahia",((W117*0.15)+(X117*0.7))*VLOOKUP(P117,'MunicípiosEstados'!$I$2:$J$418,2,FALSE),
  O117="Ceará",((W117*0.15)+(X117*0.7))*VLOOKUP(P117,'MunicípiosEstados'!$K$2:$L$185,2,FALSE),
  O117="Distrito Federal",((W117*0.15)+(X117*0.7))*VLOOKUP(P117,'MunicípiosEstados'!$M$2:$N$2,2,FALSE),
  O117="Espírito Santo",((W117*0.15)+(X117*0.7))*VLOOKUP(P117,'MunicípiosEstados'!$O$2:$P$79,2,FALSE),
  O117="Goiás",((W117*0.15)+(X117*0.7))*VLOOKUP(P117,'MunicípiosEstados'!$Q$2:$R$247,2,FALSE),
  O117="Maranhão",((W117*0.15)+(X117*0.7))*VLOOKUP(P117,'MunicípiosEstados'!$S$2:$T$218,2,FALSE),
  O117="Mato Grosso",((W117*0.15)+(X117*0.7))*VLOOKUP(P117,'MunicípiosEstados'!$U$2:$V$143,2,FALSE),
  O117="Mato Grosso do Sul",((W117*0.15)+(X117*0.7))*VLOOKUP(P117,'MunicípiosEstados'!$W$2:$X$80,2,FALSE),
  O117="Minas Gerais",((W117*0.15)+(X117*0.7))*VLOOKUP(P117,'MunicípiosEstados'!$Y$2:$Z$854,2,FALSE),
  O117="Pará",((W117*0.15)+(X117*0.7))*VLOOKUP(P117,'MunicípiosEstados'!$AA$2:$AB$145,2,FALSE),
  O117="Paraíba",((W117*0.15)+(X117*0.7))*VLOOKUP(P117,'MunicípiosEstados'!$AC$2:$AD$224,2,FALSE),
  O117="Paraná",((W117*0.15)+(X117*0.7))*VLOOKUP(P117,'MunicípiosEstados'!$AE$2:$AF$400,2,FALSE),
  O117="Pernambuco",((W117*0.15)+(X117*0.7))*VLOOKUP(P117,'MunicípiosEstados'!$AG$2:$AH$186,2,FALSE),
  O117="Piauí",((W117*0.15)+(X117*0.7))*VLOOKUP(P117,'MunicípiosEstados'!$AI$2:$AJ$225,2,FALSE),
  O117="Rio Grande do Norte",((W117*0.15)+(X117*0.7))*VLOOKUP(P117,'MunicípiosEstados'!$AK$2:$AL$168,2,FALSE),
  O117="Rio Grande do Sul",((W117*0.15)+(X117*0.7))*VLOOKUP(P117,'MunicípiosEstados'!$AM$2:$AN$498,2,FALSE),
  O117="Rio de Janeiro",((W117*0.15)+(X117*0.7))*VLOOKUP(P117,'MunicípiosEstados'!$AO$2:$AP$93,2,FALSE),
  O117="Rondônia",((W117*0.15)+(X117*0.7))*VLOOKUP(P117,'MunicípiosEstados'!$AQ$2:$AR$53,2,FALSE),
  O117="Roraima",((W117*0.15)+(X117*0.7))*VLOOKUP(P117,'MunicípiosEstados'!$AS$2:$AT$16,2,FALSE),
  O117="Santa Catarina",((W117*0.15)+(X117*0.7))*VLOOKUP(P117,'MunicípiosEstados'!$AU$2:$AV$296,2,FALSE),
  O117="São Paulo",((W117*0.15)+(X117*0.7))*VLOOKUP(P117,'MunicípiosEstados'!$AW$2:$AX$646,2,FALSE),
  O117="Sergipe",((W117*0.15)+(X117*0.7))*VLOOKUP(P117,'MunicípiosEstados'!$AY$2:$AZ$76,2,FALSE),
  O117="Tocantins",((W117*0.15)+(X117*0.7))*VLOOKUP(P117,'MunicípiosEstados'!$BA$2:$BB$140,2,FALSE),
  O117="Exterior",((W117*0.15)+(X117*0.7))*VLOOKUP(P117,'MunicípiosEstados'!$BC$2:$BE$221,3,FALSE),TRUE,0
)
</f>
        <v>12028.77</v>
      </c>
      <c r="AL117" s="25">
        <f t="shared" si="3"/>
        <v>16636.29</v>
      </c>
    </row>
    <row r="118" ht="22.5" hidden="1" customHeight="1">
      <c r="A118" s="15">
        <f t="shared" si="1"/>
        <v>117</v>
      </c>
      <c r="B118" s="16">
        <v>45986.42660496528</v>
      </c>
      <c r="C118" s="17" t="s">
        <v>914</v>
      </c>
      <c r="D118" s="27" t="s">
        <v>443</v>
      </c>
      <c r="E118" s="15" t="str">
        <f>VLOOKUP(G118,DiretoriaDepart.Coord.!$A$1:$C$72,2,FALSE)</f>
        <v>Extensão Rural</v>
      </c>
      <c r="F118" s="15" t="str">
        <f>VLOOKUP(G118,DiretoriaDepart.Coord.!$A$1:$C$72,3,FALSE)</f>
        <v>Projetos e Cadeias Produtivas</v>
      </c>
      <c r="G118" s="17" t="s">
        <v>903</v>
      </c>
      <c r="H118" s="15"/>
      <c r="I118" s="17" t="s">
        <v>1003</v>
      </c>
      <c r="J118" s="17" t="s">
        <v>728</v>
      </c>
      <c r="K118" s="17">
        <v>18.0</v>
      </c>
      <c r="L118" s="15"/>
      <c r="M118" s="17" t="s">
        <v>834</v>
      </c>
      <c r="N118" s="17">
        <v>0.0</v>
      </c>
      <c r="O118" s="17" t="s">
        <v>714</v>
      </c>
      <c r="P118" s="17" t="s">
        <v>279</v>
      </c>
      <c r="Q118" s="20">
        <v>45762.375</v>
      </c>
      <c r="R118" s="20">
        <v>45762.75</v>
      </c>
      <c r="S118" s="17" t="s">
        <v>451</v>
      </c>
      <c r="T118" s="17" t="s">
        <v>1000</v>
      </c>
      <c r="U118" s="21" t="s">
        <v>1001</v>
      </c>
      <c r="V118" s="21" t="s">
        <v>1002</v>
      </c>
      <c r="W118" s="22">
        <v>108.0</v>
      </c>
      <c r="X118" s="22">
        <v>36.0</v>
      </c>
      <c r="Y118" s="23">
        <v>0.0</v>
      </c>
      <c r="Z118" s="23">
        <v>0.0</v>
      </c>
      <c r="AA118" s="24">
        <v>0.0</v>
      </c>
      <c r="AB118" s="24">
        <v>0.0</v>
      </c>
      <c r="AC118" s="24">
        <v>0.0</v>
      </c>
      <c r="AD118" s="23">
        <v>0.0</v>
      </c>
      <c r="AE118" s="24">
        <v>0.0</v>
      </c>
      <c r="AF118" s="17" t="s">
        <v>464</v>
      </c>
      <c r="AG118" s="32">
        <v>6000.0</v>
      </c>
      <c r="AH118" s="17" t="s">
        <v>451</v>
      </c>
      <c r="AI118" s="25">
        <f>IF(AF118="Sim",INT((R118-Q118+1))*K118*VLOOKUP(P118,'Tabelas Auxiliares'!$A$1:$C$400,3,FALSE),0)</f>
        <v>407.52</v>
      </c>
      <c r="AJ118" s="25">
        <f t="shared" si="2"/>
        <v>4200</v>
      </c>
      <c r="AK118" s="25">
        <f>IFS(
  O118="Acre",((W118*0.15)+(X118*0.7))*VLOOKUP(P118,'MunicípiosEstados'!$A$2:$B$23,2,FALSE),
  O118="Alagoas",((W118*0.15)+(X118*0.7))*VLOOKUP(P118,'MunicípiosEstados'!$C$2:$D$103,2,FALSE),
  O118="Amapá",((W118*0.15)+(X118*0.7))*VLOOKUP(P118,'MunicípiosEstados'!$E$2:$F$17,2,FALSE),
  O118="Amazonas",((W118*0.15)+(X118*0.7))*VLOOKUP(P118,'MunicípiosEstados'!$G$2:$H$63,2,FALSE),
  O118="Bahia",((W118*0.15)+(X118*0.7))*VLOOKUP(P118,'MunicípiosEstados'!$I$2:$J$418,2,FALSE),
  O118="Ceará",((W118*0.15)+(X118*0.7))*VLOOKUP(P118,'MunicípiosEstados'!$K$2:$L$185,2,FALSE),
  O118="Distrito Federal",((W118*0.15)+(X118*0.7))*VLOOKUP(P118,'MunicípiosEstados'!$M$2:$N$2,2,FALSE),
  O118="Espírito Santo",((W118*0.15)+(X118*0.7))*VLOOKUP(P118,'MunicípiosEstados'!$O$2:$P$79,2,FALSE),
  O118="Goiás",((W118*0.15)+(X118*0.7))*VLOOKUP(P118,'MunicípiosEstados'!$Q$2:$R$247,2,FALSE),
  O118="Maranhão",((W118*0.15)+(X118*0.7))*VLOOKUP(P118,'MunicípiosEstados'!$S$2:$T$218,2,FALSE),
  O118="Mato Grosso",((W118*0.15)+(X118*0.7))*VLOOKUP(P118,'MunicípiosEstados'!$U$2:$V$143,2,FALSE),
  O118="Mato Grosso do Sul",((W118*0.15)+(X118*0.7))*VLOOKUP(P118,'MunicípiosEstados'!$W$2:$X$80,2,FALSE),
  O118="Minas Gerais",((W118*0.15)+(X118*0.7))*VLOOKUP(P118,'MunicípiosEstados'!$Y$2:$Z$854,2,FALSE),
  O118="Pará",((W118*0.15)+(X118*0.7))*VLOOKUP(P118,'MunicípiosEstados'!$AA$2:$AB$145,2,FALSE),
  O118="Paraíba",((W118*0.15)+(X118*0.7))*VLOOKUP(P118,'MunicípiosEstados'!$AC$2:$AD$224,2,FALSE),
  O118="Paraná",((W118*0.15)+(X118*0.7))*VLOOKUP(P118,'MunicípiosEstados'!$AE$2:$AF$400,2,FALSE),
  O118="Pernambuco",((W118*0.15)+(X118*0.7))*VLOOKUP(P118,'MunicípiosEstados'!$AG$2:$AH$186,2,FALSE),
  O118="Piauí",((W118*0.15)+(X118*0.7))*VLOOKUP(P118,'MunicípiosEstados'!$AI$2:$AJ$225,2,FALSE),
  O118="Rio Grande do Norte",((W118*0.15)+(X118*0.7))*VLOOKUP(P118,'MunicípiosEstados'!$AK$2:$AL$168,2,FALSE),
  O118="Rio Grande do Sul",((W118*0.15)+(X118*0.7))*VLOOKUP(P118,'MunicípiosEstados'!$AM$2:$AN$498,2,FALSE),
  O118="Rio de Janeiro",((W118*0.15)+(X118*0.7))*VLOOKUP(P118,'MunicípiosEstados'!$AO$2:$AP$93,2,FALSE),
  O118="Rondônia",((W118*0.15)+(X118*0.7))*VLOOKUP(P118,'MunicípiosEstados'!$AQ$2:$AR$53,2,FALSE),
  O118="Roraima",((W118*0.15)+(X118*0.7))*VLOOKUP(P118,'MunicípiosEstados'!$AS$2:$AT$16,2,FALSE),
  O118="Santa Catarina",((W118*0.15)+(X118*0.7))*VLOOKUP(P118,'MunicípiosEstados'!$AU$2:$AV$296,2,FALSE),
  O118="São Paulo",((W118*0.15)+(X118*0.7))*VLOOKUP(P118,'MunicípiosEstados'!$AW$2:$AX$646,2,FALSE),
  O118="Sergipe",((W118*0.15)+(X118*0.7))*VLOOKUP(P118,'MunicípiosEstados'!$AY$2:$AZ$76,2,FALSE),
  O118="Tocantins",((W118*0.15)+(X118*0.7))*VLOOKUP(P118,'MunicípiosEstados'!$BA$2:$BB$140,2,FALSE),
  O118="Exterior",((W118*0.15)+(X118*0.7))*VLOOKUP(P118,'MunicípiosEstados'!$BC$2:$BE$221,3,FALSE),TRUE,0
)
</f>
        <v>12028.77</v>
      </c>
      <c r="AL118" s="25">
        <f t="shared" si="3"/>
        <v>16636.29</v>
      </c>
    </row>
    <row r="119" ht="22.5" hidden="1" customHeight="1">
      <c r="A119" s="15">
        <f t="shared" si="1"/>
        <v>118</v>
      </c>
      <c r="B119" s="16">
        <v>45986.429421574074</v>
      </c>
      <c r="C119" s="17" t="s">
        <v>914</v>
      </c>
      <c r="D119" s="27" t="s">
        <v>443</v>
      </c>
      <c r="E119" s="15" t="str">
        <f>VLOOKUP(G119,DiretoriaDepart.Coord.!$A$1:$C$72,2,FALSE)</f>
        <v>Extensão Rural</v>
      </c>
      <c r="F119" s="15" t="str">
        <f>VLOOKUP(G119,DiretoriaDepart.Coord.!$A$1:$C$72,3,FALSE)</f>
        <v>Projetos e Cadeias Produtivas</v>
      </c>
      <c r="G119" s="17" t="s">
        <v>903</v>
      </c>
      <c r="H119" s="15"/>
      <c r="I119" s="17" t="s">
        <v>1004</v>
      </c>
      <c r="J119" s="17" t="s">
        <v>728</v>
      </c>
      <c r="K119" s="17">
        <v>18.0</v>
      </c>
      <c r="L119" s="15"/>
      <c r="M119" s="17" t="s">
        <v>834</v>
      </c>
      <c r="N119" s="17">
        <v>0.0</v>
      </c>
      <c r="O119" s="17" t="s">
        <v>714</v>
      </c>
      <c r="P119" s="17" t="s">
        <v>357</v>
      </c>
      <c r="Q119" s="20">
        <v>45790.375</v>
      </c>
      <c r="R119" s="20">
        <v>45790.75</v>
      </c>
      <c r="S119" s="17" t="s">
        <v>451</v>
      </c>
      <c r="T119" s="17" t="s">
        <v>1000</v>
      </c>
      <c r="U119" s="21" t="s">
        <v>1001</v>
      </c>
      <c r="V119" s="21" t="s">
        <v>1002</v>
      </c>
      <c r="W119" s="22">
        <v>108.0</v>
      </c>
      <c r="X119" s="22">
        <v>36.0</v>
      </c>
      <c r="Y119" s="23">
        <v>0.0</v>
      </c>
      <c r="Z119" s="23">
        <v>0.0</v>
      </c>
      <c r="AA119" s="24">
        <v>0.0</v>
      </c>
      <c r="AB119" s="24">
        <v>0.0</v>
      </c>
      <c r="AC119" s="24">
        <v>0.0</v>
      </c>
      <c r="AD119" s="23">
        <v>0.0</v>
      </c>
      <c r="AE119" s="24">
        <v>0.0</v>
      </c>
      <c r="AF119" s="17" t="s">
        <v>464</v>
      </c>
      <c r="AG119" s="32">
        <v>6000.0</v>
      </c>
      <c r="AH119" s="17" t="s">
        <v>451</v>
      </c>
      <c r="AI119" s="25">
        <f>IF(AF119="Sim",INT((R119-Q119+1))*K119*VLOOKUP(P119,'Tabelas Auxiliares'!$A$1:$C$400,3,FALSE),0)</f>
        <v>407.52</v>
      </c>
      <c r="AJ119" s="25">
        <f t="shared" si="2"/>
        <v>4200</v>
      </c>
      <c r="AK119" s="25">
        <f>IFS(
  O119="Acre",((W119*0.15)+(X119*0.7))*VLOOKUP(P119,'MunicípiosEstados'!$A$2:$B$23,2,FALSE),
  O119="Alagoas",((W119*0.15)+(X119*0.7))*VLOOKUP(P119,'MunicípiosEstados'!$C$2:$D$103,2,FALSE),
  O119="Amapá",((W119*0.15)+(X119*0.7))*VLOOKUP(P119,'MunicípiosEstados'!$E$2:$F$17,2,FALSE),
  O119="Amazonas",((W119*0.15)+(X119*0.7))*VLOOKUP(P119,'MunicípiosEstados'!$G$2:$H$63,2,FALSE),
  O119="Bahia",((W119*0.15)+(X119*0.7))*VLOOKUP(P119,'MunicípiosEstados'!$I$2:$J$418,2,FALSE),
  O119="Ceará",((W119*0.15)+(X119*0.7))*VLOOKUP(P119,'MunicípiosEstados'!$K$2:$L$185,2,FALSE),
  O119="Distrito Federal",((W119*0.15)+(X119*0.7))*VLOOKUP(P119,'MunicípiosEstados'!$M$2:$N$2,2,FALSE),
  O119="Espírito Santo",((W119*0.15)+(X119*0.7))*VLOOKUP(P119,'MunicípiosEstados'!$O$2:$P$79,2,FALSE),
  O119="Goiás",((W119*0.15)+(X119*0.7))*VLOOKUP(P119,'MunicípiosEstados'!$Q$2:$R$247,2,FALSE),
  O119="Maranhão",((W119*0.15)+(X119*0.7))*VLOOKUP(P119,'MunicípiosEstados'!$S$2:$T$218,2,FALSE),
  O119="Mato Grosso",((W119*0.15)+(X119*0.7))*VLOOKUP(P119,'MunicípiosEstados'!$U$2:$V$143,2,FALSE),
  O119="Mato Grosso do Sul",((W119*0.15)+(X119*0.7))*VLOOKUP(P119,'MunicípiosEstados'!$W$2:$X$80,2,FALSE),
  O119="Minas Gerais",((W119*0.15)+(X119*0.7))*VLOOKUP(P119,'MunicípiosEstados'!$Y$2:$Z$854,2,FALSE),
  O119="Pará",((W119*0.15)+(X119*0.7))*VLOOKUP(P119,'MunicípiosEstados'!$AA$2:$AB$145,2,FALSE),
  O119="Paraíba",((W119*0.15)+(X119*0.7))*VLOOKUP(P119,'MunicípiosEstados'!$AC$2:$AD$224,2,FALSE),
  O119="Paraná",((W119*0.15)+(X119*0.7))*VLOOKUP(P119,'MunicípiosEstados'!$AE$2:$AF$400,2,FALSE),
  O119="Pernambuco",((W119*0.15)+(X119*0.7))*VLOOKUP(P119,'MunicípiosEstados'!$AG$2:$AH$186,2,FALSE),
  O119="Piauí",((W119*0.15)+(X119*0.7))*VLOOKUP(P119,'MunicípiosEstados'!$AI$2:$AJ$225,2,FALSE),
  O119="Rio Grande do Norte",((W119*0.15)+(X119*0.7))*VLOOKUP(P119,'MunicípiosEstados'!$AK$2:$AL$168,2,FALSE),
  O119="Rio Grande do Sul",((W119*0.15)+(X119*0.7))*VLOOKUP(P119,'MunicípiosEstados'!$AM$2:$AN$498,2,FALSE),
  O119="Rio de Janeiro",((W119*0.15)+(X119*0.7))*VLOOKUP(P119,'MunicípiosEstados'!$AO$2:$AP$93,2,FALSE),
  O119="Rondônia",((W119*0.15)+(X119*0.7))*VLOOKUP(P119,'MunicípiosEstados'!$AQ$2:$AR$53,2,FALSE),
  O119="Roraima",((W119*0.15)+(X119*0.7))*VLOOKUP(P119,'MunicípiosEstados'!$AS$2:$AT$16,2,FALSE),
  O119="Santa Catarina",((W119*0.15)+(X119*0.7))*VLOOKUP(P119,'MunicípiosEstados'!$AU$2:$AV$296,2,FALSE),
  O119="São Paulo",((W119*0.15)+(X119*0.7))*VLOOKUP(P119,'MunicípiosEstados'!$AW$2:$AX$646,2,FALSE),
  O119="Sergipe",((W119*0.15)+(X119*0.7))*VLOOKUP(P119,'MunicípiosEstados'!$AY$2:$AZ$76,2,FALSE),
  O119="Tocantins",((W119*0.15)+(X119*0.7))*VLOOKUP(P119,'MunicípiosEstados'!$BA$2:$BB$140,2,FALSE),
  O119="Exterior",((W119*0.15)+(X119*0.7))*VLOOKUP(P119,'MunicípiosEstados'!$BC$2:$BE$221,3,FALSE),TRUE,0
)
</f>
        <v>12028.77</v>
      </c>
      <c r="AL119" s="25">
        <f t="shared" si="3"/>
        <v>16636.29</v>
      </c>
    </row>
    <row r="120" ht="22.5" hidden="1" customHeight="1">
      <c r="A120" s="15">
        <f t="shared" si="1"/>
        <v>119</v>
      </c>
      <c r="B120" s="16">
        <v>45986.432375856486</v>
      </c>
      <c r="C120" s="17" t="s">
        <v>914</v>
      </c>
      <c r="D120" s="27" t="s">
        <v>443</v>
      </c>
      <c r="E120" s="15" t="str">
        <f>VLOOKUP(G120,DiretoriaDepart.Coord.!$A$1:$C$72,2,FALSE)</f>
        <v>Extensão Rural</v>
      </c>
      <c r="F120" s="15" t="str">
        <f>VLOOKUP(G120,DiretoriaDepart.Coord.!$A$1:$C$72,3,FALSE)</f>
        <v>Projetos e Cadeias Produtivas</v>
      </c>
      <c r="G120" s="17" t="s">
        <v>903</v>
      </c>
      <c r="H120" s="15"/>
      <c r="I120" s="17" t="s">
        <v>1005</v>
      </c>
      <c r="J120" s="17" t="s">
        <v>728</v>
      </c>
      <c r="K120" s="17">
        <v>18.0</v>
      </c>
      <c r="L120" s="15"/>
      <c r="M120" s="17" t="s">
        <v>834</v>
      </c>
      <c r="N120" s="17">
        <v>0.0</v>
      </c>
      <c r="O120" s="17" t="s">
        <v>714</v>
      </c>
      <c r="P120" s="17" t="s">
        <v>273</v>
      </c>
      <c r="Q120" s="20">
        <v>45823.375</v>
      </c>
      <c r="R120" s="20">
        <v>45823.75</v>
      </c>
      <c r="S120" s="17" t="s">
        <v>451</v>
      </c>
      <c r="T120" s="17" t="s">
        <v>1000</v>
      </c>
      <c r="U120" s="21" t="s">
        <v>1001</v>
      </c>
      <c r="V120" s="21" t="s">
        <v>1002</v>
      </c>
      <c r="W120" s="22">
        <v>108.0</v>
      </c>
      <c r="X120" s="22">
        <v>36.0</v>
      </c>
      <c r="Y120" s="23">
        <v>0.0</v>
      </c>
      <c r="Z120" s="23">
        <v>0.0</v>
      </c>
      <c r="AA120" s="24">
        <v>0.0</v>
      </c>
      <c r="AB120" s="24">
        <v>0.0</v>
      </c>
      <c r="AC120" s="24">
        <v>0.0</v>
      </c>
      <c r="AD120" s="23">
        <v>0.0</v>
      </c>
      <c r="AE120" s="24">
        <v>0.0</v>
      </c>
      <c r="AF120" s="17" t="s">
        <v>464</v>
      </c>
      <c r="AG120" s="32">
        <v>6000.0</v>
      </c>
      <c r="AH120" s="17" t="s">
        <v>451</v>
      </c>
      <c r="AI120" s="25">
        <f>IF(AF120="Sim",INT((R120-Q120+1))*K120*VLOOKUP(P120,'Tabelas Auxiliares'!$A$1:$C$400,3,FALSE),0)</f>
        <v>407.52</v>
      </c>
      <c r="AJ120" s="25">
        <f t="shared" si="2"/>
        <v>4200</v>
      </c>
      <c r="AK120" s="25">
        <f>IFS(
  O120="Acre",((W120*0.15)+(X120*0.7))*VLOOKUP(P120,'MunicípiosEstados'!$A$2:$B$23,2,FALSE),
  O120="Alagoas",((W120*0.15)+(X120*0.7))*VLOOKUP(P120,'MunicípiosEstados'!$C$2:$D$103,2,FALSE),
  O120="Amapá",((W120*0.15)+(X120*0.7))*VLOOKUP(P120,'MunicípiosEstados'!$E$2:$F$17,2,FALSE),
  O120="Amazonas",((W120*0.15)+(X120*0.7))*VLOOKUP(P120,'MunicípiosEstados'!$G$2:$H$63,2,FALSE),
  O120="Bahia",((W120*0.15)+(X120*0.7))*VLOOKUP(P120,'MunicípiosEstados'!$I$2:$J$418,2,FALSE),
  O120="Ceará",((W120*0.15)+(X120*0.7))*VLOOKUP(P120,'MunicípiosEstados'!$K$2:$L$185,2,FALSE),
  O120="Distrito Federal",((W120*0.15)+(X120*0.7))*VLOOKUP(P120,'MunicípiosEstados'!$M$2:$N$2,2,FALSE),
  O120="Espírito Santo",((W120*0.15)+(X120*0.7))*VLOOKUP(P120,'MunicípiosEstados'!$O$2:$P$79,2,FALSE),
  O120="Goiás",((W120*0.15)+(X120*0.7))*VLOOKUP(P120,'MunicípiosEstados'!$Q$2:$R$247,2,FALSE),
  O120="Maranhão",((W120*0.15)+(X120*0.7))*VLOOKUP(P120,'MunicípiosEstados'!$S$2:$T$218,2,FALSE),
  O120="Mato Grosso",((W120*0.15)+(X120*0.7))*VLOOKUP(P120,'MunicípiosEstados'!$U$2:$V$143,2,FALSE),
  O120="Mato Grosso do Sul",((W120*0.15)+(X120*0.7))*VLOOKUP(P120,'MunicípiosEstados'!$W$2:$X$80,2,FALSE),
  O120="Minas Gerais",((W120*0.15)+(X120*0.7))*VLOOKUP(P120,'MunicípiosEstados'!$Y$2:$Z$854,2,FALSE),
  O120="Pará",((W120*0.15)+(X120*0.7))*VLOOKUP(P120,'MunicípiosEstados'!$AA$2:$AB$145,2,FALSE),
  O120="Paraíba",((W120*0.15)+(X120*0.7))*VLOOKUP(P120,'MunicípiosEstados'!$AC$2:$AD$224,2,FALSE),
  O120="Paraná",((W120*0.15)+(X120*0.7))*VLOOKUP(P120,'MunicípiosEstados'!$AE$2:$AF$400,2,FALSE),
  O120="Pernambuco",((W120*0.15)+(X120*0.7))*VLOOKUP(P120,'MunicípiosEstados'!$AG$2:$AH$186,2,FALSE),
  O120="Piauí",((W120*0.15)+(X120*0.7))*VLOOKUP(P120,'MunicípiosEstados'!$AI$2:$AJ$225,2,FALSE),
  O120="Rio Grande do Norte",((W120*0.15)+(X120*0.7))*VLOOKUP(P120,'MunicípiosEstados'!$AK$2:$AL$168,2,FALSE),
  O120="Rio Grande do Sul",((W120*0.15)+(X120*0.7))*VLOOKUP(P120,'MunicípiosEstados'!$AM$2:$AN$498,2,FALSE),
  O120="Rio de Janeiro",((W120*0.15)+(X120*0.7))*VLOOKUP(P120,'MunicípiosEstados'!$AO$2:$AP$93,2,FALSE),
  O120="Rondônia",((W120*0.15)+(X120*0.7))*VLOOKUP(P120,'MunicípiosEstados'!$AQ$2:$AR$53,2,FALSE),
  O120="Roraima",((W120*0.15)+(X120*0.7))*VLOOKUP(P120,'MunicípiosEstados'!$AS$2:$AT$16,2,FALSE),
  O120="Santa Catarina",((W120*0.15)+(X120*0.7))*VLOOKUP(P120,'MunicípiosEstados'!$AU$2:$AV$296,2,FALSE),
  O120="São Paulo",((W120*0.15)+(X120*0.7))*VLOOKUP(P120,'MunicípiosEstados'!$AW$2:$AX$646,2,FALSE),
  O120="Sergipe",((W120*0.15)+(X120*0.7))*VLOOKUP(P120,'MunicípiosEstados'!$AY$2:$AZ$76,2,FALSE),
  O120="Tocantins",((W120*0.15)+(X120*0.7))*VLOOKUP(P120,'MunicípiosEstados'!$BA$2:$BB$140,2,FALSE),
  O120="Exterior",((W120*0.15)+(X120*0.7))*VLOOKUP(P120,'MunicípiosEstados'!$BC$2:$BE$221,3,FALSE),TRUE,0
)
</f>
        <v>12028.77</v>
      </c>
      <c r="AL120" s="25">
        <f t="shared" si="3"/>
        <v>16636.29</v>
      </c>
    </row>
    <row r="121" ht="22.5" hidden="1" customHeight="1">
      <c r="A121" s="15">
        <f t="shared" si="1"/>
        <v>120</v>
      </c>
      <c r="B121" s="16">
        <v>45986.434994027775</v>
      </c>
      <c r="C121" s="17" t="s">
        <v>914</v>
      </c>
      <c r="D121" s="27" t="s">
        <v>443</v>
      </c>
      <c r="E121" s="15" t="str">
        <f>VLOOKUP(G121,DiretoriaDepart.Coord.!$A$1:$C$72,2,FALSE)</f>
        <v>Extensão Rural</v>
      </c>
      <c r="F121" s="15" t="str">
        <f>VLOOKUP(G121,DiretoriaDepart.Coord.!$A$1:$C$72,3,FALSE)</f>
        <v>Projetos e Cadeias Produtivas</v>
      </c>
      <c r="G121" s="17" t="s">
        <v>903</v>
      </c>
      <c r="H121" s="15"/>
      <c r="I121" s="17" t="s">
        <v>1006</v>
      </c>
      <c r="J121" s="17" t="s">
        <v>728</v>
      </c>
      <c r="K121" s="17">
        <v>18.0</v>
      </c>
      <c r="L121" s="15"/>
      <c r="M121" s="17" t="s">
        <v>834</v>
      </c>
      <c r="N121" s="17">
        <v>0.0</v>
      </c>
      <c r="O121" s="17" t="s">
        <v>714</v>
      </c>
      <c r="P121" s="17" t="s">
        <v>198</v>
      </c>
      <c r="Q121" s="20">
        <v>45851.375</v>
      </c>
      <c r="R121" s="20">
        <v>45851.75</v>
      </c>
      <c r="S121" s="17" t="s">
        <v>451</v>
      </c>
      <c r="T121" s="17" t="s">
        <v>1000</v>
      </c>
      <c r="U121" s="21" t="s">
        <v>1001</v>
      </c>
      <c r="V121" s="21" t="s">
        <v>1002</v>
      </c>
      <c r="W121" s="22">
        <v>108.0</v>
      </c>
      <c r="X121" s="22">
        <v>36.0</v>
      </c>
      <c r="Y121" s="23">
        <v>0.0</v>
      </c>
      <c r="Z121" s="23">
        <v>0.0</v>
      </c>
      <c r="AA121" s="24">
        <v>0.0</v>
      </c>
      <c r="AB121" s="24">
        <v>0.0</v>
      </c>
      <c r="AC121" s="24">
        <v>0.0</v>
      </c>
      <c r="AD121" s="23">
        <v>0.0</v>
      </c>
      <c r="AE121" s="24">
        <v>0.0</v>
      </c>
      <c r="AF121" s="17" t="s">
        <v>464</v>
      </c>
      <c r="AG121" s="32">
        <v>6000.0</v>
      </c>
      <c r="AH121" s="17" t="s">
        <v>451</v>
      </c>
      <c r="AI121" s="25">
        <f>IF(AF121="Sim",INT((R121-Q121+1))*K121*VLOOKUP(P121,'Tabelas Auxiliares'!$A$1:$C$400,3,FALSE),0)</f>
        <v>407.52</v>
      </c>
      <c r="AJ121" s="25">
        <f t="shared" si="2"/>
        <v>4200</v>
      </c>
      <c r="AK121" s="25">
        <f>IFS(
  O121="Acre",((W121*0.15)+(X121*0.7))*VLOOKUP(P121,'MunicípiosEstados'!$A$2:$B$23,2,FALSE),
  O121="Alagoas",((W121*0.15)+(X121*0.7))*VLOOKUP(P121,'MunicípiosEstados'!$C$2:$D$103,2,FALSE),
  O121="Amapá",((W121*0.15)+(X121*0.7))*VLOOKUP(P121,'MunicípiosEstados'!$E$2:$F$17,2,FALSE),
  O121="Amazonas",((W121*0.15)+(X121*0.7))*VLOOKUP(P121,'MunicípiosEstados'!$G$2:$H$63,2,FALSE),
  O121="Bahia",((W121*0.15)+(X121*0.7))*VLOOKUP(P121,'MunicípiosEstados'!$I$2:$J$418,2,FALSE),
  O121="Ceará",((W121*0.15)+(X121*0.7))*VLOOKUP(P121,'MunicípiosEstados'!$K$2:$L$185,2,FALSE),
  O121="Distrito Federal",((W121*0.15)+(X121*0.7))*VLOOKUP(P121,'MunicípiosEstados'!$M$2:$N$2,2,FALSE),
  O121="Espírito Santo",((W121*0.15)+(X121*0.7))*VLOOKUP(P121,'MunicípiosEstados'!$O$2:$P$79,2,FALSE),
  O121="Goiás",((W121*0.15)+(X121*0.7))*VLOOKUP(P121,'MunicípiosEstados'!$Q$2:$R$247,2,FALSE),
  O121="Maranhão",((W121*0.15)+(X121*0.7))*VLOOKUP(P121,'MunicípiosEstados'!$S$2:$T$218,2,FALSE),
  O121="Mato Grosso",((W121*0.15)+(X121*0.7))*VLOOKUP(P121,'MunicípiosEstados'!$U$2:$V$143,2,FALSE),
  O121="Mato Grosso do Sul",((W121*0.15)+(X121*0.7))*VLOOKUP(P121,'MunicípiosEstados'!$W$2:$X$80,2,FALSE),
  O121="Minas Gerais",((W121*0.15)+(X121*0.7))*VLOOKUP(P121,'MunicípiosEstados'!$Y$2:$Z$854,2,FALSE),
  O121="Pará",((W121*0.15)+(X121*0.7))*VLOOKUP(P121,'MunicípiosEstados'!$AA$2:$AB$145,2,FALSE),
  O121="Paraíba",((W121*0.15)+(X121*0.7))*VLOOKUP(P121,'MunicípiosEstados'!$AC$2:$AD$224,2,FALSE),
  O121="Paraná",((W121*0.15)+(X121*0.7))*VLOOKUP(P121,'MunicípiosEstados'!$AE$2:$AF$400,2,FALSE),
  O121="Pernambuco",((W121*0.15)+(X121*0.7))*VLOOKUP(P121,'MunicípiosEstados'!$AG$2:$AH$186,2,FALSE),
  O121="Piauí",((W121*0.15)+(X121*0.7))*VLOOKUP(P121,'MunicípiosEstados'!$AI$2:$AJ$225,2,FALSE),
  O121="Rio Grande do Norte",((W121*0.15)+(X121*0.7))*VLOOKUP(P121,'MunicípiosEstados'!$AK$2:$AL$168,2,FALSE),
  O121="Rio Grande do Sul",((W121*0.15)+(X121*0.7))*VLOOKUP(P121,'MunicípiosEstados'!$AM$2:$AN$498,2,FALSE),
  O121="Rio de Janeiro",((W121*0.15)+(X121*0.7))*VLOOKUP(P121,'MunicípiosEstados'!$AO$2:$AP$93,2,FALSE),
  O121="Rondônia",((W121*0.15)+(X121*0.7))*VLOOKUP(P121,'MunicípiosEstados'!$AQ$2:$AR$53,2,FALSE),
  O121="Roraima",((W121*0.15)+(X121*0.7))*VLOOKUP(P121,'MunicípiosEstados'!$AS$2:$AT$16,2,FALSE),
  O121="Santa Catarina",((W121*0.15)+(X121*0.7))*VLOOKUP(P121,'MunicípiosEstados'!$AU$2:$AV$296,2,FALSE),
  O121="São Paulo",((W121*0.15)+(X121*0.7))*VLOOKUP(P121,'MunicípiosEstados'!$AW$2:$AX$646,2,FALSE),
  O121="Sergipe",((W121*0.15)+(X121*0.7))*VLOOKUP(P121,'MunicípiosEstados'!$AY$2:$AZ$76,2,FALSE),
  O121="Tocantins",((W121*0.15)+(X121*0.7))*VLOOKUP(P121,'MunicípiosEstados'!$BA$2:$BB$140,2,FALSE),
  O121="Exterior",((W121*0.15)+(X121*0.7))*VLOOKUP(P121,'MunicípiosEstados'!$BC$2:$BE$221,3,FALSE),TRUE,0
)
</f>
        <v>12028.77</v>
      </c>
      <c r="AL121" s="25">
        <f t="shared" si="3"/>
        <v>16636.29</v>
      </c>
    </row>
    <row r="122" ht="22.5" hidden="1" customHeight="1">
      <c r="A122" s="15">
        <f t="shared" si="1"/>
        <v>121</v>
      </c>
      <c r="B122" s="16">
        <v>45986.441258125</v>
      </c>
      <c r="C122" s="17" t="s">
        <v>914</v>
      </c>
      <c r="D122" s="27" t="s">
        <v>443</v>
      </c>
      <c r="E122" s="15" t="str">
        <f>VLOOKUP(G122,DiretoriaDepart.Coord.!$A$1:$C$72,2,FALSE)</f>
        <v>Extensão Rural</v>
      </c>
      <c r="F122" s="15" t="str">
        <f>VLOOKUP(G122,DiretoriaDepart.Coord.!$A$1:$C$72,3,FALSE)</f>
        <v>Projetos e Cadeias Produtivas</v>
      </c>
      <c r="G122" s="17" t="s">
        <v>903</v>
      </c>
      <c r="H122" s="15"/>
      <c r="I122" s="17" t="s">
        <v>1007</v>
      </c>
      <c r="J122" s="17" t="s">
        <v>728</v>
      </c>
      <c r="K122" s="17">
        <v>18.0</v>
      </c>
      <c r="L122" s="15"/>
      <c r="M122" s="17" t="s">
        <v>834</v>
      </c>
      <c r="N122" s="17">
        <v>0.0</v>
      </c>
      <c r="O122" s="17" t="s">
        <v>714</v>
      </c>
      <c r="P122" s="17" t="s">
        <v>92</v>
      </c>
      <c r="Q122" s="20">
        <v>45886.375</v>
      </c>
      <c r="R122" s="20">
        <v>45886.75</v>
      </c>
      <c r="S122" s="17" t="s">
        <v>451</v>
      </c>
      <c r="T122" s="17" t="s">
        <v>1000</v>
      </c>
      <c r="U122" s="21" t="s">
        <v>1001</v>
      </c>
      <c r="V122" s="21" t="s">
        <v>1002</v>
      </c>
      <c r="W122" s="22">
        <v>108.0</v>
      </c>
      <c r="X122" s="22">
        <v>36.0</v>
      </c>
      <c r="Y122" s="23">
        <v>0.0</v>
      </c>
      <c r="Z122" s="23">
        <v>0.0</v>
      </c>
      <c r="AA122" s="24">
        <v>0.0</v>
      </c>
      <c r="AB122" s="24">
        <v>0.0</v>
      </c>
      <c r="AC122" s="24">
        <v>0.0</v>
      </c>
      <c r="AD122" s="23">
        <v>0.0</v>
      </c>
      <c r="AE122" s="24">
        <v>0.0</v>
      </c>
      <c r="AF122" s="17" t="s">
        <v>464</v>
      </c>
      <c r="AG122" s="32">
        <v>6000.0</v>
      </c>
      <c r="AH122" s="17" t="s">
        <v>451</v>
      </c>
      <c r="AI122" s="25">
        <f>IF(AF122="Sim",INT((R122-Q122+1))*K122*VLOOKUP(P122,'Tabelas Auxiliares'!$A$1:$C$400,3,FALSE),0)</f>
        <v>407.52</v>
      </c>
      <c r="AJ122" s="25">
        <f t="shared" si="2"/>
        <v>4200</v>
      </c>
      <c r="AK122" s="25">
        <f>IFS(
  O122="Acre",((W122*0.15)+(X122*0.7))*VLOOKUP(P122,'MunicípiosEstados'!$A$2:$B$23,2,FALSE),
  O122="Alagoas",((W122*0.15)+(X122*0.7))*VLOOKUP(P122,'MunicípiosEstados'!$C$2:$D$103,2,FALSE),
  O122="Amapá",((W122*0.15)+(X122*0.7))*VLOOKUP(P122,'MunicípiosEstados'!$E$2:$F$17,2,FALSE),
  O122="Amazonas",((W122*0.15)+(X122*0.7))*VLOOKUP(P122,'MunicípiosEstados'!$G$2:$H$63,2,FALSE),
  O122="Bahia",((W122*0.15)+(X122*0.7))*VLOOKUP(P122,'MunicípiosEstados'!$I$2:$J$418,2,FALSE),
  O122="Ceará",((W122*0.15)+(X122*0.7))*VLOOKUP(P122,'MunicípiosEstados'!$K$2:$L$185,2,FALSE),
  O122="Distrito Federal",((W122*0.15)+(X122*0.7))*VLOOKUP(P122,'MunicípiosEstados'!$M$2:$N$2,2,FALSE),
  O122="Espírito Santo",((W122*0.15)+(X122*0.7))*VLOOKUP(P122,'MunicípiosEstados'!$O$2:$P$79,2,FALSE),
  O122="Goiás",((W122*0.15)+(X122*0.7))*VLOOKUP(P122,'MunicípiosEstados'!$Q$2:$R$247,2,FALSE),
  O122="Maranhão",((W122*0.15)+(X122*0.7))*VLOOKUP(P122,'MunicípiosEstados'!$S$2:$T$218,2,FALSE),
  O122="Mato Grosso",((W122*0.15)+(X122*0.7))*VLOOKUP(P122,'MunicípiosEstados'!$U$2:$V$143,2,FALSE),
  O122="Mato Grosso do Sul",((W122*0.15)+(X122*0.7))*VLOOKUP(P122,'MunicípiosEstados'!$W$2:$X$80,2,FALSE),
  O122="Minas Gerais",((W122*0.15)+(X122*0.7))*VLOOKUP(P122,'MunicípiosEstados'!$Y$2:$Z$854,2,FALSE),
  O122="Pará",((W122*0.15)+(X122*0.7))*VLOOKUP(P122,'MunicípiosEstados'!$AA$2:$AB$145,2,FALSE),
  O122="Paraíba",((W122*0.15)+(X122*0.7))*VLOOKUP(P122,'MunicípiosEstados'!$AC$2:$AD$224,2,FALSE),
  O122="Paraná",((W122*0.15)+(X122*0.7))*VLOOKUP(P122,'MunicípiosEstados'!$AE$2:$AF$400,2,FALSE),
  O122="Pernambuco",((W122*0.15)+(X122*0.7))*VLOOKUP(P122,'MunicípiosEstados'!$AG$2:$AH$186,2,FALSE),
  O122="Piauí",((W122*0.15)+(X122*0.7))*VLOOKUP(P122,'MunicípiosEstados'!$AI$2:$AJ$225,2,FALSE),
  O122="Rio Grande do Norte",((W122*0.15)+(X122*0.7))*VLOOKUP(P122,'MunicípiosEstados'!$AK$2:$AL$168,2,FALSE),
  O122="Rio Grande do Sul",((W122*0.15)+(X122*0.7))*VLOOKUP(P122,'MunicípiosEstados'!$AM$2:$AN$498,2,FALSE),
  O122="Rio de Janeiro",((W122*0.15)+(X122*0.7))*VLOOKUP(P122,'MunicípiosEstados'!$AO$2:$AP$93,2,FALSE),
  O122="Rondônia",((W122*0.15)+(X122*0.7))*VLOOKUP(P122,'MunicípiosEstados'!$AQ$2:$AR$53,2,FALSE),
  O122="Roraima",((W122*0.15)+(X122*0.7))*VLOOKUP(P122,'MunicípiosEstados'!$AS$2:$AT$16,2,FALSE),
  O122="Santa Catarina",((W122*0.15)+(X122*0.7))*VLOOKUP(P122,'MunicípiosEstados'!$AU$2:$AV$296,2,FALSE),
  O122="São Paulo",((W122*0.15)+(X122*0.7))*VLOOKUP(P122,'MunicípiosEstados'!$AW$2:$AX$646,2,FALSE),
  O122="Sergipe",((W122*0.15)+(X122*0.7))*VLOOKUP(P122,'MunicípiosEstados'!$AY$2:$AZ$76,2,FALSE),
  O122="Tocantins",((W122*0.15)+(X122*0.7))*VLOOKUP(P122,'MunicípiosEstados'!$BA$2:$BB$140,2,FALSE),
  O122="Exterior",((W122*0.15)+(X122*0.7))*VLOOKUP(P122,'MunicípiosEstados'!$BC$2:$BE$221,3,FALSE),TRUE,0
)
</f>
        <v>12028.77</v>
      </c>
      <c r="AL122" s="25">
        <f t="shared" si="3"/>
        <v>16636.29</v>
      </c>
    </row>
    <row r="123" ht="22.5" hidden="1" customHeight="1">
      <c r="A123" s="15">
        <f t="shared" si="1"/>
        <v>122</v>
      </c>
      <c r="B123" s="16">
        <v>45986.44426858796</v>
      </c>
      <c r="C123" s="17" t="s">
        <v>914</v>
      </c>
      <c r="D123" s="27" t="s">
        <v>443</v>
      </c>
      <c r="E123" s="15" t="str">
        <f>VLOOKUP(G123,DiretoriaDepart.Coord.!$A$1:$C$72,2,FALSE)</f>
        <v>Extensão Rural</v>
      </c>
      <c r="F123" s="15" t="str">
        <f>VLOOKUP(G123,DiretoriaDepart.Coord.!$A$1:$C$72,3,FALSE)</f>
        <v>Projetos e Cadeias Produtivas</v>
      </c>
      <c r="G123" s="17" t="s">
        <v>903</v>
      </c>
      <c r="H123" s="15"/>
      <c r="I123" s="17" t="s">
        <v>1008</v>
      </c>
      <c r="J123" s="17" t="s">
        <v>728</v>
      </c>
      <c r="K123" s="17">
        <v>18.0</v>
      </c>
      <c r="L123" s="15"/>
      <c r="M123" s="17" t="s">
        <v>834</v>
      </c>
      <c r="N123" s="17">
        <v>0.0</v>
      </c>
      <c r="O123" s="17" t="s">
        <v>714</v>
      </c>
      <c r="P123" s="17" t="s">
        <v>80</v>
      </c>
      <c r="Q123" s="20">
        <v>45914.375</v>
      </c>
      <c r="R123" s="20">
        <v>45914.75</v>
      </c>
      <c r="S123" s="17" t="s">
        <v>451</v>
      </c>
      <c r="T123" s="17" t="s">
        <v>1000</v>
      </c>
      <c r="U123" s="21" t="s">
        <v>1001</v>
      </c>
      <c r="V123" s="21" t="s">
        <v>1002</v>
      </c>
      <c r="W123" s="22">
        <v>108.0</v>
      </c>
      <c r="X123" s="22">
        <v>36.0</v>
      </c>
      <c r="Y123" s="23">
        <v>0.0</v>
      </c>
      <c r="Z123" s="23">
        <v>0.0</v>
      </c>
      <c r="AA123" s="24">
        <v>0.0</v>
      </c>
      <c r="AB123" s="24">
        <v>0.0</v>
      </c>
      <c r="AC123" s="24">
        <v>0.0</v>
      </c>
      <c r="AD123" s="23">
        <v>0.0</v>
      </c>
      <c r="AE123" s="24">
        <v>0.0</v>
      </c>
      <c r="AF123" s="17" t="s">
        <v>464</v>
      </c>
      <c r="AG123" s="32">
        <v>6000.0</v>
      </c>
      <c r="AH123" s="17" t="s">
        <v>451</v>
      </c>
      <c r="AI123" s="25">
        <f>IF(AF123="Sim",INT((R123-Q123+1))*K123*VLOOKUP(P123,'Tabelas Auxiliares'!$A$1:$C$400,3,FALSE),0)</f>
        <v>407.52</v>
      </c>
      <c r="AJ123" s="25">
        <f t="shared" si="2"/>
        <v>4200</v>
      </c>
      <c r="AK123" s="25">
        <f>IFS(
  O123="Acre",((W123*0.15)+(X123*0.7))*VLOOKUP(P123,'MunicípiosEstados'!$A$2:$B$23,2,FALSE),
  O123="Alagoas",((W123*0.15)+(X123*0.7))*VLOOKUP(P123,'MunicípiosEstados'!$C$2:$D$103,2,FALSE),
  O123="Amapá",((W123*0.15)+(X123*0.7))*VLOOKUP(P123,'MunicípiosEstados'!$E$2:$F$17,2,FALSE),
  O123="Amazonas",((W123*0.15)+(X123*0.7))*VLOOKUP(P123,'MunicípiosEstados'!$G$2:$H$63,2,FALSE),
  O123="Bahia",((W123*0.15)+(X123*0.7))*VLOOKUP(P123,'MunicípiosEstados'!$I$2:$J$418,2,FALSE),
  O123="Ceará",((W123*0.15)+(X123*0.7))*VLOOKUP(P123,'MunicípiosEstados'!$K$2:$L$185,2,FALSE),
  O123="Distrito Federal",((W123*0.15)+(X123*0.7))*VLOOKUP(P123,'MunicípiosEstados'!$M$2:$N$2,2,FALSE),
  O123="Espírito Santo",((W123*0.15)+(X123*0.7))*VLOOKUP(P123,'MunicípiosEstados'!$O$2:$P$79,2,FALSE),
  O123="Goiás",((W123*0.15)+(X123*0.7))*VLOOKUP(P123,'MunicípiosEstados'!$Q$2:$R$247,2,FALSE),
  O123="Maranhão",((W123*0.15)+(X123*0.7))*VLOOKUP(P123,'MunicípiosEstados'!$S$2:$T$218,2,FALSE),
  O123="Mato Grosso",((W123*0.15)+(X123*0.7))*VLOOKUP(P123,'MunicípiosEstados'!$U$2:$V$143,2,FALSE),
  O123="Mato Grosso do Sul",((W123*0.15)+(X123*0.7))*VLOOKUP(P123,'MunicípiosEstados'!$W$2:$X$80,2,FALSE),
  O123="Minas Gerais",((W123*0.15)+(X123*0.7))*VLOOKUP(P123,'MunicípiosEstados'!$Y$2:$Z$854,2,FALSE),
  O123="Pará",((W123*0.15)+(X123*0.7))*VLOOKUP(P123,'MunicípiosEstados'!$AA$2:$AB$145,2,FALSE),
  O123="Paraíba",((W123*0.15)+(X123*0.7))*VLOOKUP(P123,'MunicípiosEstados'!$AC$2:$AD$224,2,FALSE),
  O123="Paraná",((W123*0.15)+(X123*0.7))*VLOOKUP(P123,'MunicípiosEstados'!$AE$2:$AF$400,2,FALSE),
  O123="Pernambuco",((W123*0.15)+(X123*0.7))*VLOOKUP(P123,'MunicípiosEstados'!$AG$2:$AH$186,2,FALSE),
  O123="Piauí",((W123*0.15)+(X123*0.7))*VLOOKUP(P123,'MunicípiosEstados'!$AI$2:$AJ$225,2,FALSE),
  O123="Rio Grande do Norte",((W123*0.15)+(X123*0.7))*VLOOKUP(P123,'MunicípiosEstados'!$AK$2:$AL$168,2,FALSE),
  O123="Rio Grande do Sul",((W123*0.15)+(X123*0.7))*VLOOKUP(P123,'MunicípiosEstados'!$AM$2:$AN$498,2,FALSE),
  O123="Rio de Janeiro",((W123*0.15)+(X123*0.7))*VLOOKUP(P123,'MunicípiosEstados'!$AO$2:$AP$93,2,FALSE),
  O123="Rondônia",((W123*0.15)+(X123*0.7))*VLOOKUP(P123,'MunicípiosEstados'!$AQ$2:$AR$53,2,FALSE),
  O123="Roraima",((W123*0.15)+(X123*0.7))*VLOOKUP(P123,'MunicípiosEstados'!$AS$2:$AT$16,2,FALSE),
  O123="Santa Catarina",((W123*0.15)+(X123*0.7))*VLOOKUP(P123,'MunicípiosEstados'!$AU$2:$AV$296,2,FALSE),
  O123="São Paulo",((W123*0.15)+(X123*0.7))*VLOOKUP(P123,'MunicípiosEstados'!$AW$2:$AX$646,2,FALSE),
  O123="Sergipe",((W123*0.15)+(X123*0.7))*VLOOKUP(P123,'MunicípiosEstados'!$AY$2:$AZ$76,2,FALSE),
  O123="Tocantins",((W123*0.15)+(X123*0.7))*VLOOKUP(P123,'MunicípiosEstados'!$BA$2:$BB$140,2,FALSE),
  O123="Exterior",((W123*0.15)+(X123*0.7))*VLOOKUP(P123,'MunicípiosEstados'!$BC$2:$BE$221,3,FALSE),TRUE,0
)
</f>
        <v>12028.77</v>
      </c>
      <c r="AL123" s="25">
        <f t="shared" si="3"/>
        <v>16636.29</v>
      </c>
    </row>
    <row r="124" ht="22.5" hidden="1" customHeight="1">
      <c r="A124" s="15">
        <f t="shared" si="1"/>
        <v>123</v>
      </c>
      <c r="B124" s="16">
        <v>45986.44782243056</v>
      </c>
      <c r="C124" s="17" t="s">
        <v>914</v>
      </c>
      <c r="D124" s="27" t="s">
        <v>443</v>
      </c>
      <c r="E124" s="15" t="str">
        <f>VLOOKUP(G124,DiretoriaDepart.Coord.!$A$1:$C$72,2,FALSE)</f>
        <v>Extensão Rural</v>
      </c>
      <c r="F124" s="15" t="str">
        <f>VLOOKUP(G124,DiretoriaDepart.Coord.!$A$1:$C$72,3,FALSE)</f>
        <v>Projetos e Cadeias Produtivas</v>
      </c>
      <c r="G124" s="17" t="s">
        <v>903</v>
      </c>
      <c r="H124" s="15"/>
      <c r="I124" s="17" t="s">
        <v>1009</v>
      </c>
      <c r="J124" s="17" t="s">
        <v>728</v>
      </c>
      <c r="K124" s="17">
        <v>18.0</v>
      </c>
      <c r="L124" s="15"/>
      <c r="M124" s="17" t="s">
        <v>834</v>
      </c>
      <c r="N124" s="17">
        <v>0.0</v>
      </c>
      <c r="O124" s="17" t="s">
        <v>714</v>
      </c>
      <c r="P124" s="17" t="s">
        <v>260</v>
      </c>
      <c r="Q124" s="20">
        <v>45949.375</v>
      </c>
      <c r="R124" s="20">
        <v>45949.75</v>
      </c>
      <c r="S124" s="17" t="s">
        <v>451</v>
      </c>
      <c r="T124" s="17" t="s">
        <v>1000</v>
      </c>
      <c r="U124" s="21" t="s">
        <v>1001</v>
      </c>
      <c r="V124" s="21" t="s">
        <v>1002</v>
      </c>
      <c r="W124" s="22">
        <v>108.0</v>
      </c>
      <c r="X124" s="22">
        <v>36.0</v>
      </c>
      <c r="Y124" s="23">
        <v>0.0</v>
      </c>
      <c r="Z124" s="23">
        <v>0.0</v>
      </c>
      <c r="AA124" s="24">
        <v>0.0</v>
      </c>
      <c r="AB124" s="24">
        <v>0.0</v>
      </c>
      <c r="AC124" s="24">
        <v>0.0</v>
      </c>
      <c r="AD124" s="23">
        <v>0.0</v>
      </c>
      <c r="AE124" s="24">
        <v>0.0</v>
      </c>
      <c r="AF124" s="17" t="s">
        <v>464</v>
      </c>
      <c r="AG124" s="32">
        <v>6000.0</v>
      </c>
      <c r="AH124" s="17" t="s">
        <v>451</v>
      </c>
      <c r="AI124" s="25">
        <f>IF(AF124="Sim",INT((R124-Q124+1))*K124*VLOOKUP(P124,'Tabelas Auxiliares'!$A$1:$C$400,3,FALSE),0)</f>
        <v>407.52</v>
      </c>
      <c r="AJ124" s="25">
        <f t="shared" si="2"/>
        <v>4200</v>
      </c>
      <c r="AK124" s="25">
        <f>IFS(
  O124="Acre",((W124*0.15)+(X124*0.7))*VLOOKUP(P124,'MunicípiosEstados'!$A$2:$B$23,2,FALSE),
  O124="Alagoas",((W124*0.15)+(X124*0.7))*VLOOKUP(P124,'MunicípiosEstados'!$C$2:$D$103,2,FALSE),
  O124="Amapá",((W124*0.15)+(X124*0.7))*VLOOKUP(P124,'MunicípiosEstados'!$E$2:$F$17,2,FALSE),
  O124="Amazonas",((W124*0.15)+(X124*0.7))*VLOOKUP(P124,'MunicípiosEstados'!$G$2:$H$63,2,FALSE),
  O124="Bahia",((W124*0.15)+(X124*0.7))*VLOOKUP(P124,'MunicípiosEstados'!$I$2:$J$418,2,FALSE),
  O124="Ceará",((W124*0.15)+(X124*0.7))*VLOOKUP(P124,'MunicípiosEstados'!$K$2:$L$185,2,FALSE),
  O124="Distrito Federal",((W124*0.15)+(X124*0.7))*VLOOKUP(P124,'MunicípiosEstados'!$M$2:$N$2,2,FALSE),
  O124="Espírito Santo",((W124*0.15)+(X124*0.7))*VLOOKUP(P124,'MunicípiosEstados'!$O$2:$P$79,2,FALSE),
  O124="Goiás",((W124*0.15)+(X124*0.7))*VLOOKUP(P124,'MunicípiosEstados'!$Q$2:$R$247,2,FALSE),
  O124="Maranhão",((W124*0.15)+(X124*0.7))*VLOOKUP(P124,'MunicípiosEstados'!$S$2:$T$218,2,FALSE),
  O124="Mato Grosso",((W124*0.15)+(X124*0.7))*VLOOKUP(P124,'MunicípiosEstados'!$U$2:$V$143,2,FALSE),
  O124="Mato Grosso do Sul",((W124*0.15)+(X124*0.7))*VLOOKUP(P124,'MunicípiosEstados'!$W$2:$X$80,2,FALSE),
  O124="Minas Gerais",((W124*0.15)+(X124*0.7))*VLOOKUP(P124,'MunicípiosEstados'!$Y$2:$Z$854,2,FALSE),
  O124="Pará",((W124*0.15)+(X124*0.7))*VLOOKUP(P124,'MunicípiosEstados'!$AA$2:$AB$145,2,FALSE),
  O124="Paraíba",((W124*0.15)+(X124*0.7))*VLOOKUP(P124,'MunicípiosEstados'!$AC$2:$AD$224,2,FALSE),
  O124="Paraná",((W124*0.15)+(X124*0.7))*VLOOKUP(P124,'MunicípiosEstados'!$AE$2:$AF$400,2,FALSE),
  O124="Pernambuco",((W124*0.15)+(X124*0.7))*VLOOKUP(P124,'MunicípiosEstados'!$AG$2:$AH$186,2,FALSE),
  O124="Piauí",((W124*0.15)+(X124*0.7))*VLOOKUP(P124,'MunicípiosEstados'!$AI$2:$AJ$225,2,FALSE),
  O124="Rio Grande do Norte",((W124*0.15)+(X124*0.7))*VLOOKUP(P124,'MunicípiosEstados'!$AK$2:$AL$168,2,FALSE),
  O124="Rio Grande do Sul",((W124*0.15)+(X124*0.7))*VLOOKUP(P124,'MunicípiosEstados'!$AM$2:$AN$498,2,FALSE),
  O124="Rio de Janeiro",((W124*0.15)+(X124*0.7))*VLOOKUP(P124,'MunicípiosEstados'!$AO$2:$AP$93,2,FALSE),
  O124="Rondônia",((W124*0.15)+(X124*0.7))*VLOOKUP(P124,'MunicípiosEstados'!$AQ$2:$AR$53,2,FALSE),
  O124="Roraima",((W124*0.15)+(X124*0.7))*VLOOKUP(P124,'MunicípiosEstados'!$AS$2:$AT$16,2,FALSE),
  O124="Santa Catarina",((W124*0.15)+(X124*0.7))*VLOOKUP(P124,'MunicípiosEstados'!$AU$2:$AV$296,2,FALSE),
  O124="São Paulo",((W124*0.15)+(X124*0.7))*VLOOKUP(P124,'MunicípiosEstados'!$AW$2:$AX$646,2,FALSE),
  O124="Sergipe",((W124*0.15)+(X124*0.7))*VLOOKUP(P124,'MunicípiosEstados'!$AY$2:$AZ$76,2,FALSE),
  O124="Tocantins",((W124*0.15)+(X124*0.7))*VLOOKUP(P124,'MunicípiosEstados'!$BA$2:$BB$140,2,FALSE),
  O124="Exterior",((W124*0.15)+(X124*0.7))*VLOOKUP(P124,'MunicípiosEstados'!$BC$2:$BE$221,3,FALSE),TRUE,0
)
</f>
        <v>12028.77</v>
      </c>
      <c r="AL124" s="25">
        <f t="shared" si="3"/>
        <v>16636.29</v>
      </c>
    </row>
    <row r="125" ht="22.5" hidden="1" customHeight="1">
      <c r="A125" s="15">
        <f t="shared" si="1"/>
        <v>124</v>
      </c>
      <c r="B125" s="16">
        <v>45986.644070381946</v>
      </c>
      <c r="C125" s="17" t="s">
        <v>1010</v>
      </c>
      <c r="D125" s="27" t="s">
        <v>443</v>
      </c>
      <c r="E125" s="15" t="str">
        <f>VLOOKUP(G125,DiretoriaDepart.Coord.!$A$1:$C$72,2,FALSE)</f>
        <v>Extensão Rural</v>
      </c>
      <c r="F125" s="15" t="str">
        <f>VLOOKUP(G125,DiretoriaDepart.Coord.!$A$1:$C$72,3,FALSE)</f>
        <v>Políticas Públicas</v>
      </c>
      <c r="G125" s="17" t="s">
        <v>1011</v>
      </c>
      <c r="H125" s="15"/>
      <c r="I125" s="17" t="s">
        <v>1012</v>
      </c>
      <c r="J125" s="17" t="s">
        <v>728</v>
      </c>
      <c r="K125" s="17">
        <v>40.0</v>
      </c>
      <c r="L125" s="15"/>
      <c r="M125" s="17" t="s">
        <v>1013</v>
      </c>
      <c r="N125" s="17">
        <v>0.0</v>
      </c>
      <c r="O125" s="17" t="s">
        <v>714</v>
      </c>
      <c r="P125" s="17" t="s">
        <v>6</v>
      </c>
      <c r="Q125" s="20">
        <v>45691.333333333336</v>
      </c>
      <c r="R125" s="20">
        <v>45693.708333333336</v>
      </c>
      <c r="S125" s="17" t="s">
        <v>451</v>
      </c>
      <c r="T125" s="17" t="s">
        <v>452</v>
      </c>
      <c r="U125" s="21" t="s">
        <v>1014</v>
      </c>
      <c r="V125" s="21" t="s">
        <v>1015</v>
      </c>
      <c r="W125" s="22">
        <v>276.0</v>
      </c>
      <c r="X125" s="22">
        <v>132.0</v>
      </c>
      <c r="Y125" s="23">
        <v>0.0</v>
      </c>
      <c r="Z125" s="23">
        <v>0.0</v>
      </c>
      <c r="AA125" s="24">
        <v>0.0</v>
      </c>
      <c r="AB125" s="24">
        <v>0.0</v>
      </c>
      <c r="AC125" s="24">
        <v>0.0</v>
      </c>
      <c r="AD125" s="23">
        <v>0.0</v>
      </c>
      <c r="AE125" s="24">
        <v>0.0</v>
      </c>
      <c r="AF125" s="17" t="s">
        <v>464</v>
      </c>
      <c r="AG125" s="32">
        <v>16186.0</v>
      </c>
      <c r="AH125" s="17" t="s">
        <v>451</v>
      </c>
      <c r="AI125" s="25">
        <f>IF(AF125="Sim",INT((R125-Q125+1))*K125*VLOOKUP(P125,'Tabelas Auxiliares'!$A$1:$C$400,3,FALSE),0)</f>
        <v>2716.8</v>
      </c>
      <c r="AJ125" s="25">
        <f t="shared" si="2"/>
        <v>11330.2</v>
      </c>
      <c r="AK125" s="25">
        <f>IFS(
  O125="Acre",((W125*0.15)+(X125*0.7))*VLOOKUP(P125,'MunicípiosEstados'!$A$2:$B$23,2,FALSE),
  O125="Alagoas",((W125*0.15)+(X125*0.7))*VLOOKUP(P125,'MunicípiosEstados'!$C$2:$D$103,2,FALSE),
  O125="Amapá",((W125*0.15)+(X125*0.7))*VLOOKUP(P125,'MunicípiosEstados'!$E$2:$F$17,2,FALSE),
  O125="Amazonas",((W125*0.15)+(X125*0.7))*VLOOKUP(P125,'MunicípiosEstados'!$G$2:$H$63,2,FALSE),
  O125="Bahia",((W125*0.15)+(X125*0.7))*VLOOKUP(P125,'MunicípiosEstados'!$I$2:$J$418,2,FALSE),
  O125="Ceará",((W125*0.15)+(X125*0.7))*VLOOKUP(P125,'MunicípiosEstados'!$K$2:$L$185,2,FALSE),
  O125="Distrito Federal",((W125*0.15)+(X125*0.7))*VLOOKUP(P125,'MunicípiosEstados'!$M$2:$N$2,2,FALSE),
  O125="Espírito Santo",((W125*0.15)+(X125*0.7))*VLOOKUP(P125,'MunicípiosEstados'!$O$2:$P$79,2,FALSE),
  O125="Goiás",((W125*0.15)+(X125*0.7))*VLOOKUP(P125,'MunicípiosEstados'!$Q$2:$R$247,2,FALSE),
  O125="Maranhão",((W125*0.15)+(X125*0.7))*VLOOKUP(P125,'MunicípiosEstados'!$S$2:$T$218,2,FALSE),
  O125="Mato Grosso",((W125*0.15)+(X125*0.7))*VLOOKUP(P125,'MunicípiosEstados'!$U$2:$V$143,2,FALSE),
  O125="Mato Grosso do Sul",((W125*0.15)+(X125*0.7))*VLOOKUP(P125,'MunicípiosEstados'!$W$2:$X$80,2,FALSE),
  O125="Minas Gerais",((W125*0.15)+(X125*0.7))*VLOOKUP(P125,'MunicípiosEstados'!$Y$2:$Z$854,2,FALSE),
  O125="Pará",((W125*0.15)+(X125*0.7))*VLOOKUP(P125,'MunicípiosEstados'!$AA$2:$AB$145,2,FALSE),
  O125="Paraíba",((W125*0.15)+(X125*0.7))*VLOOKUP(P125,'MunicípiosEstados'!$AC$2:$AD$224,2,FALSE),
  O125="Paraná",((W125*0.15)+(X125*0.7))*VLOOKUP(P125,'MunicípiosEstados'!$AE$2:$AF$400,2,FALSE),
  O125="Pernambuco",((W125*0.15)+(X125*0.7))*VLOOKUP(P125,'MunicípiosEstados'!$AG$2:$AH$186,2,FALSE),
  O125="Piauí",((W125*0.15)+(X125*0.7))*VLOOKUP(P125,'MunicípiosEstados'!$AI$2:$AJ$225,2,FALSE),
  O125="Rio Grande do Norte",((W125*0.15)+(X125*0.7))*VLOOKUP(P125,'MunicípiosEstados'!$AK$2:$AL$168,2,FALSE),
  O125="Rio Grande do Sul",((W125*0.15)+(X125*0.7))*VLOOKUP(P125,'MunicípiosEstados'!$AM$2:$AN$498,2,FALSE),
  O125="Rio de Janeiro",((W125*0.15)+(X125*0.7))*VLOOKUP(P125,'MunicípiosEstados'!$AO$2:$AP$93,2,FALSE),
  O125="Rondônia",((W125*0.15)+(X125*0.7))*VLOOKUP(P125,'MunicípiosEstados'!$AQ$2:$AR$53,2,FALSE),
  O125="Roraima",((W125*0.15)+(X125*0.7))*VLOOKUP(P125,'MunicípiosEstados'!$AS$2:$AT$16,2,FALSE),
  O125="Santa Catarina",((W125*0.15)+(X125*0.7))*VLOOKUP(P125,'MunicípiosEstados'!$AU$2:$AV$296,2,FALSE),
  O125="São Paulo",((W125*0.15)+(X125*0.7))*VLOOKUP(P125,'MunicípiosEstados'!$AW$2:$AX$646,2,FALSE),
  O125="Sergipe",((W125*0.15)+(X125*0.7))*VLOOKUP(P125,'MunicípiosEstados'!$AY$2:$AZ$76,2,FALSE),
  O125="Tocantins",((W125*0.15)+(X125*0.7))*VLOOKUP(P125,'MunicípiosEstados'!$BA$2:$BB$140,2,FALSE),
  O125="Exterior",((W125*0.15)+(X125*0.7))*VLOOKUP(P125,'MunicípiosEstados'!$BC$2:$BE$221,3,FALSE),TRUE,0
)
</f>
        <v>49674.588</v>
      </c>
      <c r="AL125" s="25">
        <f t="shared" si="3"/>
        <v>63721.588</v>
      </c>
    </row>
    <row r="126" ht="22.5" hidden="1" customHeight="1">
      <c r="A126" s="15">
        <f t="shared" si="1"/>
        <v>125</v>
      </c>
      <c r="B126" s="16">
        <v>45986.705213587964</v>
      </c>
      <c r="C126" s="17" t="s">
        <v>766</v>
      </c>
      <c r="D126" s="27" t="s">
        <v>443</v>
      </c>
      <c r="E126" s="15" t="str">
        <f>VLOOKUP(G126,DiretoriaDepart.Coord.!$A$1:$C$72,2,FALSE)</f>
        <v>Pesquisa e Inovação</v>
      </c>
      <c r="F126" s="15" t="str">
        <f>VLOOKUP(G126,DiretoriaDepart.Coord.!$A$1:$C$72,3,FALSE)</f>
        <v>Inovação e Comunicação Científica</v>
      </c>
      <c r="G126" s="17" t="s">
        <v>767</v>
      </c>
      <c r="H126" s="15"/>
      <c r="I126" s="17" t="s">
        <v>1016</v>
      </c>
      <c r="J126" s="17" t="s">
        <v>728</v>
      </c>
      <c r="K126" s="17">
        <v>5.0</v>
      </c>
      <c r="L126" s="17" t="s">
        <v>1017</v>
      </c>
      <c r="M126" s="17" t="s">
        <v>1018</v>
      </c>
      <c r="N126" s="17">
        <v>0.0</v>
      </c>
      <c r="O126" s="17" t="s">
        <v>714</v>
      </c>
      <c r="P126" s="17" t="s">
        <v>58</v>
      </c>
      <c r="Q126" s="20">
        <v>45732.333333333336</v>
      </c>
      <c r="R126" s="20">
        <v>45734.708333333336</v>
      </c>
      <c r="S126" s="17" t="s">
        <v>451</v>
      </c>
      <c r="T126" s="17" t="s">
        <v>452</v>
      </c>
      <c r="U126" s="21" t="s">
        <v>1019</v>
      </c>
      <c r="V126" s="21" t="s">
        <v>1020</v>
      </c>
      <c r="W126" s="22">
        <v>0.0</v>
      </c>
      <c r="X126" s="22">
        <v>0.0</v>
      </c>
      <c r="Y126" s="23">
        <v>0.0</v>
      </c>
      <c r="Z126" s="23">
        <v>0.0</v>
      </c>
      <c r="AA126" s="24">
        <v>0.0</v>
      </c>
      <c r="AB126" s="24">
        <v>0.0</v>
      </c>
      <c r="AC126" s="24">
        <v>0.0</v>
      </c>
      <c r="AD126" s="23">
        <v>0.0</v>
      </c>
      <c r="AE126" s="24">
        <v>0.0</v>
      </c>
      <c r="AF126" s="17" t="s">
        <v>464</v>
      </c>
      <c r="AG126" s="17">
        <v>0.0</v>
      </c>
      <c r="AH126" s="17" t="s">
        <v>451</v>
      </c>
      <c r="AI126" s="25">
        <f>IF(AF126="Sim",INT((R126-Q126+1))*K126*VLOOKUP(P126,'Tabelas Auxiliares'!$A$1:$C$400,3,FALSE),0)</f>
        <v>339.6</v>
      </c>
      <c r="AJ126" s="25">
        <f t="shared" si="2"/>
        <v>0</v>
      </c>
      <c r="AK126" s="25">
        <f>IFS(
  O126="Acre",((W126*0.15)+(X126*0.7))*VLOOKUP(P126,'MunicípiosEstados'!$A$2:$B$23,2,FALSE),
  O126="Alagoas",((W126*0.15)+(X126*0.7))*VLOOKUP(P126,'MunicípiosEstados'!$C$2:$D$103,2,FALSE),
  O126="Amapá",((W126*0.15)+(X126*0.7))*VLOOKUP(P126,'MunicípiosEstados'!$E$2:$F$17,2,FALSE),
  O126="Amazonas",((W126*0.15)+(X126*0.7))*VLOOKUP(P126,'MunicípiosEstados'!$G$2:$H$63,2,FALSE),
  O126="Bahia",((W126*0.15)+(X126*0.7))*VLOOKUP(P126,'MunicípiosEstados'!$I$2:$J$418,2,FALSE),
  O126="Ceará",((W126*0.15)+(X126*0.7))*VLOOKUP(P126,'MunicípiosEstados'!$K$2:$L$185,2,FALSE),
  O126="Distrito Federal",((W126*0.15)+(X126*0.7))*VLOOKUP(P126,'MunicípiosEstados'!$M$2:$N$2,2,FALSE),
  O126="Espírito Santo",((W126*0.15)+(X126*0.7))*VLOOKUP(P126,'MunicípiosEstados'!$O$2:$P$79,2,FALSE),
  O126="Goiás",((W126*0.15)+(X126*0.7))*VLOOKUP(P126,'MunicípiosEstados'!$Q$2:$R$247,2,FALSE),
  O126="Maranhão",((W126*0.15)+(X126*0.7))*VLOOKUP(P126,'MunicípiosEstados'!$S$2:$T$218,2,FALSE),
  O126="Mato Grosso",((W126*0.15)+(X126*0.7))*VLOOKUP(P126,'MunicípiosEstados'!$U$2:$V$143,2,FALSE),
  O126="Mato Grosso do Sul",((W126*0.15)+(X126*0.7))*VLOOKUP(P126,'MunicípiosEstados'!$W$2:$X$80,2,FALSE),
  O126="Minas Gerais",((W126*0.15)+(X126*0.7))*VLOOKUP(P126,'MunicípiosEstados'!$Y$2:$Z$854,2,FALSE),
  O126="Pará",((W126*0.15)+(X126*0.7))*VLOOKUP(P126,'MunicípiosEstados'!$AA$2:$AB$145,2,FALSE),
  O126="Paraíba",((W126*0.15)+(X126*0.7))*VLOOKUP(P126,'MunicípiosEstados'!$AC$2:$AD$224,2,FALSE),
  O126="Paraná",((W126*0.15)+(X126*0.7))*VLOOKUP(P126,'MunicípiosEstados'!$AE$2:$AF$400,2,FALSE),
  O126="Pernambuco",((W126*0.15)+(X126*0.7))*VLOOKUP(P126,'MunicípiosEstados'!$AG$2:$AH$186,2,FALSE),
  O126="Piauí",((W126*0.15)+(X126*0.7))*VLOOKUP(P126,'MunicípiosEstados'!$AI$2:$AJ$225,2,FALSE),
  O126="Rio Grande do Norte",((W126*0.15)+(X126*0.7))*VLOOKUP(P126,'MunicípiosEstados'!$AK$2:$AL$168,2,FALSE),
  O126="Rio Grande do Sul",((W126*0.15)+(X126*0.7))*VLOOKUP(P126,'MunicípiosEstados'!$AM$2:$AN$498,2,FALSE),
  O126="Rio de Janeiro",((W126*0.15)+(X126*0.7))*VLOOKUP(P126,'MunicípiosEstados'!$AO$2:$AP$93,2,FALSE),
  O126="Rondônia",((W126*0.15)+(X126*0.7))*VLOOKUP(P126,'MunicípiosEstados'!$AQ$2:$AR$53,2,FALSE),
  O126="Roraima",((W126*0.15)+(X126*0.7))*VLOOKUP(P126,'MunicípiosEstados'!$AS$2:$AT$16,2,FALSE),
  O126="Santa Catarina",((W126*0.15)+(X126*0.7))*VLOOKUP(P126,'MunicípiosEstados'!$AU$2:$AV$296,2,FALSE),
  O126="São Paulo",((W126*0.15)+(X126*0.7))*VLOOKUP(P126,'MunicípiosEstados'!$AW$2:$AX$646,2,FALSE),
  O126="Sergipe",((W126*0.15)+(X126*0.7))*VLOOKUP(P126,'MunicípiosEstados'!$AY$2:$AZ$76,2,FALSE),
  O126="Tocantins",((W126*0.15)+(X126*0.7))*VLOOKUP(P126,'MunicípiosEstados'!$BA$2:$BB$140,2,FALSE),
  O126="Exterior",((W126*0.15)+(X126*0.7))*VLOOKUP(P126,'MunicípiosEstados'!$BC$2:$BE$221,3,FALSE),TRUE,0
)
</f>
        <v>0</v>
      </c>
      <c r="AL126" s="25">
        <f t="shared" si="3"/>
        <v>339.6</v>
      </c>
      <c r="AN126" s="35"/>
    </row>
    <row r="127" ht="22.5" hidden="1" customHeight="1">
      <c r="A127" s="15">
        <f t="shared" si="1"/>
        <v>126</v>
      </c>
      <c r="B127" s="16">
        <v>45987.343139375</v>
      </c>
      <c r="C127" s="17" t="s">
        <v>914</v>
      </c>
      <c r="D127" s="27" t="s">
        <v>443</v>
      </c>
      <c r="E127" s="15" t="str">
        <f>VLOOKUP(G127,DiretoriaDepart.Coord.!$A$1:$C$72,2,FALSE)</f>
        <v>Extensão Rural</v>
      </c>
      <c r="F127" s="15" t="str">
        <f>VLOOKUP(G127,DiretoriaDepart.Coord.!$A$1:$C$72,3,FALSE)</f>
        <v>Projetos e Cadeias Produtivas</v>
      </c>
      <c r="G127" s="17" t="s">
        <v>903</v>
      </c>
      <c r="H127" s="15"/>
      <c r="I127" s="17" t="s">
        <v>1021</v>
      </c>
      <c r="J127" s="17" t="s">
        <v>728</v>
      </c>
      <c r="K127" s="17">
        <v>15.0</v>
      </c>
      <c r="L127" s="15"/>
      <c r="M127" s="17" t="s">
        <v>1022</v>
      </c>
      <c r="N127" s="17">
        <v>0.0</v>
      </c>
      <c r="O127" s="17" t="s">
        <v>714</v>
      </c>
      <c r="P127" s="17" t="s">
        <v>34</v>
      </c>
      <c r="Q127" s="20">
        <v>45813.354166666664</v>
      </c>
      <c r="R127" s="20">
        <v>45814.666666666664</v>
      </c>
      <c r="S127" s="17" t="s">
        <v>451</v>
      </c>
      <c r="T127" s="17" t="s">
        <v>452</v>
      </c>
      <c r="U127" s="21" t="s">
        <v>1023</v>
      </c>
      <c r="V127" s="21" t="s">
        <v>1024</v>
      </c>
      <c r="W127" s="22">
        <v>120.0</v>
      </c>
      <c r="X127" s="22">
        <v>45.0</v>
      </c>
      <c r="Y127" s="23">
        <v>30000.0</v>
      </c>
      <c r="Z127" s="23">
        <v>0.0</v>
      </c>
      <c r="AA127" s="24">
        <v>0.0</v>
      </c>
      <c r="AB127" s="24">
        <v>0.0</v>
      </c>
      <c r="AC127" s="24">
        <v>0.0</v>
      </c>
      <c r="AD127" s="23">
        <v>0.0</v>
      </c>
      <c r="AE127" s="24">
        <v>0.0</v>
      </c>
      <c r="AF127" s="17" t="s">
        <v>464</v>
      </c>
      <c r="AG127" s="17">
        <v>4500.0</v>
      </c>
      <c r="AH127" s="17" t="s">
        <v>451</v>
      </c>
      <c r="AI127" s="25">
        <f>IF(AF127="Sim",INT((R127-Q127+1))*K127*VLOOKUP(P127,'Tabelas Auxiliares'!$A$1:$C$400,3,FALSE),0)</f>
        <v>679.2</v>
      </c>
      <c r="AJ127" s="25">
        <f t="shared" si="2"/>
        <v>3150</v>
      </c>
      <c r="AK127" s="25">
        <f>IFS(
  O127="Acre",((W127*0.15)+(X127*0.7))*VLOOKUP(P127,'MunicípiosEstados'!$A$2:$B$23,2,FALSE),
  O127="Alagoas",((W127*0.15)+(X127*0.7))*VLOOKUP(P127,'MunicípiosEstados'!$C$2:$D$103,2,FALSE),
  O127="Amapá",((W127*0.15)+(X127*0.7))*VLOOKUP(P127,'MunicípiosEstados'!$E$2:$F$17,2,FALSE),
  O127="Amazonas",((W127*0.15)+(X127*0.7))*VLOOKUP(P127,'MunicípiosEstados'!$G$2:$H$63,2,FALSE),
  O127="Bahia",((W127*0.15)+(X127*0.7))*VLOOKUP(P127,'MunicípiosEstados'!$I$2:$J$418,2,FALSE),
  O127="Ceará",((W127*0.15)+(X127*0.7))*VLOOKUP(P127,'MunicípiosEstados'!$K$2:$L$185,2,FALSE),
  O127="Distrito Federal",((W127*0.15)+(X127*0.7))*VLOOKUP(P127,'MunicípiosEstados'!$M$2:$N$2,2,FALSE),
  O127="Espírito Santo",((W127*0.15)+(X127*0.7))*VLOOKUP(P127,'MunicípiosEstados'!$O$2:$P$79,2,FALSE),
  O127="Goiás",((W127*0.15)+(X127*0.7))*VLOOKUP(P127,'MunicípiosEstados'!$Q$2:$R$247,2,FALSE),
  O127="Maranhão",((W127*0.15)+(X127*0.7))*VLOOKUP(P127,'MunicípiosEstados'!$S$2:$T$218,2,FALSE),
  O127="Mato Grosso",((W127*0.15)+(X127*0.7))*VLOOKUP(P127,'MunicípiosEstados'!$U$2:$V$143,2,FALSE),
  O127="Mato Grosso do Sul",((W127*0.15)+(X127*0.7))*VLOOKUP(P127,'MunicípiosEstados'!$W$2:$X$80,2,FALSE),
  O127="Minas Gerais",((W127*0.15)+(X127*0.7))*VLOOKUP(P127,'MunicípiosEstados'!$Y$2:$Z$854,2,FALSE),
  O127="Pará",((W127*0.15)+(X127*0.7))*VLOOKUP(P127,'MunicípiosEstados'!$AA$2:$AB$145,2,FALSE),
  O127="Paraíba",((W127*0.15)+(X127*0.7))*VLOOKUP(P127,'MunicípiosEstados'!$AC$2:$AD$224,2,FALSE),
  O127="Paraná",((W127*0.15)+(X127*0.7))*VLOOKUP(P127,'MunicípiosEstados'!$AE$2:$AF$400,2,FALSE),
  O127="Pernambuco",((W127*0.15)+(X127*0.7))*VLOOKUP(P127,'MunicípiosEstados'!$AG$2:$AH$186,2,FALSE),
  O127="Piauí",((W127*0.15)+(X127*0.7))*VLOOKUP(P127,'MunicípiosEstados'!$AI$2:$AJ$225,2,FALSE),
  O127="Rio Grande do Norte",((W127*0.15)+(X127*0.7))*VLOOKUP(P127,'MunicípiosEstados'!$AK$2:$AL$168,2,FALSE),
  O127="Rio Grande do Sul",((W127*0.15)+(X127*0.7))*VLOOKUP(P127,'MunicípiosEstados'!$AM$2:$AN$498,2,FALSE),
  O127="Rio de Janeiro",((W127*0.15)+(X127*0.7))*VLOOKUP(P127,'MunicípiosEstados'!$AO$2:$AP$93,2,FALSE),
  O127="Rondônia",((W127*0.15)+(X127*0.7))*VLOOKUP(P127,'MunicípiosEstados'!$AQ$2:$AR$53,2,FALSE),
  O127="Roraima",((W127*0.15)+(X127*0.7))*VLOOKUP(P127,'MunicípiosEstados'!$AS$2:$AT$16,2,FALSE),
  O127="Santa Catarina",((W127*0.15)+(X127*0.7))*VLOOKUP(P127,'MunicípiosEstados'!$AU$2:$AV$296,2,FALSE),
  O127="São Paulo",((W127*0.15)+(X127*0.7))*VLOOKUP(P127,'MunicípiosEstados'!$AW$2:$AX$646,2,FALSE),
  O127="Sergipe",((W127*0.15)+(X127*0.7))*VLOOKUP(P127,'MunicípiosEstados'!$AY$2:$AZ$76,2,FALSE),
  O127="Tocantins",((W127*0.15)+(X127*0.7))*VLOOKUP(P127,'MunicípiosEstados'!$BA$2:$BB$140,2,FALSE),
  O127="Exterior",((W127*0.15)+(X127*0.7))*VLOOKUP(P127,'MunicípiosEstados'!$BC$2:$BE$221,3,FALSE),TRUE,0
)
</f>
        <v>14382.225</v>
      </c>
      <c r="AL127" s="25">
        <f t="shared" si="3"/>
        <v>48211.425</v>
      </c>
    </row>
    <row r="128" ht="22.5" hidden="1" customHeight="1">
      <c r="A128" s="15">
        <f t="shared" si="1"/>
        <v>127</v>
      </c>
      <c r="B128" s="16">
        <v>45987.35391697916</v>
      </c>
      <c r="C128" s="17" t="s">
        <v>914</v>
      </c>
      <c r="D128" s="27" t="s">
        <v>443</v>
      </c>
      <c r="E128" s="15" t="str">
        <f>VLOOKUP(G128,DiretoriaDepart.Coord.!$A$1:$C$72,2,FALSE)</f>
        <v>Extensão Rural</v>
      </c>
      <c r="F128" s="15" t="str">
        <f>VLOOKUP(G128,DiretoriaDepart.Coord.!$A$1:$C$72,3,FALSE)</f>
        <v>Projetos e Cadeias Produtivas</v>
      </c>
      <c r="G128" s="17" t="s">
        <v>903</v>
      </c>
      <c r="H128" s="15"/>
      <c r="I128" s="17" t="s">
        <v>1025</v>
      </c>
      <c r="J128" s="17" t="s">
        <v>576</v>
      </c>
      <c r="K128" s="17">
        <v>20.0</v>
      </c>
      <c r="L128" s="15"/>
      <c r="M128" s="17" t="s">
        <v>461</v>
      </c>
      <c r="N128" s="17">
        <v>0.0</v>
      </c>
      <c r="O128" s="17" t="s">
        <v>714</v>
      </c>
      <c r="P128" s="17" t="s">
        <v>34</v>
      </c>
      <c r="Q128" s="20">
        <v>45819.375</v>
      </c>
      <c r="R128" s="20">
        <v>45820.666666666664</v>
      </c>
      <c r="S128" s="17" t="s">
        <v>451</v>
      </c>
      <c r="T128" s="17" t="s">
        <v>452</v>
      </c>
      <c r="U128" s="21" t="s">
        <v>1026</v>
      </c>
      <c r="V128" s="21" t="s">
        <v>1027</v>
      </c>
      <c r="W128" s="22">
        <v>80.0</v>
      </c>
      <c r="X128" s="22">
        <v>60.0</v>
      </c>
      <c r="Y128" s="23">
        <v>2000.0</v>
      </c>
      <c r="Z128" s="23">
        <v>0.0</v>
      </c>
      <c r="AA128" s="24">
        <v>0.0</v>
      </c>
      <c r="AB128" s="24">
        <v>0.0</v>
      </c>
      <c r="AC128" s="24">
        <v>0.0</v>
      </c>
      <c r="AD128" s="23">
        <v>0.0</v>
      </c>
      <c r="AE128" s="24">
        <v>0.0</v>
      </c>
      <c r="AF128" s="17" t="s">
        <v>464</v>
      </c>
      <c r="AG128" s="17">
        <v>60000.0</v>
      </c>
      <c r="AH128" s="17" t="s">
        <v>451</v>
      </c>
      <c r="AI128" s="25">
        <f>IF(AF128="Sim",INT((R128-Q128+1))*K128*VLOOKUP(P128,'Tabelas Auxiliares'!$A$1:$C$400,3,FALSE),0)</f>
        <v>905.6</v>
      </c>
      <c r="AJ128" s="25">
        <f t="shared" si="2"/>
        <v>42000</v>
      </c>
      <c r="AK128" s="25">
        <f>IFS(
  O128="Acre",((W128*0.15)+(X128*0.7))*VLOOKUP(P128,'MunicípiosEstados'!$A$2:$B$23,2,FALSE),
  O128="Alagoas",((W128*0.15)+(X128*0.7))*VLOOKUP(P128,'MunicípiosEstados'!$C$2:$D$103,2,FALSE),
  O128="Amapá",((W128*0.15)+(X128*0.7))*VLOOKUP(P128,'MunicípiosEstados'!$E$2:$F$17,2,FALSE),
  O128="Amazonas",((W128*0.15)+(X128*0.7))*VLOOKUP(P128,'MunicípiosEstados'!$G$2:$H$63,2,FALSE),
  O128="Bahia",((W128*0.15)+(X128*0.7))*VLOOKUP(P128,'MunicípiosEstados'!$I$2:$J$418,2,FALSE),
  O128="Ceará",((W128*0.15)+(X128*0.7))*VLOOKUP(P128,'MunicípiosEstados'!$K$2:$L$185,2,FALSE),
  O128="Distrito Federal",((W128*0.15)+(X128*0.7))*VLOOKUP(P128,'MunicípiosEstados'!$M$2:$N$2,2,FALSE),
  O128="Espírito Santo",((W128*0.15)+(X128*0.7))*VLOOKUP(P128,'MunicípiosEstados'!$O$2:$P$79,2,FALSE),
  O128="Goiás",((W128*0.15)+(X128*0.7))*VLOOKUP(P128,'MunicípiosEstados'!$Q$2:$R$247,2,FALSE),
  O128="Maranhão",((W128*0.15)+(X128*0.7))*VLOOKUP(P128,'MunicípiosEstados'!$S$2:$T$218,2,FALSE),
  O128="Mato Grosso",((W128*0.15)+(X128*0.7))*VLOOKUP(P128,'MunicípiosEstados'!$U$2:$V$143,2,FALSE),
  O128="Mato Grosso do Sul",((W128*0.15)+(X128*0.7))*VLOOKUP(P128,'MunicípiosEstados'!$W$2:$X$80,2,FALSE),
  O128="Minas Gerais",((W128*0.15)+(X128*0.7))*VLOOKUP(P128,'MunicípiosEstados'!$Y$2:$Z$854,2,FALSE),
  O128="Pará",((W128*0.15)+(X128*0.7))*VLOOKUP(P128,'MunicípiosEstados'!$AA$2:$AB$145,2,FALSE),
  O128="Paraíba",((W128*0.15)+(X128*0.7))*VLOOKUP(P128,'MunicípiosEstados'!$AC$2:$AD$224,2,FALSE),
  O128="Paraná",((W128*0.15)+(X128*0.7))*VLOOKUP(P128,'MunicípiosEstados'!$AE$2:$AF$400,2,FALSE),
  O128="Pernambuco",((W128*0.15)+(X128*0.7))*VLOOKUP(P128,'MunicípiosEstados'!$AG$2:$AH$186,2,FALSE),
  O128="Piauí",((W128*0.15)+(X128*0.7))*VLOOKUP(P128,'MunicípiosEstados'!$AI$2:$AJ$225,2,FALSE),
  O128="Rio Grande do Norte",((W128*0.15)+(X128*0.7))*VLOOKUP(P128,'MunicípiosEstados'!$AK$2:$AL$168,2,FALSE),
  O128="Rio Grande do Sul",((W128*0.15)+(X128*0.7))*VLOOKUP(P128,'MunicípiosEstados'!$AM$2:$AN$498,2,FALSE),
  O128="Rio de Janeiro",((W128*0.15)+(X128*0.7))*VLOOKUP(P128,'MunicípiosEstados'!$AO$2:$AP$93,2,FALSE),
  O128="Rondônia",((W128*0.15)+(X128*0.7))*VLOOKUP(P128,'MunicípiosEstados'!$AQ$2:$AR$53,2,FALSE),
  O128="Roraima",((W128*0.15)+(X128*0.7))*VLOOKUP(P128,'MunicípiosEstados'!$AS$2:$AT$16,2,FALSE),
  O128="Santa Catarina",((W128*0.15)+(X128*0.7))*VLOOKUP(P128,'MunicípiosEstados'!$AU$2:$AV$296,2,FALSE),
  O128="São Paulo",((W128*0.15)+(X128*0.7))*VLOOKUP(P128,'MunicípiosEstados'!$AW$2:$AX$646,2,FALSE),
  O128="Sergipe",((W128*0.15)+(X128*0.7))*VLOOKUP(P128,'MunicípiosEstados'!$AY$2:$AZ$76,2,FALSE),
  O128="Tocantins",((W128*0.15)+(X128*0.7))*VLOOKUP(P128,'MunicípiosEstados'!$BA$2:$BB$140,2,FALSE),
  O128="Exterior",((W128*0.15)+(X128*0.7))*VLOOKUP(P128,'MunicípiosEstados'!$BC$2:$BE$221,3,FALSE),TRUE,0
)
</f>
        <v>15689.7</v>
      </c>
      <c r="AL128" s="25">
        <f t="shared" si="3"/>
        <v>60595.3</v>
      </c>
    </row>
    <row r="129" ht="22.5" hidden="1" customHeight="1">
      <c r="A129" s="15">
        <f t="shared" si="1"/>
        <v>128</v>
      </c>
      <c r="B129" s="16">
        <v>45987.35657819445</v>
      </c>
      <c r="C129" s="17" t="s">
        <v>766</v>
      </c>
      <c r="D129" s="27" t="s">
        <v>443</v>
      </c>
      <c r="E129" s="15" t="str">
        <f>VLOOKUP(G129,DiretoriaDepart.Coord.!$A$1:$C$72,2,FALSE)</f>
        <v>Pesquisa e Inovação</v>
      </c>
      <c r="F129" s="15" t="str">
        <f>VLOOKUP(G129,DiretoriaDepart.Coord.!$A$1:$C$72,3,FALSE)</f>
        <v>Inovação e Comunicação Científica</v>
      </c>
      <c r="G129" s="17" t="s">
        <v>767</v>
      </c>
      <c r="H129" s="15"/>
      <c r="I129" s="17" t="s">
        <v>1028</v>
      </c>
      <c r="J129" s="17" t="s">
        <v>728</v>
      </c>
      <c r="K129" s="34" t="s">
        <v>774</v>
      </c>
      <c r="L129" s="17">
        <v>0.0</v>
      </c>
      <c r="M129" s="17" t="s">
        <v>770</v>
      </c>
      <c r="N129" s="17">
        <v>0.0</v>
      </c>
      <c r="O129" s="17" t="s">
        <v>714</v>
      </c>
      <c r="P129" s="17" t="s">
        <v>790</v>
      </c>
      <c r="Q129" s="20">
        <v>45705.333333333336</v>
      </c>
      <c r="R129" s="20">
        <v>45741.708333333336</v>
      </c>
      <c r="S129" s="17" t="s">
        <v>451</v>
      </c>
      <c r="T129" s="17" t="s">
        <v>452</v>
      </c>
      <c r="U129" s="21" t="s">
        <v>1029</v>
      </c>
      <c r="V129" s="21" t="s">
        <v>1030</v>
      </c>
      <c r="W129" s="22">
        <v>0.0</v>
      </c>
      <c r="X129" s="22">
        <v>0.0</v>
      </c>
      <c r="Y129" s="23">
        <v>0.0</v>
      </c>
      <c r="Z129" s="23">
        <v>0.0</v>
      </c>
      <c r="AA129" s="24">
        <v>0.0</v>
      </c>
      <c r="AB129" s="24">
        <v>0.0</v>
      </c>
      <c r="AC129" s="24">
        <v>0.0</v>
      </c>
      <c r="AD129" s="23">
        <v>0.0</v>
      </c>
      <c r="AE129" s="24">
        <v>0.0</v>
      </c>
      <c r="AF129" s="17" t="s">
        <v>451</v>
      </c>
      <c r="AG129" s="17">
        <v>0.0</v>
      </c>
      <c r="AH129" s="17" t="s">
        <v>451</v>
      </c>
      <c r="AI129" s="25">
        <f>IF(AF129="Sim",INT((R129-Q129+1))*K129*VLOOKUP(P129,'Tabelas Auxiliares'!$A$1:$C$400,3,FALSE),0)</f>
        <v>0</v>
      </c>
      <c r="AJ129" s="25">
        <f t="shared" si="2"/>
        <v>0</v>
      </c>
      <c r="AK129" s="25">
        <f>IFS(
  O129="Acre",((W129*0.15)+(X129*0.7))*VLOOKUP(P129,'MunicípiosEstados'!$A$2:$B$23,2,FALSE),
  O129="Alagoas",((W129*0.15)+(X129*0.7))*VLOOKUP(P129,'MunicípiosEstados'!$C$2:$D$103,2,FALSE),
  O129="Amapá",((W129*0.15)+(X129*0.7))*VLOOKUP(P129,'MunicípiosEstados'!$E$2:$F$17,2,FALSE),
  O129="Amazonas",((W129*0.15)+(X129*0.7))*VLOOKUP(P129,'MunicípiosEstados'!$G$2:$H$63,2,FALSE),
  O129="Bahia",((W129*0.15)+(X129*0.7))*VLOOKUP(P129,'MunicípiosEstados'!$I$2:$J$418,2,FALSE),
  O129="Ceará",((W129*0.15)+(X129*0.7))*VLOOKUP(P129,'MunicípiosEstados'!$K$2:$L$185,2,FALSE),
  O129="Distrito Federal",((W129*0.15)+(X129*0.7))*VLOOKUP(P129,'MunicípiosEstados'!$M$2:$N$2,2,FALSE),
  O129="Espírito Santo",((W129*0.15)+(X129*0.7))*VLOOKUP(P129,'MunicípiosEstados'!$O$2:$P$79,2,FALSE),
  O129="Goiás",((W129*0.15)+(X129*0.7))*VLOOKUP(P129,'MunicípiosEstados'!$Q$2:$R$247,2,FALSE),
  O129="Maranhão",((W129*0.15)+(X129*0.7))*VLOOKUP(P129,'MunicípiosEstados'!$S$2:$T$218,2,FALSE),
  O129="Mato Grosso",((W129*0.15)+(X129*0.7))*VLOOKUP(P129,'MunicípiosEstados'!$U$2:$V$143,2,FALSE),
  O129="Mato Grosso do Sul",((W129*0.15)+(X129*0.7))*VLOOKUP(P129,'MunicípiosEstados'!$W$2:$X$80,2,FALSE),
  O129="Minas Gerais",((W129*0.15)+(X129*0.7))*VLOOKUP(P129,'MunicípiosEstados'!$Y$2:$Z$854,2,FALSE),
  O129="Pará",((W129*0.15)+(X129*0.7))*VLOOKUP(P129,'MunicípiosEstados'!$AA$2:$AB$145,2,FALSE),
  O129="Paraíba",((W129*0.15)+(X129*0.7))*VLOOKUP(P129,'MunicípiosEstados'!$AC$2:$AD$224,2,FALSE),
  O129="Paraná",((W129*0.15)+(X129*0.7))*VLOOKUP(P129,'MunicípiosEstados'!$AE$2:$AF$400,2,FALSE),
  O129="Pernambuco",((W129*0.15)+(X129*0.7))*VLOOKUP(P129,'MunicípiosEstados'!$AG$2:$AH$186,2,FALSE),
  O129="Piauí",((W129*0.15)+(X129*0.7))*VLOOKUP(P129,'MunicípiosEstados'!$AI$2:$AJ$225,2,FALSE),
  O129="Rio Grande do Norte",((W129*0.15)+(X129*0.7))*VLOOKUP(P129,'MunicípiosEstados'!$AK$2:$AL$168,2,FALSE),
  O129="Rio Grande do Sul",((W129*0.15)+(X129*0.7))*VLOOKUP(P129,'MunicípiosEstados'!$AM$2:$AN$498,2,FALSE),
  O129="Rio de Janeiro",((W129*0.15)+(X129*0.7))*VLOOKUP(P129,'MunicípiosEstados'!$AO$2:$AP$93,2,FALSE),
  O129="Rondônia",((W129*0.15)+(X129*0.7))*VLOOKUP(P129,'MunicípiosEstados'!$AQ$2:$AR$53,2,FALSE),
  O129="Roraima",((W129*0.15)+(X129*0.7))*VLOOKUP(P129,'MunicípiosEstados'!$AS$2:$AT$16,2,FALSE),
  O129="Santa Catarina",((W129*0.15)+(X129*0.7))*VLOOKUP(P129,'MunicípiosEstados'!$AU$2:$AV$296,2,FALSE),
  O129="São Paulo",((W129*0.15)+(X129*0.7))*VLOOKUP(P129,'MunicípiosEstados'!$AW$2:$AX$646,2,FALSE),
  O129="Sergipe",((W129*0.15)+(X129*0.7))*VLOOKUP(P129,'MunicípiosEstados'!$AY$2:$AZ$76,2,FALSE),
  O129="Tocantins",((W129*0.15)+(X129*0.7))*VLOOKUP(P129,'MunicípiosEstados'!$BA$2:$BB$140,2,FALSE),
  O129="Exterior",((W129*0.15)+(X129*0.7))*VLOOKUP(P129,'MunicípiosEstados'!$BC$2:$BE$221,3,FALSE),TRUE,0
)
</f>
        <v>0</v>
      </c>
      <c r="AL129" s="25">
        <f t="shared" si="3"/>
        <v>0</v>
      </c>
      <c r="AN129" s="35"/>
    </row>
    <row r="130" ht="22.5" hidden="1" customHeight="1">
      <c r="A130" s="15">
        <f t="shared" si="1"/>
        <v>129</v>
      </c>
      <c r="B130" s="16">
        <v>45987.359151516204</v>
      </c>
      <c r="C130" s="17" t="s">
        <v>1031</v>
      </c>
      <c r="D130" s="27" t="s">
        <v>443</v>
      </c>
      <c r="E130" s="15" t="str">
        <f>VLOOKUP(G130,DiretoriaDepart.Coord.!$A$1:$C$72,2,FALSE)</f>
        <v>Extensão Rural</v>
      </c>
      <c r="F130" s="15" t="str">
        <f>VLOOKUP(G130,DiretoriaDepart.Coord.!$A$1:$C$72,3,FALSE)</f>
        <v>Sustentabilidade</v>
      </c>
      <c r="G130" s="17" t="s">
        <v>1032</v>
      </c>
      <c r="H130" s="15"/>
      <c r="I130" s="17" t="s">
        <v>1033</v>
      </c>
      <c r="J130" s="17" t="s">
        <v>728</v>
      </c>
      <c r="K130" s="17">
        <v>20.0</v>
      </c>
      <c r="L130" s="15"/>
      <c r="M130" s="17" t="s">
        <v>1034</v>
      </c>
      <c r="N130" s="17">
        <v>10.0</v>
      </c>
      <c r="O130" s="17" t="s">
        <v>714</v>
      </c>
      <c r="P130" s="17" t="s">
        <v>394</v>
      </c>
      <c r="Q130" s="20">
        <v>45784.333333333336</v>
      </c>
      <c r="R130" s="20">
        <v>45785.708333333336</v>
      </c>
      <c r="S130" s="17" t="s">
        <v>451</v>
      </c>
      <c r="T130" s="17" t="s">
        <v>452</v>
      </c>
      <c r="U130" s="21" t="s">
        <v>1035</v>
      </c>
      <c r="V130" s="21" t="s">
        <v>1036</v>
      </c>
      <c r="W130" s="22">
        <v>120.0</v>
      </c>
      <c r="X130" s="22">
        <v>30.0</v>
      </c>
      <c r="Y130" s="23">
        <v>0.0</v>
      </c>
      <c r="Z130" s="23">
        <v>0.0</v>
      </c>
      <c r="AA130" s="24">
        <v>0.0</v>
      </c>
      <c r="AB130" s="24">
        <v>0.0</v>
      </c>
      <c r="AC130" s="24">
        <v>0.0</v>
      </c>
      <c r="AD130" s="23">
        <v>0.0</v>
      </c>
      <c r="AE130" s="24">
        <v>0.0</v>
      </c>
      <c r="AF130" s="17" t="s">
        <v>464</v>
      </c>
      <c r="AG130" s="17">
        <v>1000.0</v>
      </c>
      <c r="AH130" s="17" t="s">
        <v>464</v>
      </c>
      <c r="AI130" s="25">
        <f>IF(AF130="Sim",INT((R130-Q130+1))*K130*VLOOKUP(P130,'Tabelas Auxiliares'!$A$1:$C$400,3,FALSE),0)</f>
        <v>905.6</v>
      </c>
      <c r="AJ130" s="25">
        <f t="shared" si="2"/>
        <v>700</v>
      </c>
      <c r="AK130" s="25">
        <f>IFS(
  O130="Acre",((W130*0.15)+(X130*0.7))*VLOOKUP(P130,'MunicípiosEstados'!$A$2:$B$23,2,FALSE),
  O130="Alagoas",((W130*0.15)+(X130*0.7))*VLOOKUP(P130,'MunicípiosEstados'!$C$2:$D$103,2,FALSE),
  O130="Amapá",((W130*0.15)+(X130*0.7))*VLOOKUP(P130,'MunicípiosEstados'!$E$2:$F$17,2,FALSE),
  O130="Amazonas",((W130*0.15)+(X130*0.7))*VLOOKUP(P130,'MunicípiosEstados'!$G$2:$H$63,2,FALSE),
  O130="Bahia",((W130*0.15)+(X130*0.7))*VLOOKUP(P130,'MunicípiosEstados'!$I$2:$J$418,2,FALSE),
  O130="Ceará",((W130*0.15)+(X130*0.7))*VLOOKUP(P130,'MunicípiosEstados'!$K$2:$L$185,2,FALSE),
  O130="Distrito Federal",((W130*0.15)+(X130*0.7))*VLOOKUP(P130,'MunicípiosEstados'!$M$2:$N$2,2,FALSE),
  O130="Espírito Santo",((W130*0.15)+(X130*0.7))*VLOOKUP(P130,'MunicípiosEstados'!$O$2:$P$79,2,FALSE),
  O130="Goiás",((W130*0.15)+(X130*0.7))*VLOOKUP(P130,'MunicípiosEstados'!$Q$2:$R$247,2,FALSE),
  O130="Maranhão",((W130*0.15)+(X130*0.7))*VLOOKUP(P130,'MunicípiosEstados'!$S$2:$T$218,2,FALSE),
  O130="Mato Grosso",((W130*0.15)+(X130*0.7))*VLOOKUP(P130,'MunicípiosEstados'!$U$2:$V$143,2,FALSE),
  O130="Mato Grosso do Sul",((W130*0.15)+(X130*0.7))*VLOOKUP(P130,'MunicípiosEstados'!$W$2:$X$80,2,FALSE),
  O130="Minas Gerais",((W130*0.15)+(X130*0.7))*VLOOKUP(P130,'MunicípiosEstados'!$Y$2:$Z$854,2,FALSE),
  O130="Pará",((W130*0.15)+(X130*0.7))*VLOOKUP(P130,'MunicípiosEstados'!$AA$2:$AB$145,2,FALSE),
  O130="Paraíba",((W130*0.15)+(X130*0.7))*VLOOKUP(P130,'MunicípiosEstados'!$AC$2:$AD$224,2,FALSE),
  O130="Paraná",((W130*0.15)+(X130*0.7))*VLOOKUP(P130,'MunicípiosEstados'!$AE$2:$AF$400,2,FALSE),
  O130="Pernambuco",((W130*0.15)+(X130*0.7))*VLOOKUP(P130,'MunicípiosEstados'!$AG$2:$AH$186,2,FALSE),
  O130="Piauí",((W130*0.15)+(X130*0.7))*VLOOKUP(P130,'MunicípiosEstados'!$AI$2:$AJ$225,2,FALSE),
  O130="Rio Grande do Norte",((W130*0.15)+(X130*0.7))*VLOOKUP(P130,'MunicípiosEstados'!$AK$2:$AL$168,2,FALSE),
  O130="Rio Grande do Sul",((W130*0.15)+(X130*0.7))*VLOOKUP(P130,'MunicípiosEstados'!$AM$2:$AN$498,2,FALSE),
  O130="Rio de Janeiro",((W130*0.15)+(X130*0.7))*VLOOKUP(P130,'MunicípiosEstados'!$AO$2:$AP$93,2,FALSE),
  O130="Rondônia",((W130*0.15)+(X130*0.7))*VLOOKUP(P130,'MunicípiosEstados'!$AQ$2:$AR$53,2,FALSE),
  O130="Roraima",((W130*0.15)+(X130*0.7))*VLOOKUP(P130,'MunicípiosEstados'!$AS$2:$AT$16,2,FALSE),
  O130="Santa Catarina",((W130*0.15)+(X130*0.7))*VLOOKUP(P130,'MunicípiosEstados'!$AU$2:$AV$296,2,FALSE),
  O130="São Paulo",((W130*0.15)+(X130*0.7))*VLOOKUP(P130,'MunicípiosEstados'!$AW$2:$AX$646,2,FALSE),
  O130="Sergipe",((W130*0.15)+(X130*0.7))*VLOOKUP(P130,'MunicípiosEstados'!$AY$2:$AZ$76,2,FALSE),
  O130="Tocantins",((W130*0.15)+(X130*0.7))*VLOOKUP(P130,'MunicípiosEstados'!$BA$2:$BB$140,2,FALSE),
  O130="Exterior",((W130*0.15)+(X130*0.7))*VLOOKUP(P130,'MunicípiosEstados'!$BC$2:$BE$221,3,FALSE),TRUE,0
)
</f>
        <v>11331.45</v>
      </c>
      <c r="AL130" s="25">
        <f t="shared" si="3"/>
        <v>12937.05</v>
      </c>
    </row>
    <row r="131" ht="22.5" hidden="1" customHeight="1">
      <c r="A131" s="15">
        <f t="shared" si="1"/>
        <v>130</v>
      </c>
      <c r="B131" s="16">
        <v>45987.37350385416</v>
      </c>
      <c r="C131" s="17" t="s">
        <v>1031</v>
      </c>
      <c r="D131" s="27" t="s">
        <v>443</v>
      </c>
      <c r="E131" s="15" t="str">
        <f>VLOOKUP(G131,DiretoriaDepart.Coord.!$A$1:$C$72,2,FALSE)</f>
        <v>Extensão Rural</v>
      </c>
      <c r="F131" s="15" t="str">
        <f>VLOOKUP(G131,DiretoriaDepart.Coord.!$A$1:$C$72,3,FALSE)</f>
        <v>Sustentabilidade</v>
      </c>
      <c r="G131" s="17" t="s">
        <v>1032</v>
      </c>
      <c r="H131" s="15"/>
      <c r="I131" s="17" t="s">
        <v>1037</v>
      </c>
      <c r="J131" s="17" t="s">
        <v>728</v>
      </c>
      <c r="K131" s="17">
        <v>20.0</v>
      </c>
      <c r="L131" s="15"/>
      <c r="M131" s="17" t="s">
        <v>1038</v>
      </c>
      <c r="N131" s="17">
        <v>0.0</v>
      </c>
      <c r="O131" s="17" t="s">
        <v>714</v>
      </c>
      <c r="P131" s="17" t="s">
        <v>394</v>
      </c>
      <c r="Q131" s="20">
        <v>45763.333333333336</v>
      </c>
      <c r="R131" s="20">
        <v>45763.708333333336</v>
      </c>
      <c r="S131" s="17" t="s">
        <v>451</v>
      </c>
      <c r="T131" s="17" t="s">
        <v>452</v>
      </c>
      <c r="U131" s="21" t="s">
        <v>1039</v>
      </c>
      <c r="V131" s="21" t="s">
        <v>1040</v>
      </c>
      <c r="W131" s="22">
        <v>20.0</v>
      </c>
      <c r="X131" s="22">
        <v>0.0</v>
      </c>
      <c r="Y131" s="23">
        <v>0.0</v>
      </c>
      <c r="Z131" s="23">
        <v>0.0</v>
      </c>
      <c r="AA131" s="24">
        <v>0.0</v>
      </c>
      <c r="AB131" s="24">
        <v>0.0</v>
      </c>
      <c r="AC131" s="24">
        <v>0.0</v>
      </c>
      <c r="AD131" s="23">
        <v>0.0</v>
      </c>
      <c r="AE131" s="24">
        <v>0.0</v>
      </c>
      <c r="AF131" s="17" t="s">
        <v>464</v>
      </c>
      <c r="AG131" s="17">
        <v>300.0</v>
      </c>
      <c r="AH131" s="17" t="s">
        <v>451</v>
      </c>
      <c r="AI131" s="25">
        <f>IF(AF131="Sim",INT((R131-Q131+1))*K131*VLOOKUP(P131,'Tabelas Auxiliares'!$A$1:$C$400,3,FALSE),0)</f>
        <v>452.8</v>
      </c>
      <c r="AJ131" s="25">
        <f t="shared" si="2"/>
        <v>210</v>
      </c>
      <c r="AK131" s="25">
        <f>IFS(
  O131="Acre",((W131*0.15)+(X131*0.7))*VLOOKUP(P131,'MunicípiosEstados'!$A$2:$B$23,2,FALSE),
  O131="Alagoas",((W131*0.15)+(X131*0.7))*VLOOKUP(P131,'MunicípiosEstados'!$C$2:$D$103,2,FALSE),
  O131="Amapá",((W131*0.15)+(X131*0.7))*VLOOKUP(P131,'MunicípiosEstados'!$E$2:$F$17,2,FALSE),
  O131="Amazonas",((W131*0.15)+(X131*0.7))*VLOOKUP(P131,'MunicípiosEstados'!$G$2:$H$63,2,FALSE),
  O131="Bahia",((W131*0.15)+(X131*0.7))*VLOOKUP(P131,'MunicípiosEstados'!$I$2:$J$418,2,FALSE),
  O131="Ceará",((W131*0.15)+(X131*0.7))*VLOOKUP(P131,'MunicípiosEstados'!$K$2:$L$185,2,FALSE),
  O131="Distrito Federal",((W131*0.15)+(X131*0.7))*VLOOKUP(P131,'MunicípiosEstados'!$M$2:$N$2,2,FALSE),
  O131="Espírito Santo",((W131*0.15)+(X131*0.7))*VLOOKUP(P131,'MunicípiosEstados'!$O$2:$P$79,2,FALSE),
  O131="Goiás",((W131*0.15)+(X131*0.7))*VLOOKUP(P131,'MunicípiosEstados'!$Q$2:$R$247,2,FALSE),
  O131="Maranhão",((W131*0.15)+(X131*0.7))*VLOOKUP(P131,'MunicípiosEstados'!$S$2:$T$218,2,FALSE),
  O131="Mato Grosso",((W131*0.15)+(X131*0.7))*VLOOKUP(P131,'MunicípiosEstados'!$U$2:$V$143,2,FALSE),
  O131="Mato Grosso do Sul",((W131*0.15)+(X131*0.7))*VLOOKUP(P131,'MunicípiosEstados'!$W$2:$X$80,2,FALSE),
  O131="Minas Gerais",((W131*0.15)+(X131*0.7))*VLOOKUP(P131,'MunicípiosEstados'!$Y$2:$Z$854,2,FALSE),
  O131="Pará",((W131*0.15)+(X131*0.7))*VLOOKUP(P131,'MunicípiosEstados'!$AA$2:$AB$145,2,FALSE),
  O131="Paraíba",((W131*0.15)+(X131*0.7))*VLOOKUP(P131,'MunicípiosEstados'!$AC$2:$AD$224,2,FALSE),
  O131="Paraná",((W131*0.15)+(X131*0.7))*VLOOKUP(P131,'MunicípiosEstados'!$AE$2:$AF$400,2,FALSE),
  O131="Pernambuco",((W131*0.15)+(X131*0.7))*VLOOKUP(P131,'MunicípiosEstados'!$AG$2:$AH$186,2,FALSE),
  O131="Piauí",((W131*0.15)+(X131*0.7))*VLOOKUP(P131,'MunicípiosEstados'!$AI$2:$AJ$225,2,FALSE),
  O131="Rio Grande do Norte",((W131*0.15)+(X131*0.7))*VLOOKUP(P131,'MunicípiosEstados'!$AK$2:$AL$168,2,FALSE),
  O131="Rio Grande do Sul",((W131*0.15)+(X131*0.7))*VLOOKUP(P131,'MunicípiosEstados'!$AM$2:$AN$498,2,FALSE),
  O131="Rio de Janeiro",((W131*0.15)+(X131*0.7))*VLOOKUP(P131,'MunicípiosEstados'!$AO$2:$AP$93,2,FALSE),
  O131="Rondônia",((W131*0.15)+(X131*0.7))*VLOOKUP(P131,'MunicípiosEstados'!$AQ$2:$AR$53,2,FALSE),
  O131="Roraima",((W131*0.15)+(X131*0.7))*VLOOKUP(P131,'MunicípiosEstados'!$AS$2:$AT$16,2,FALSE),
  O131="Santa Catarina",((W131*0.15)+(X131*0.7))*VLOOKUP(P131,'MunicípiosEstados'!$AU$2:$AV$296,2,FALSE),
  O131="São Paulo",((W131*0.15)+(X131*0.7))*VLOOKUP(P131,'MunicípiosEstados'!$AW$2:$AX$646,2,FALSE),
  O131="Sergipe",((W131*0.15)+(X131*0.7))*VLOOKUP(P131,'MunicípiosEstados'!$AY$2:$AZ$76,2,FALSE),
  O131="Tocantins",((W131*0.15)+(X131*0.7))*VLOOKUP(P131,'MunicípiosEstados'!$BA$2:$BB$140,2,FALSE),
  O131="Exterior",((W131*0.15)+(X131*0.7))*VLOOKUP(P131,'MunicípiosEstados'!$BC$2:$BE$221,3,FALSE),TRUE,0
)
</f>
        <v>871.65</v>
      </c>
      <c r="AL131" s="25">
        <f t="shared" si="3"/>
        <v>1534.45</v>
      </c>
    </row>
    <row r="132" ht="22.5" hidden="1" customHeight="1">
      <c r="A132" s="15">
        <f t="shared" si="1"/>
        <v>131</v>
      </c>
      <c r="B132" s="16">
        <v>45987.63107369213</v>
      </c>
      <c r="C132" s="17" t="s">
        <v>1041</v>
      </c>
      <c r="D132" s="27" t="s">
        <v>443</v>
      </c>
      <c r="E132" s="15" t="str">
        <f>VLOOKUP(G132,DiretoriaDepart.Coord.!$A$1:$C$72,2,FALSE)</f>
        <v>Pesquisa e Inovação</v>
      </c>
      <c r="F132" s="15" t="str">
        <f>VLOOKUP(G132,DiretoriaDepart.Coord.!$A$1:$C$72,3,FALSE)</f>
        <v>Inovação e Comunicação Científica</v>
      </c>
      <c r="G132" s="17" t="s">
        <v>477</v>
      </c>
      <c r="H132" s="15"/>
      <c r="I132" s="17" t="s">
        <v>1042</v>
      </c>
      <c r="J132" s="17" t="s">
        <v>490</v>
      </c>
      <c r="K132" s="17">
        <v>1.0</v>
      </c>
      <c r="L132" s="17" t="s">
        <v>1043</v>
      </c>
      <c r="M132" s="17" t="s">
        <v>1044</v>
      </c>
      <c r="N132" s="17">
        <v>0.0</v>
      </c>
      <c r="O132" s="17" t="s">
        <v>714</v>
      </c>
      <c r="P132" s="17" t="s">
        <v>138</v>
      </c>
      <c r="Q132" s="20">
        <v>45872.333333333336</v>
      </c>
      <c r="R132" s="20">
        <v>45875.75</v>
      </c>
      <c r="S132" s="17" t="s">
        <v>464</v>
      </c>
      <c r="T132" s="17" t="s">
        <v>452</v>
      </c>
      <c r="U132" s="21" t="s">
        <v>1045</v>
      </c>
      <c r="V132" s="21" t="s">
        <v>1046</v>
      </c>
      <c r="W132" s="22">
        <v>12.0</v>
      </c>
      <c r="X132" s="22">
        <v>5.0</v>
      </c>
      <c r="Y132" s="23">
        <v>1000.0</v>
      </c>
      <c r="Z132" s="23">
        <v>0.0</v>
      </c>
      <c r="AA132" s="24">
        <v>0.0</v>
      </c>
      <c r="AB132" s="24">
        <v>0.0</v>
      </c>
      <c r="AC132" s="24">
        <v>0.0</v>
      </c>
      <c r="AD132" s="23">
        <v>0.0</v>
      </c>
      <c r="AE132" s="24">
        <v>0.0</v>
      </c>
      <c r="AF132" s="17" t="s">
        <v>451</v>
      </c>
      <c r="AG132" s="17">
        <v>1000.0</v>
      </c>
      <c r="AH132" s="17" t="s">
        <v>451</v>
      </c>
      <c r="AI132" s="25">
        <f>IF(AF132="Sim",INT((R132-Q132+1))*K132*VLOOKUP(P132,'Tabelas Auxiliares'!$A$1:$C$400,3,FALSE),0)</f>
        <v>0</v>
      </c>
      <c r="AJ132" s="25">
        <f t="shared" si="2"/>
        <v>700</v>
      </c>
      <c r="AK132" s="25">
        <f>IFS(
  O132="Acre",((W132*0.15)+(X132*0.7))*VLOOKUP(P132,'MunicípiosEstados'!$A$2:$B$23,2,FALSE),
  O132="Alagoas",((W132*0.15)+(X132*0.7))*VLOOKUP(P132,'MunicípiosEstados'!$C$2:$D$103,2,FALSE),
  O132="Amapá",((W132*0.15)+(X132*0.7))*VLOOKUP(P132,'MunicípiosEstados'!$E$2:$F$17,2,FALSE),
  O132="Amazonas",((W132*0.15)+(X132*0.7))*VLOOKUP(P132,'MunicípiosEstados'!$G$2:$H$63,2,FALSE),
  O132="Bahia",((W132*0.15)+(X132*0.7))*VLOOKUP(P132,'MunicípiosEstados'!$I$2:$J$418,2,FALSE),
  O132="Ceará",((W132*0.15)+(X132*0.7))*VLOOKUP(P132,'MunicípiosEstados'!$K$2:$L$185,2,FALSE),
  O132="Distrito Federal",((W132*0.15)+(X132*0.7))*VLOOKUP(P132,'MunicípiosEstados'!$M$2:$N$2,2,FALSE),
  O132="Espírito Santo",((W132*0.15)+(X132*0.7))*VLOOKUP(P132,'MunicípiosEstados'!$O$2:$P$79,2,FALSE),
  O132="Goiás",((W132*0.15)+(X132*0.7))*VLOOKUP(P132,'MunicípiosEstados'!$Q$2:$R$247,2,FALSE),
  O132="Maranhão",((W132*0.15)+(X132*0.7))*VLOOKUP(P132,'MunicípiosEstados'!$S$2:$T$218,2,FALSE),
  O132="Mato Grosso",((W132*0.15)+(X132*0.7))*VLOOKUP(P132,'MunicípiosEstados'!$U$2:$V$143,2,FALSE),
  O132="Mato Grosso do Sul",((W132*0.15)+(X132*0.7))*VLOOKUP(P132,'MunicípiosEstados'!$W$2:$X$80,2,FALSE),
  O132="Minas Gerais",((W132*0.15)+(X132*0.7))*VLOOKUP(P132,'MunicípiosEstados'!$Y$2:$Z$854,2,FALSE),
  O132="Pará",((W132*0.15)+(X132*0.7))*VLOOKUP(P132,'MunicípiosEstados'!$AA$2:$AB$145,2,FALSE),
  O132="Paraíba",((W132*0.15)+(X132*0.7))*VLOOKUP(P132,'MunicípiosEstados'!$AC$2:$AD$224,2,FALSE),
  O132="Paraná",((W132*0.15)+(X132*0.7))*VLOOKUP(P132,'MunicípiosEstados'!$AE$2:$AF$400,2,FALSE),
  O132="Pernambuco",((W132*0.15)+(X132*0.7))*VLOOKUP(P132,'MunicípiosEstados'!$AG$2:$AH$186,2,FALSE),
  O132="Piauí",((W132*0.15)+(X132*0.7))*VLOOKUP(P132,'MunicípiosEstados'!$AI$2:$AJ$225,2,FALSE),
  O132="Rio Grande do Norte",((W132*0.15)+(X132*0.7))*VLOOKUP(P132,'MunicípiosEstados'!$AK$2:$AL$168,2,FALSE),
  O132="Rio Grande do Sul",((W132*0.15)+(X132*0.7))*VLOOKUP(P132,'MunicípiosEstados'!$AM$2:$AN$498,2,FALSE),
  O132="Rio de Janeiro",((W132*0.15)+(X132*0.7))*VLOOKUP(P132,'MunicípiosEstados'!$AO$2:$AP$93,2,FALSE),
  O132="Rondônia",((W132*0.15)+(X132*0.7))*VLOOKUP(P132,'MunicípiosEstados'!$AQ$2:$AR$53,2,FALSE),
  O132="Roraima",((W132*0.15)+(X132*0.7))*VLOOKUP(P132,'MunicípiosEstados'!$AS$2:$AT$16,2,FALSE),
  O132="Santa Catarina",((W132*0.15)+(X132*0.7))*VLOOKUP(P132,'MunicípiosEstados'!$AU$2:$AV$296,2,FALSE),
  O132="São Paulo",((W132*0.15)+(X132*0.7))*VLOOKUP(P132,'MunicípiosEstados'!$AW$2:$AX$646,2,FALSE),
  O132="Sergipe",((W132*0.15)+(X132*0.7))*VLOOKUP(P132,'MunicípiosEstados'!$AY$2:$AZ$76,2,FALSE),
  O132="Tocantins",((W132*0.15)+(X132*0.7))*VLOOKUP(P132,'MunicípiosEstados'!$BA$2:$BB$140,2,FALSE),
  O132="Exterior",((W132*0.15)+(X132*0.7))*VLOOKUP(P132,'MunicípiosEstados'!$BC$2:$BE$221,3,FALSE),TRUE,0
)
</f>
        <v>1539.915</v>
      </c>
      <c r="AL132" s="25">
        <f t="shared" si="3"/>
        <v>3239.915</v>
      </c>
      <c r="AN132" s="35"/>
    </row>
    <row r="133" ht="22.5" hidden="1" customHeight="1">
      <c r="A133" s="15">
        <f t="shared" si="1"/>
        <v>132</v>
      </c>
      <c r="B133" s="16">
        <v>45987.73952666667</v>
      </c>
      <c r="C133" s="17" t="s">
        <v>1041</v>
      </c>
      <c r="D133" s="27" t="s">
        <v>443</v>
      </c>
      <c r="E133" s="15" t="str">
        <f>VLOOKUP(G133,DiretoriaDepart.Coord.!$A$1:$C$72,2,FALSE)</f>
        <v>Pesquisa e Inovação</v>
      </c>
      <c r="F133" s="15" t="str">
        <f>VLOOKUP(G133,DiretoriaDepart.Coord.!$A$1:$C$72,3,FALSE)</f>
        <v>Inovação e Comunicação Científica</v>
      </c>
      <c r="G133" s="17" t="s">
        <v>477</v>
      </c>
      <c r="H133" s="15"/>
      <c r="I133" s="17" t="s">
        <v>1047</v>
      </c>
      <c r="J133" s="17" t="s">
        <v>737</v>
      </c>
      <c r="K133" s="17">
        <v>1.0</v>
      </c>
      <c r="L133" s="17" t="s">
        <v>1043</v>
      </c>
      <c r="M133" s="17" t="s">
        <v>1048</v>
      </c>
      <c r="N133" s="17">
        <v>0.0</v>
      </c>
      <c r="O133" s="17" t="s">
        <v>714</v>
      </c>
      <c r="P133" s="17" t="s">
        <v>18</v>
      </c>
      <c r="Q133" s="20">
        <v>45818.333333333336</v>
      </c>
      <c r="R133" s="20">
        <v>45819.75</v>
      </c>
      <c r="S133" s="17" t="s">
        <v>464</v>
      </c>
      <c r="T133" s="17" t="s">
        <v>452</v>
      </c>
      <c r="U133" s="21" t="s">
        <v>1049</v>
      </c>
      <c r="V133" s="21" t="s">
        <v>1050</v>
      </c>
      <c r="W133" s="22">
        <v>2.0</v>
      </c>
      <c r="X133" s="22">
        <v>0.0</v>
      </c>
      <c r="Y133" s="23">
        <v>1200.0</v>
      </c>
      <c r="Z133" s="23">
        <v>0.0</v>
      </c>
      <c r="AA133" s="24">
        <v>0.0</v>
      </c>
      <c r="AB133" s="24">
        <v>0.0</v>
      </c>
      <c r="AC133" s="24">
        <v>0.0</v>
      </c>
      <c r="AD133" s="23">
        <v>0.0</v>
      </c>
      <c r="AE133" s="24">
        <v>0.0</v>
      </c>
      <c r="AF133" s="17" t="s">
        <v>451</v>
      </c>
      <c r="AG133" s="17">
        <v>20.0</v>
      </c>
      <c r="AH133" s="17" t="s">
        <v>451</v>
      </c>
      <c r="AI133" s="25">
        <f>IF(AF133="Sim",INT((R133-Q133+1))*K133*VLOOKUP(P133,'Tabelas Auxiliares'!$A$1:$C$400,3,FALSE),0)</f>
        <v>0</v>
      </c>
      <c r="AJ133" s="25">
        <f t="shared" si="2"/>
        <v>14</v>
      </c>
      <c r="AK133" s="25">
        <f>IFS(
  O133="Acre",((W133*0.15)+(X133*0.7))*VLOOKUP(P133,'MunicípiosEstados'!$A$2:$B$23,2,FALSE),
  O133="Alagoas",((W133*0.15)+(X133*0.7))*VLOOKUP(P133,'MunicípiosEstados'!$C$2:$D$103,2,FALSE),
  O133="Amapá",((W133*0.15)+(X133*0.7))*VLOOKUP(P133,'MunicípiosEstados'!$E$2:$F$17,2,FALSE),
  O133="Amazonas",((W133*0.15)+(X133*0.7))*VLOOKUP(P133,'MunicípiosEstados'!$G$2:$H$63,2,FALSE),
  O133="Bahia",((W133*0.15)+(X133*0.7))*VLOOKUP(P133,'MunicípiosEstados'!$I$2:$J$418,2,FALSE),
  O133="Ceará",((W133*0.15)+(X133*0.7))*VLOOKUP(P133,'MunicípiosEstados'!$K$2:$L$185,2,FALSE),
  O133="Distrito Federal",((W133*0.15)+(X133*0.7))*VLOOKUP(P133,'MunicípiosEstados'!$M$2:$N$2,2,FALSE),
  O133="Espírito Santo",((W133*0.15)+(X133*0.7))*VLOOKUP(P133,'MunicípiosEstados'!$O$2:$P$79,2,FALSE),
  O133="Goiás",((W133*0.15)+(X133*0.7))*VLOOKUP(P133,'MunicípiosEstados'!$Q$2:$R$247,2,FALSE),
  O133="Maranhão",((W133*0.15)+(X133*0.7))*VLOOKUP(P133,'MunicípiosEstados'!$S$2:$T$218,2,FALSE),
  O133="Mato Grosso",((W133*0.15)+(X133*0.7))*VLOOKUP(P133,'MunicípiosEstados'!$U$2:$V$143,2,FALSE),
  O133="Mato Grosso do Sul",((W133*0.15)+(X133*0.7))*VLOOKUP(P133,'MunicípiosEstados'!$W$2:$X$80,2,FALSE),
  O133="Minas Gerais",((W133*0.15)+(X133*0.7))*VLOOKUP(P133,'MunicípiosEstados'!$Y$2:$Z$854,2,FALSE),
  O133="Pará",((W133*0.15)+(X133*0.7))*VLOOKUP(P133,'MunicípiosEstados'!$AA$2:$AB$145,2,FALSE),
  O133="Paraíba",((W133*0.15)+(X133*0.7))*VLOOKUP(P133,'MunicípiosEstados'!$AC$2:$AD$224,2,FALSE),
  O133="Paraná",((W133*0.15)+(X133*0.7))*VLOOKUP(P133,'MunicípiosEstados'!$AE$2:$AF$400,2,FALSE),
  O133="Pernambuco",((W133*0.15)+(X133*0.7))*VLOOKUP(P133,'MunicípiosEstados'!$AG$2:$AH$186,2,FALSE),
  O133="Piauí",((W133*0.15)+(X133*0.7))*VLOOKUP(P133,'MunicípiosEstados'!$AI$2:$AJ$225,2,FALSE),
  O133="Rio Grande do Norte",((W133*0.15)+(X133*0.7))*VLOOKUP(P133,'MunicípiosEstados'!$AK$2:$AL$168,2,FALSE),
  O133="Rio Grande do Sul",((W133*0.15)+(X133*0.7))*VLOOKUP(P133,'MunicípiosEstados'!$AM$2:$AN$498,2,FALSE),
  O133="Rio de Janeiro",((W133*0.15)+(X133*0.7))*VLOOKUP(P133,'MunicípiosEstados'!$AO$2:$AP$93,2,FALSE),
  O133="Rondônia",((W133*0.15)+(X133*0.7))*VLOOKUP(P133,'MunicípiosEstados'!$AQ$2:$AR$53,2,FALSE),
  O133="Roraima",((W133*0.15)+(X133*0.7))*VLOOKUP(P133,'MunicípiosEstados'!$AS$2:$AT$16,2,FALSE),
  O133="Santa Catarina",((W133*0.15)+(X133*0.7))*VLOOKUP(P133,'MunicípiosEstados'!$AU$2:$AV$296,2,FALSE),
  O133="São Paulo",((W133*0.15)+(X133*0.7))*VLOOKUP(P133,'MunicípiosEstados'!$AW$2:$AX$646,2,FALSE),
  O133="Sergipe",((W133*0.15)+(X133*0.7))*VLOOKUP(P133,'MunicípiosEstados'!$AY$2:$AZ$76,2,FALSE),
  O133="Tocantins",((W133*0.15)+(X133*0.7))*VLOOKUP(P133,'MunicípiosEstados'!$BA$2:$BB$140,2,FALSE),
  O133="Exterior",((W133*0.15)+(X133*0.7))*VLOOKUP(P133,'MunicípiosEstados'!$BC$2:$BE$221,3,FALSE),TRUE,0
)
</f>
        <v>87.165</v>
      </c>
      <c r="AL133" s="25">
        <f t="shared" si="3"/>
        <v>1301.165</v>
      </c>
      <c r="AN133" s="35"/>
    </row>
    <row r="134" ht="22.5" hidden="1" customHeight="1">
      <c r="A134" s="15">
        <f t="shared" si="1"/>
        <v>133</v>
      </c>
      <c r="B134" s="16">
        <v>45989.70209327547</v>
      </c>
      <c r="C134" s="17" t="s">
        <v>661</v>
      </c>
      <c r="D134" s="27" t="s">
        <v>443</v>
      </c>
      <c r="E134" s="15" t="str">
        <f>VLOOKUP(G134,DiretoriaDepart.Coord.!$A$1:$C$72,2,FALSE)</f>
        <v>Extensão Rural</v>
      </c>
      <c r="F134" s="15" t="str">
        <f>VLOOKUP(G134,DiretoriaDepart.Coord.!$A$1:$C$72,3,FALSE)</f>
        <v>Projetos e Cadeias Produtivas</v>
      </c>
      <c r="G134" s="17" t="s">
        <v>662</v>
      </c>
      <c r="H134" s="15"/>
      <c r="I134" s="17" t="s">
        <v>1051</v>
      </c>
      <c r="J134" s="17" t="s">
        <v>883</v>
      </c>
      <c r="K134" s="17">
        <v>35.0</v>
      </c>
      <c r="L134" s="15"/>
      <c r="M134" s="17" t="s">
        <v>770</v>
      </c>
      <c r="N134" s="17">
        <v>15.0</v>
      </c>
      <c r="O134" s="17" t="s">
        <v>714</v>
      </c>
      <c r="P134" s="17" t="s">
        <v>88</v>
      </c>
      <c r="Q134" s="20">
        <v>45824.541666666664</v>
      </c>
      <c r="R134" s="20">
        <v>45826.5</v>
      </c>
      <c r="S134" s="17" t="s">
        <v>451</v>
      </c>
      <c r="T134" s="17" t="s">
        <v>452</v>
      </c>
      <c r="U134" s="21" t="s">
        <v>1052</v>
      </c>
      <c r="V134" s="21" t="s">
        <v>1053</v>
      </c>
      <c r="W134" s="22">
        <v>140.0</v>
      </c>
      <c r="X134" s="22">
        <v>70.0</v>
      </c>
      <c r="Y134" s="23">
        <v>0.0</v>
      </c>
      <c r="Z134" s="23">
        <v>0.0</v>
      </c>
      <c r="AA134" s="24">
        <v>0.0</v>
      </c>
      <c r="AB134" s="24">
        <v>0.0</v>
      </c>
      <c r="AC134" s="24">
        <v>0.0</v>
      </c>
      <c r="AD134" s="23">
        <v>0.0</v>
      </c>
      <c r="AE134" s="24">
        <v>0.0</v>
      </c>
      <c r="AF134" s="17" t="s">
        <v>464</v>
      </c>
      <c r="AG134" s="17">
        <v>2000.0</v>
      </c>
      <c r="AH134" s="17" t="s">
        <v>464</v>
      </c>
      <c r="AI134" s="25">
        <f>IF(AF134="Sim",INT((R134-Q134+1))*K134*VLOOKUP(P134,'Tabelas Auxiliares'!$A$1:$C$400,3,FALSE),0)</f>
        <v>1510.6</v>
      </c>
      <c r="AJ134" s="25">
        <f t="shared" si="2"/>
        <v>1400</v>
      </c>
      <c r="AK134" s="25">
        <f>IFS(
  O134="Acre",((W134*0.15)+(X134*0.7))*VLOOKUP(P134,'MunicípiosEstados'!$A$2:$B$23,2,FALSE),
  O134="Alagoas",((W134*0.15)+(X134*0.7))*VLOOKUP(P134,'MunicípiosEstados'!$C$2:$D$103,2,FALSE),
  O134="Amapá",((W134*0.15)+(X134*0.7))*VLOOKUP(P134,'MunicípiosEstados'!$E$2:$F$17,2,FALSE),
  O134="Amazonas",((W134*0.15)+(X134*0.7))*VLOOKUP(P134,'MunicípiosEstados'!$G$2:$H$63,2,FALSE),
  O134="Bahia",((W134*0.15)+(X134*0.7))*VLOOKUP(P134,'MunicípiosEstados'!$I$2:$J$418,2,FALSE),
  O134="Ceará",((W134*0.15)+(X134*0.7))*VLOOKUP(P134,'MunicípiosEstados'!$K$2:$L$185,2,FALSE),
  O134="Distrito Federal",((W134*0.15)+(X134*0.7))*VLOOKUP(P134,'MunicípiosEstados'!$M$2:$N$2,2,FALSE),
  O134="Espírito Santo",((W134*0.15)+(X134*0.7))*VLOOKUP(P134,'MunicípiosEstados'!$O$2:$P$79,2,FALSE),
  O134="Goiás",((W134*0.15)+(X134*0.7))*VLOOKUP(P134,'MunicípiosEstados'!$Q$2:$R$247,2,FALSE),
  O134="Maranhão",((W134*0.15)+(X134*0.7))*VLOOKUP(P134,'MunicípiosEstados'!$S$2:$T$218,2,FALSE),
  O134="Mato Grosso",((W134*0.15)+(X134*0.7))*VLOOKUP(P134,'MunicípiosEstados'!$U$2:$V$143,2,FALSE),
  O134="Mato Grosso do Sul",((W134*0.15)+(X134*0.7))*VLOOKUP(P134,'MunicípiosEstados'!$W$2:$X$80,2,FALSE),
  O134="Minas Gerais",((W134*0.15)+(X134*0.7))*VLOOKUP(P134,'MunicípiosEstados'!$Y$2:$Z$854,2,FALSE),
  O134="Pará",((W134*0.15)+(X134*0.7))*VLOOKUP(P134,'MunicípiosEstados'!$AA$2:$AB$145,2,FALSE),
  O134="Paraíba",((W134*0.15)+(X134*0.7))*VLOOKUP(P134,'MunicípiosEstados'!$AC$2:$AD$224,2,FALSE),
  O134="Paraná",((W134*0.15)+(X134*0.7))*VLOOKUP(P134,'MunicípiosEstados'!$AE$2:$AF$400,2,FALSE),
  O134="Pernambuco",((W134*0.15)+(X134*0.7))*VLOOKUP(P134,'MunicípiosEstados'!$AG$2:$AH$186,2,FALSE),
  O134="Piauí",((W134*0.15)+(X134*0.7))*VLOOKUP(P134,'MunicípiosEstados'!$AI$2:$AJ$225,2,FALSE),
  O134="Rio Grande do Norte",((W134*0.15)+(X134*0.7))*VLOOKUP(P134,'MunicípiosEstados'!$AK$2:$AL$168,2,FALSE),
  O134="Rio Grande do Sul",((W134*0.15)+(X134*0.7))*VLOOKUP(P134,'MunicípiosEstados'!$AM$2:$AN$498,2,FALSE),
  O134="Rio de Janeiro",((W134*0.15)+(X134*0.7))*VLOOKUP(P134,'MunicípiosEstados'!$AO$2:$AP$93,2,FALSE),
  O134="Rondônia",((W134*0.15)+(X134*0.7))*VLOOKUP(P134,'MunicípiosEstados'!$AQ$2:$AR$53,2,FALSE),
  O134="Roraima",((W134*0.15)+(X134*0.7))*VLOOKUP(P134,'MunicípiosEstados'!$AS$2:$AT$16,2,FALSE),
  O134="Santa Catarina",((W134*0.15)+(X134*0.7))*VLOOKUP(P134,'MunicípiosEstados'!$AU$2:$AV$296,2,FALSE),
  O134="São Paulo",((W134*0.15)+(X134*0.7))*VLOOKUP(P134,'MunicípiosEstados'!$AW$2:$AX$646,2,FALSE),
  O134="Sergipe",((W134*0.15)+(X134*0.7))*VLOOKUP(P134,'MunicípiosEstados'!$AY$2:$AZ$76,2,FALSE),
  O134="Tocantins",((W134*0.15)+(X134*0.7))*VLOOKUP(P134,'MunicípiosEstados'!$BA$2:$BB$140,2,FALSE),
  O134="Exterior",((W134*0.15)+(X134*0.7))*VLOOKUP(P134,'MunicípiosEstados'!$BC$2:$BE$221,3,FALSE),TRUE,0
)
</f>
        <v>20338.5</v>
      </c>
      <c r="AL134" s="25">
        <f t="shared" si="3"/>
        <v>23249.1</v>
      </c>
    </row>
    <row r="135" ht="22.5" hidden="1" customHeight="1">
      <c r="A135" s="15">
        <f t="shared" si="1"/>
        <v>134</v>
      </c>
      <c r="B135" s="16">
        <v>45988.35104815972</v>
      </c>
      <c r="C135" s="17" t="s">
        <v>661</v>
      </c>
      <c r="D135" s="27" t="s">
        <v>443</v>
      </c>
      <c r="E135" s="15" t="str">
        <f>VLOOKUP(G135,DiretoriaDepart.Coord.!$A$1:$C$72,2,FALSE)</f>
        <v>Extensão Rural</v>
      </c>
      <c r="F135" s="15" t="str">
        <f>VLOOKUP(G135,DiretoriaDepart.Coord.!$A$1:$C$72,3,FALSE)</f>
        <v>Projetos e Cadeias Produtivas</v>
      </c>
      <c r="G135" s="17" t="s">
        <v>662</v>
      </c>
      <c r="H135" s="15"/>
      <c r="I135" s="17" t="s">
        <v>1054</v>
      </c>
      <c r="J135" s="17" t="s">
        <v>883</v>
      </c>
      <c r="K135" s="17">
        <v>35.0</v>
      </c>
      <c r="L135" s="15"/>
      <c r="M135" s="17" t="s">
        <v>770</v>
      </c>
      <c r="N135" s="17">
        <v>15.0</v>
      </c>
      <c r="O135" s="17" t="s">
        <v>714</v>
      </c>
      <c r="P135" s="17" t="s">
        <v>18</v>
      </c>
      <c r="Q135" s="20">
        <v>45915.541666666664</v>
      </c>
      <c r="R135" s="20">
        <v>45917.5</v>
      </c>
      <c r="S135" s="17" t="s">
        <v>451</v>
      </c>
      <c r="T135" s="17" t="s">
        <v>452</v>
      </c>
      <c r="U135" s="21" t="s">
        <v>1055</v>
      </c>
      <c r="V135" s="21" t="s">
        <v>1056</v>
      </c>
      <c r="W135" s="22">
        <v>140.0</v>
      </c>
      <c r="X135" s="22">
        <v>70.0</v>
      </c>
      <c r="Y135" s="23">
        <v>0.0</v>
      </c>
      <c r="Z135" s="23">
        <v>0.0</v>
      </c>
      <c r="AA135" s="24">
        <v>0.0</v>
      </c>
      <c r="AB135" s="24">
        <v>0.0</v>
      </c>
      <c r="AC135" s="24">
        <v>0.0</v>
      </c>
      <c r="AD135" s="23">
        <v>0.0</v>
      </c>
      <c r="AE135" s="24">
        <v>0.0</v>
      </c>
      <c r="AF135" s="17" t="s">
        <v>464</v>
      </c>
      <c r="AG135" s="17">
        <v>2000.0</v>
      </c>
      <c r="AH135" s="17" t="s">
        <v>464</v>
      </c>
      <c r="AI135" s="25">
        <f>IF(AF135="Sim",INT((R135-Q135+1))*K135*VLOOKUP(P135,'Tabelas Auxiliares'!$A$1:$C$400,3,FALSE),0)</f>
        <v>1584.8</v>
      </c>
      <c r="AJ135" s="25">
        <f t="shared" si="2"/>
        <v>1400</v>
      </c>
      <c r="AK135" s="25">
        <f>IFS(
  O135="Acre",((W135*0.15)+(X135*0.7))*VLOOKUP(P135,'MunicípiosEstados'!$A$2:$B$23,2,FALSE),
  O135="Alagoas",((W135*0.15)+(X135*0.7))*VLOOKUP(P135,'MunicípiosEstados'!$C$2:$D$103,2,FALSE),
  O135="Amapá",((W135*0.15)+(X135*0.7))*VLOOKUP(P135,'MunicípiosEstados'!$E$2:$F$17,2,FALSE),
  O135="Amazonas",((W135*0.15)+(X135*0.7))*VLOOKUP(P135,'MunicípiosEstados'!$G$2:$H$63,2,FALSE),
  O135="Bahia",((W135*0.15)+(X135*0.7))*VLOOKUP(P135,'MunicípiosEstados'!$I$2:$J$418,2,FALSE),
  O135="Ceará",((W135*0.15)+(X135*0.7))*VLOOKUP(P135,'MunicípiosEstados'!$K$2:$L$185,2,FALSE),
  O135="Distrito Federal",((W135*0.15)+(X135*0.7))*VLOOKUP(P135,'MunicípiosEstados'!$M$2:$N$2,2,FALSE),
  O135="Espírito Santo",((W135*0.15)+(X135*0.7))*VLOOKUP(P135,'MunicípiosEstados'!$O$2:$P$79,2,FALSE),
  O135="Goiás",((W135*0.15)+(X135*0.7))*VLOOKUP(P135,'MunicípiosEstados'!$Q$2:$R$247,2,FALSE),
  O135="Maranhão",((W135*0.15)+(X135*0.7))*VLOOKUP(P135,'MunicípiosEstados'!$S$2:$T$218,2,FALSE),
  O135="Mato Grosso",((W135*0.15)+(X135*0.7))*VLOOKUP(P135,'MunicípiosEstados'!$U$2:$V$143,2,FALSE),
  O135="Mato Grosso do Sul",((W135*0.15)+(X135*0.7))*VLOOKUP(P135,'MunicípiosEstados'!$W$2:$X$80,2,FALSE),
  O135="Minas Gerais",((W135*0.15)+(X135*0.7))*VLOOKUP(P135,'MunicípiosEstados'!$Y$2:$Z$854,2,FALSE),
  O135="Pará",((W135*0.15)+(X135*0.7))*VLOOKUP(P135,'MunicípiosEstados'!$AA$2:$AB$145,2,FALSE),
  O135="Paraíba",((W135*0.15)+(X135*0.7))*VLOOKUP(P135,'MunicípiosEstados'!$AC$2:$AD$224,2,FALSE),
  O135="Paraná",((W135*0.15)+(X135*0.7))*VLOOKUP(P135,'MunicípiosEstados'!$AE$2:$AF$400,2,FALSE),
  O135="Pernambuco",((W135*0.15)+(X135*0.7))*VLOOKUP(P135,'MunicípiosEstados'!$AG$2:$AH$186,2,FALSE),
  O135="Piauí",((W135*0.15)+(X135*0.7))*VLOOKUP(P135,'MunicípiosEstados'!$AI$2:$AJ$225,2,FALSE),
  O135="Rio Grande do Norte",((W135*0.15)+(X135*0.7))*VLOOKUP(P135,'MunicípiosEstados'!$AK$2:$AL$168,2,FALSE),
  O135="Rio Grande do Sul",((W135*0.15)+(X135*0.7))*VLOOKUP(P135,'MunicípiosEstados'!$AM$2:$AN$498,2,FALSE),
  O135="Rio de Janeiro",((W135*0.15)+(X135*0.7))*VLOOKUP(P135,'MunicípiosEstados'!$AO$2:$AP$93,2,FALSE),
  O135="Rondônia",((W135*0.15)+(X135*0.7))*VLOOKUP(P135,'MunicípiosEstados'!$AQ$2:$AR$53,2,FALSE),
  O135="Roraima",((W135*0.15)+(X135*0.7))*VLOOKUP(P135,'MunicípiosEstados'!$AS$2:$AT$16,2,FALSE),
  O135="Santa Catarina",((W135*0.15)+(X135*0.7))*VLOOKUP(P135,'MunicípiosEstados'!$AU$2:$AV$296,2,FALSE),
  O135="São Paulo",((W135*0.15)+(X135*0.7))*VLOOKUP(P135,'MunicípiosEstados'!$AW$2:$AX$646,2,FALSE),
  O135="Sergipe",((W135*0.15)+(X135*0.7))*VLOOKUP(P135,'MunicípiosEstados'!$AY$2:$AZ$76,2,FALSE),
  O135="Tocantins",((W135*0.15)+(X135*0.7))*VLOOKUP(P135,'MunicípiosEstados'!$BA$2:$BB$140,2,FALSE),
  O135="Exterior",((W135*0.15)+(X135*0.7))*VLOOKUP(P135,'MunicípiosEstados'!$BC$2:$BE$221,3,FALSE),TRUE,0
)
</f>
        <v>20338.5</v>
      </c>
      <c r="AL135" s="25">
        <f t="shared" si="3"/>
        <v>23323.3</v>
      </c>
    </row>
    <row r="136" ht="22.5" hidden="1" customHeight="1">
      <c r="A136" s="15">
        <f t="shared" si="1"/>
        <v>135</v>
      </c>
      <c r="B136" s="16">
        <v>45988.3649525</v>
      </c>
      <c r="C136" s="17" t="s">
        <v>661</v>
      </c>
      <c r="D136" s="27" t="s">
        <v>443</v>
      </c>
      <c r="E136" s="15" t="str">
        <f>VLOOKUP(G136,DiretoriaDepart.Coord.!$A$1:$C$72,2,FALSE)</f>
        <v>Extensão Rural</v>
      </c>
      <c r="F136" s="15" t="str">
        <f>VLOOKUP(G136,DiretoriaDepart.Coord.!$A$1:$C$72,3,FALSE)</f>
        <v>Projetos e Cadeias Produtivas</v>
      </c>
      <c r="G136" s="17" t="s">
        <v>662</v>
      </c>
      <c r="H136" s="15"/>
      <c r="I136" s="17" t="s">
        <v>1057</v>
      </c>
      <c r="J136" s="17" t="s">
        <v>942</v>
      </c>
      <c r="K136" s="17">
        <v>10.0</v>
      </c>
      <c r="L136" s="15"/>
      <c r="M136" s="17" t="s">
        <v>1058</v>
      </c>
      <c r="N136" s="17">
        <v>2.0</v>
      </c>
      <c r="O136" s="17" t="s">
        <v>714</v>
      </c>
      <c r="P136" s="17" t="s">
        <v>18</v>
      </c>
      <c r="Q136" s="20">
        <v>45956.5</v>
      </c>
      <c r="R136" s="20">
        <v>45960.708333333336</v>
      </c>
      <c r="S136" s="17" t="s">
        <v>451</v>
      </c>
      <c r="T136" s="17" t="s">
        <v>452</v>
      </c>
      <c r="U136" s="21" t="s">
        <v>1059</v>
      </c>
      <c r="V136" s="21" t="s">
        <v>1060</v>
      </c>
      <c r="W136" s="22">
        <v>102.0</v>
      </c>
      <c r="X136" s="22">
        <v>42.0</v>
      </c>
      <c r="Y136" s="23">
        <v>0.0</v>
      </c>
      <c r="Z136" s="23">
        <v>0.0</v>
      </c>
      <c r="AA136" s="24">
        <v>0.0</v>
      </c>
      <c r="AB136" s="24">
        <v>0.0</v>
      </c>
      <c r="AC136" s="24">
        <v>0.0</v>
      </c>
      <c r="AD136" s="23">
        <v>0.0</v>
      </c>
      <c r="AE136" s="24">
        <v>0.0</v>
      </c>
      <c r="AF136" s="17" t="s">
        <v>451</v>
      </c>
      <c r="AG136" s="17">
        <v>2000.0</v>
      </c>
      <c r="AH136" s="17" t="s">
        <v>464</v>
      </c>
      <c r="AI136" s="25">
        <f>IF(AF136="Sim",INT((R136-Q136+1))*K136*VLOOKUP(P136,'Tabelas Auxiliares'!$A$1:$C$400,3,FALSE),0)</f>
        <v>0</v>
      </c>
      <c r="AJ136" s="25">
        <f t="shared" si="2"/>
        <v>1400</v>
      </c>
      <c r="AK136" s="25">
        <f>IFS(
  O136="Acre",((W136*0.15)+(X136*0.7))*VLOOKUP(P136,'MunicípiosEstados'!$A$2:$B$23,2,FALSE),
  O136="Alagoas",((W136*0.15)+(X136*0.7))*VLOOKUP(P136,'MunicípiosEstados'!$C$2:$D$103,2,FALSE),
  O136="Amapá",((W136*0.15)+(X136*0.7))*VLOOKUP(P136,'MunicípiosEstados'!$E$2:$F$17,2,FALSE),
  O136="Amazonas",((W136*0.15)+(X136*0.7))*VLOOKUP(P136,'MunicípiosEstados'!$G$2:$H$63,2,FALSE),
  O136="Bahia",((W136*0.15)+(X136*0.7))*VLOOKUP(P136,'MunicípiosEstados'!$I$2:$J$418,2,FALSE),
  O136="Ceará",((W136*0.15)+(X136*0.7))*VLOOKUP(P136,'MunicípiosEstados'!$K$2:$L$185,2,FALSE),
  O136="Distrito Federal",((W136*0.15)+(X136*0.7))*VLOOKUP(P136,'MunicípiosEstados'!$M$2:$N$2,2,FALSE),
  O136="Espírito Santo",((W136*0.15)+(X136*0.7))*VLOOKUP(P136,'MunicípiosEstados'!$O$2:$P$79,2,FALSE),
  O136="Goiás",((W136*0.15)+(X136*0.7))*VLOOKUP(P136,'MunicípiosEstados'!$Q$2:$R$247,2,FALSE),
  O136="Maranhão",((W136*0.15)+(X136*0.7))*VLOOKUP(P136,'MunicípiosEstados'!$S$2:$T$218,2,FALSE),
  O136="Mato Grosso",((W136*0.15)+(X136*0.7))*VLOOKUP(P136,'MunicípiosEstados'!$U$2:$V$143,2,FALSE),
  O136="Mato Grosso do Sul",((W136*0.15)+(X136*0.7))*VLOOKUP(P136,'MunicípiosEstados'!$W$2:$X$80,2,FALSE),
  O136="Minas Gerais",((W136*0.15)+(X136*0.7))*VLOOKUP(P136,'MunicípiosEstados'!$Y$2:$Z$854,2,FALSE),
  O136="Pará",((W136*0.15)+(X136*0.7))*VLOOKUP(P136,'MunicípiosEstados'!$AA$2:$AB$145,2,FALSE),
  O136="Paraíba",((W136*0.15)+(X136*0.7))*VLOOKUP(P136,'MunicípiosEstados'!$AC$2:$AD$224,2,FALSE),
  O136="Paraná",((W136*0.15)+(X136*0.7))*VLOOKUP(P136,'MunicípiosEstados'!$AE$2:$AF$400,2,FALSE),
  O136="Pernambuco",((W136*0.15)+(X136*0.7))*VLOOKUP(P136,'MunicípiosEstados'!$AG$2:$AH$186,2,FALSE),
  O136="Piauí",((W136*0.15)+(X136*0.7))*VLOOKUP(P136,'MunicípiosEstados'!$AI$2:$AJ$225,2,FALSE),
  O136="Rio Grande do Norte",((W136*0.15)+(X136*0.7))*VLOOKUP(P136,'MunicípiosEstados'!$AK$2:$AL$168,2,FALSE),
  O136="Rio Grande do Sul",((W136*0.15)+(X136*0.7))*VLOOKUP(P136,'MunicípiosEstados'!$AM$2:$AN$498,2,FALSE),
  O136="Rio de Janeiro",((W136*0.15)+(X136*0.7))*VLOOKUP(P136,'MunicípiosEstados'!$AO$2:$AP$93,2,FALSE),
  O136="Rondônia",((W136*0.15)+(X136*0.7))*VLOOKUP(P136,'MunicípiosEstados'!$AQ$2:$AR$53,2,FALSE),
  O136="Roraima",((W136*0.15)+(X136*0.7))*VLOOKUP(P136,'MunicípiosEstados'!$AS$2:$AT$16,2,FALSE),
  O136="Santa Catarina",((W136*0.15)+(X136*0.7))*VLOOKUP(P136,'MunicípiosEstados'!$AU$2:$AV$296,2,FALSE),
  O136="São Paulo",((W136*0.15)+(X136*0.7))*VLOOKUP(P136,'MunicípiosEstados'!$AW$2:$AX$646,2,FALSE),
  O136="Sergipe",((W136*0.15)+(X136*0.7))*VLOOKUP(P136,'MunicípiosEstados'!$AY$2:$AZ$76,2,FALSE),
  O136="Tocantins",((W136*0.15)+(X136*0.7))*VLOOKUP(P136,'MunicípiosEstados'!$BA$2:$BB$140,2,FALSE),
  O136="Exterior",((W136*0.15)+(X136*0.7))*VLOOKUP(P136,'MunicípiosEstados'!$BC$2:$BE$221,3,FALSE),TRUE,0
)
</f>
        <v>12987.585</v>
      </c>
      <c r="AL136" s="25">
        <f t="shared" si="3"/>
        <v>14387.585</v>
      </c>
    </row>
    <row r="137" ht="22.5" hidden="1" customHeight="1">
      <c r="A137" s="15">
        <f t="shared" si="1"/>
        <v>136</v>
      </c>
      <c r="B137" s="16">
        <v>45988.36518798611</v>
      </c>
      <c r="C137" s="17" t="s">
        <v>487</v>
      </c>
      <c r="D137" s="27" t="s">
        <v>443</v>
      </c>
      <c r="E137" s="15" t="str">
        <f>VLOOKUP(G137,DiretoriaDepart.Coord.!$A$1:$C$72,2,FALSE)</f>
        <v>Extensão Rural</v>
      </c>
      <c r="F137" s="15" t="str">
        <f>VLOOKUP(G137,DiretoriaDepart.Coord.!$A$1:$C$72,3,FALSE)</f>
        <v>Projetos e Cadeias Produtivas</v>
      </c>
      <c r="G137" s="17" t="s">
        <v>488</v>
      </c>
      <c r="H137" s="15"/>
      <c r="I137" s="17" t="s">
        <v>1061</v>
      </c>
      <c r="J137" s="17" t="s">
        <v>728</v>
      </c>
      <c r="K137" s="17">
        <v>40.0</v>
      </c>
      <c r="L137" s="15"/>
      <c r="M137" s="17" t="s">
        <v>1062</v>
      </c>
      <c r="N137" s="17">
        <v>10.0</v>
      </c>
      <c r="O137" s="17" t="s">
        <v>714</v>
      </c>
      <c r="P137" s="17" t="s">
        <v>58</v>
      </c>
      <c r="Q137" s="20">
        <v>45747.333333333336</v>
      </c>
      <c r="R137" s="20">
        <v>45748.708333333336</v>
      </c>
      <c r="S137" s="17" t="s">
        <v>451</v>
      </c>
      <c r="T137" s="17" t="s">
        <v>452</v>
      </c>
      <c r="U137" s="21" t="s">
        <v>1063</v>
      </c>
      <c r="V137" s="21" t="s">
        <v>1064</v>
      </c>
      <c r="W137" s="22">
        <v>280.0</v>
      </c>
      <c r="X137" s="22">
        <v>100.0</v>
      </c>
      <c r="Y137" s="23">
        <v>0.0</v>
      </c>
      <c r="Z137" s="23">
        <v>0.0</v>
      </c>
      <c r="AA137" s="24">
        <v>0.0</v>
      </c>
      <c r="AB137" s="24">
        <v>0.0</v>
      </c>
      <c r="AC137" s="24">
        <v>0.0</v>
      </c>
      <c r="AD137" s="23">
        <v>0.0</v>
      </c>
      <c r="AE137" s="24">
        <v>0.0</v>
      </c>
      <c r="AF137" s="17" t="s">
        <v>464</v>
      </c>
      <c r="AG137" s="17">
        <v>10000.0</v>
      </c>
      <c r="AH137" s="17" t="s">
        <v>451</v>
      </c>
      <c r="AI137" s="25">
        <f>IF(AF137="Sim",INT((R137-Q137+1))*K137*VLOOKUP(P137,'Tabelas Auxiliares'!$A$1:$C$400,3,FALSE),0)</f>
        <v>1811.2</v>
      </c>
      <c r="AJ137" s="25">
        <f t="shared" si="2"/>
        <v>7000</v>
      </c>
      <c r="AK137" s="25">
        <f>IFS(
  O137="Acre",((W137*0.15)+(X137*0.7))*VLOOKUP(P137,'MunicípiosEstados'!$A$2:$B$23,2,FALSE),
  O137="Alagoas",((W137*0.15)+(X137*0.7))*VLOOKUP(P137,'MunicípiosEstados'!$C$2:$D$103,2,FALSE),
  O137="Amapá",((W137*0.15)+(X137*0.7))*VLOOKUP(P137,'MunicípiosEstados'!$E$2:$F$17,2,FALSE),
  O137="Amazonas",((W137*0.15)+(X137*0.7))*VLOOKUP(P137,'MunicípiosEstados'!$G$2:$H$63,2,FALSE),
  O137="Bahia",((W137*0.15)+(X137*0.7))*VLOOKUP(P137,'MunicípiosEstados'!$I$2:$J$418,2,FALSE),
  O137="Ceará",((W137*0.15)+(X137*0.7))*VLOOKUP(P137,'MunicípiosEstados'!$K$2:$L$185,2,FALSE),
  O137="Distrito Federal",((W137*0.15)+(X137*0.7))*VLOOKUP(P137,'MunicípiosEstados'!$M$2:$N$2,2,FALSE),
  O137="Espírito Santo",((W137*0.15)+(X137*0.7))*VLOOKUP(P137,'MunicípiosEstados'!$O$2:$P$79,2,FALSE),
  O137="Goiás",((W137*0.15)+(X137*0.7))*VLOOKUP(P137,'MunicípiosEstados'!$Q$2:$R$247,2,FALSE),
  O137="Maranhão",((W137*0.15)+(X137*0.7))*VLOOKUP(P137,'MunicípiosEstados'!$S$2:$T$218,2,FALSE),
  O137="Mato Grosso",((W137*0.15)+(X137*0.7))*VLOOKUP(P137,'MunicípiosEstados'!$U$2:$V$143,2,FALSE),
  O137="Mato Grosso do Sul",((W137*0.15)+(X137*0.7))*VLOOKUP(P137,'MunicípiosEstados'!$W$2:$X$80,2,FALSE),
  O137="Minas Gerais",((W137*0.15)+(X137*0.7))*VLOOKUP(P137,'MunicípiosEstados'!$Y$2:$Z$854,2,FALSE),
  O137="Pará",((W137*0.15)+(X137*0.7))*VLOOKUP(P137,'MunicípiosEstados'!$AA$2:$AB$145,2,FALSE),
  O137="Paraíba",((W137*0.15)+(X137*0.7))*VLOOKUP(P137,'MunicípiosEstados'!$AC$2:$AD$224,2,FALSE),
  O137="Paraná",((W137*0.15)+(X137*0.7))*VLOOKUP(P137,'MunicípiosEstados'!$AE$2:$AF$400,2,FALSE),
  O137="Pernambuco",((W137*0.15)+(X137*0.7))*VLOOKUP(P137,'MunicípiosEstados'!$AG$2:$AH$186,2,FALSE),
  O137="Piauí",((W137*0.15)+(X137*0.7))*VLOOKUP(P137,'MunicípiosEstados'!$AI$2:$AJ$225,2,FALSE),
  O137="Rio Grande do Norte",((W137*0.15)+(X137*0.7))*VLOOKUP(P137,'MunicípiosEstados'!$AK$2:$AL$168,2,FALSE),
  O137="Rio Grande do Sul",((W137*0.15)+(X137*0.7))*VLOOKUP(P137,'MunicípiosEstados'!$AM$2:$AN$498,2,FALSE),
  O137="Rio de Janeiro",((W137*0.15)+(X137*0.7))*VLOOKUP(P137,'MunicípiosEstados'!$AO$2:$AP$93,2,FALSE),
  O137="Rondônia",((W137*0.15)+(X137*0.7))*VLOOKUP(P137,'MunicípiosEstados'!$AQ$2:$AR$53,2,FALSE),
  O137="Roraima",((W137*0.15)+(X137*0.7))*VLOOKUP(P137,'MunicípiosEstados'!$AS$2:$AT$16,2,FALSE),
  O137="Santa Catarina",((W137*0.15)+(X137*0.7))*VLOOKUP(P137,'MunicípiosEstados'!$AU$2:$AV$296,2,FALSE),
  O137="São Paulo",((W137*0.15)+(X137*0.7))*VLOOKUP(P137,'MunicípiosEstados'!$AW$2:$AX$646,2,FALSE),
  O137="Sergipe",((W137*0.15)+(X137*0.7))*VLOOKUP(P137,'MunicípiosEstados'!$AY$2:$AZ$76,2,FALSE),
  O137="Tocantins",((W137*0.15)+(X137*0.7))*VLOOKUP(P137,'MunicípiosEstados'!$BA$2:$BB$140,2,FALSE),
  O137="Exterior",((W137*0.15)+(X137*0.7))*VLOOKUP(P137,'MunicípiosEstados'!$BC$2:$BE$221,3,FALSE),TRUE,0
)
</f>
        <v>32541.6</v>
      </c>
      <c r="AL137" s="25">
        <f t="shared" si="3"/>
        <v>41352.8</v>
      </c>
    </row>
    <row r="138" ht="22.5" hidden="1" customHeight="1">
      <c r="A138" s="15">
        <f t="shared" si="1"/>
        <v>137</v>
      </c>
      <c r="B138" s="16">
        <v>45988.36981425926</v>
      </c>
      <c r="C138" s="17" t="s">
        <v>487</v>
      </c>
      <c r="D138" s="27" t="s">
        <v>443</v>
      </c>
      <c r="E138" s="15" t="str">
        <f>VLOOKUP(G138,DiretoriaDepart.Coord.!$A$1:$C$72,2,FALSE)</f>
        <v>Extensão Rural</v>
      </c>
      <c r="F138" s="15" t="str">
        <f>VLOOKUP(G138,DiretoriaDepart.Coord.!$A$1:$C$72,3,FALSE)</f>
        <v>Projetos e Cadeias Produtivas</v>
      </c>
      <c r="G138" s="17" t="s">
        <v>488</v>
      </c>
      <c r="H138" s="15"/>
      <c r="I138" s="17" t="s">
        <v>1065</v>
      </c>
      <c r="J138" s="17" t="s">
        <v>728</v>
      </c>
      <c r="K138" s="17">
        <v>20.0</v>
      </c>
      <c r="L138" s="15"/>
      <c r="M138" s="17" t="s">
        <v>1066</v>
      </c>
      <c r="N138" s="17">
        <v>0.0</v>
      </c>
      <c r="O138" s="17" t="s">
        <v>714</v>
      </c>
      <c r="P138" s="17" t="s">
        <v>21</v>
      </c>
      <c r="Q138" s="20">
        <v>45761.333333333336</v>
      </c>
      <c r="R138" s="20">
        <v>45761.708333333336</v>
      </c>
      <c r="S138" s="17" t="s">
        <v>451</v>
      </c>
      <c r="T138" s="17" t="s">
        <v>452</v>
      </c>
      <c r="U138" s="21" t="s">
        <v>1067</v>
      </c>
      <c r="V138" s="21" t="s">
        <v>1068</v>
      </c>
      <c r="W138" s="22">
        <v>30.0</v>
      </c>
      <c r="X138" s="22">
        <v>10.0</v>
      </c>
      <c r="Y138" s="23">
        <v>0.0</v>
      </c>
      <c r="Z138" s="23">
        <v>0.0</v>
      </c>
      <c r="AA138" s="24">
        <v>0.0</v>
      </c>
      <c r="AB138" s="24">
        <v>0.0</v>
      </c>
      <c r="AC138" s="24">
        <v>0.0</v>
      </c>
      <c r="AD138" s="23">
        <v>0.0</v>
      </c>
      <c r="AE138" s="24">
        <v>0.0</v>
      </c>
      <c r="AF138" s="17" t="s">
        <v>464</v>
      </c>
      <c r="AG138" s="17">
        <v>2000.0</v>
      </c>
      <c r="AH138" s="17" t="s">
        <v>451</v>
      </c>
      <c r="AI138" s="25">
        <f>IF(AF138="Sim",INT((R138-Q138+1))*K138*VLOOKUP(P138,'Tabelas Auxiliares'!$A$1:$C$400,3,FALSE),0)</f>
        <v>426.6</v>
      </c>
      <c r="AJ138" s="25">
        <f t="shared" si="2"/>
        <v>1400</v>
      </c>
      <c r="AK138" s="25">
        <f>IFS(
  O138="Acre",((W138*0.15)+(X138*0.7))*VLOOKUP(P138,'MunicípiosEstados'!$A$2:$B$23,2,FALSE),
  O138="Alagoas",((W138*0.15)+(X138*0.7))*VLOOKUP(P138,'MunicípiosEstados'!$C$2:$D$103,2,FALSE),
  O138="Amapá",((W138*0.15)+(X138*0.7))*VLOOKUP(P138,'MunicípiosEstados'!$E$2:$F$17,2,FALSE),
  O138="Amazonas",((W138*0.15)+(X138*0.7))*VLOOKUP(P138,'MunicípiosEstados'!$G$2:$H$63,2,FALSE),
  O138="Bahia",((W138*0.15)+(X138*0.7))*VLOOKUP(P138,'MunicípiosEstados'!$I$2:$J$418,2,FALSE),
  O138="Ceará",((W138*0.15)+(X138*0.7))*VLOOKUP(P138,'MunicípiosEstados'!$K$2:$L$185,2,FALSE),
  O138="Distrito Federal",((W138*0.15)+(X138*0.7))*VLOOKUP(P138,'MunicípiosEstados'!$M$2:$N$2,2,FALSE),
  O138="Espírito Santo",((W138*0.15)+(X138*0.7))*VLOOKUP(P138,'MunicípiosEstados'!$O$2:$P$79,2,FALSE),
  O138="Goiás",((W138*0.15)+(X138*0.7))*VLOOKUP(P138,'MunicípiosEstados'!$Q$2:$R$247,2,FALSE),
  O138="Maranhão",((W138*0.15)+(X138*0.7))*VLOOKUP(P138,'MunicípiosEstados'!$S$2:$T$218,2,FALSE),
  O138="Mato Grosso",((W138*0.15)+(X138*0.7))*VLOOKUP(P138,'MunicípiosEstados'!$U$2:$V$143,2,FALSE),
  O138="Mato Grosso do Sul",((W138*0.15)+(X138*0.7))*VLOOKUP(P138,'MunicípiosEstados'!$W$2:$X$80,2,FALSE),
  O138="Minas Gerais",((W138*0.15)+(X138*0.7))*VLOOKUP(P138,'MunicípiosEstados'!$Y$2:$Z$854,2,FALSE),
  O138="Pará",((W138*0.15)+(X138*0.7))*VLOOKUP(P138,'MunicípiosEstados'!$AA$2:$AB$145,2,FALSE),
  O138="Paraíba",((W138*0.15)+(X138*0.7))*VLOOKUP(P138,'MunicípiosEstados'!$AC$2:$AD$224,2,FALSE),
  O138="Paraná",((W138*0.15)+(X138*0.7))*VLOOKUP(P138,'MunicípiosEstados'!$AE$2:$AF$400,2,FALSE),
  O138="Pernambuco",((W138*0.15)+(X138*0.7))*VLOOKUP(P138,'MunicípiosEstados'!$AG$2:$AH$186,2,FALSE),
  O138="Piauí",((W138*0.15)+(X138*0.7))*VLOOKUP(P138,'MunicípiosEstados'!$AI$2:$AJ$225,2,FALSE),
  O138="Rio Grande do Norte",((W138*0.15)+(X138*0.7))*VLOOKUP(P138,'MunicípiosEstados'!$AK$2:$AL$168,2,FALSE),
  O138="Rio Grande do Sul",((W138*0.15)+(X138*0.7))*VLOOKUP(P138,'MunicípiosEstados'!$AM$2:$AN$498,2,FALSE),
  O138="Rio de Janeiro",((W138*0.15)+(X138*0.7))*VLOOKUP(P138,'MunicípiosEstados'!$AO$2:$AP$93,2,FALSE),
  O138="Rondônia",((W138*0.15)+(X138*0.7))*VLOOKUP(P138,'MunicípiosEstados'!$AQ$2:$AR$53,2,FALSE),
  O138="Roraima",((W138*0.15)+(X138*0.7))*VLOOKUP(P138,'MunicípiosEstados'!$AS$2:$AT$16,2,FALSE),
  O138="Santa Catarina",((W138*0.15)+(X138*0.7))*VLOOKUP(P138,'MunicípiosEstados'!$AU$2:$AV$296,2,FALSE),
  O138="São Paulo",((W138*0.15)+(X138*0.7))*VLOOKUP(P138,'MunicípiosEstados'!$AW$2:$AX$646,2,FALSE),
  O138="Sergipe",((W138*0.15)+(X138*0.7))*VLOOKUP(P138,'MunicípiosEstados'!$AY$2:$AZ$76,2,FALSE),
  O138="Tocantins",((W138*0.15)+(X138*0.7))*VLOOKUP(P138,'MunicípiosEstados'!$BA$2:$BB$140,2,FALSE),
  O138="Exterior",((W138*0.15)+(X138*0.7))*VLOOKUP(P138,'MunicípiosEstados'!$BC$2:$BE$221,3,FALSE),TRUE,0
)
</f>
        <v>3341.325</v>
      </c>
      <c r="AL138" s="25">
        <f t="shared" si="3"/>
        <v>5167.925</v>
      </c>
    </row>
    <row r="139" ht="22.5" hidden="1" customHeight="1">
      <c r="A139" s="15">
        <f t="shared" si="1"/>
        <v>138</v>
      </c>
      <c r="B139" s="16">
        <v>45988.37651721065</v>
      </c>
      <c r="C139" s="17" t="s">
        <v>661</v>
      </c>
      <c r="D139" s="27" t="s">
        <v>443</v>
      </c>
      <c r="E139" s="15" t="str">
        <f>VLOOKUP(G139,DiretoriaDepart.Coord.!$A$1:$C$72,2,FALSE)</f>
        <v>Extensão Rural</v>
      </c>
      <c r="F139" s="15" t="str">
        <f>VLOOKUP(G139,DiretoriaDepart.Coord.!$A$1:$C$72,3,FALSE)</f>
        <v>Projetos e Cadeias Produtivas</v>
      </c>
      <c r="G139" s="17" t="s">
        <v>662</v>
      </c>
      <c r="H139" s="15"/>
      <c r="I139" s="17" t="s">
        <v>1069</v>
      </c>
      <c r="J139" s="17" t="s">
        <v>728</v>
      </c>
      <c r="K139" s="17">
        <v>2.0</v>
      </c>
      <c r="L139" s="17" t="s">
        <v>894</v>
      </c>
      <c r="M139" s="17" t="s">
        <v>895</v>
      </c>
      <c r="N139" s="17">
        <v>15.0</v>
      </c>
      <c r="O139" s="17" t="s">
        <v>714</v>
      </c>
      <c r="P139" s="17" t="s">
        <v>18</v>
      </c>
      <c r="Q139" s="20">
        <v>45711.333333333336</v>
      </c>
      <c r="R139" s="20">
        <v>45722.75</v>
      </c>
      <c r="S139" s="17" t="s">
        <v>451</v>
      </c>
      <c r="T139" s="17" t="s">
        <v>452</v>
      </c>
      <c r="U139" s="21" t="s">
        <v>896</v>
      </c>
      <c r="V139" s="21" t="s">
        <v>897</v>
      </c>
      <c r="W139" s="22">
        <v>44.0</v>
      </c>
      <c r="X139" s="22">
        <v>18.0</v>
      </c>
      <c r="Y139" s="23">
        <v>0.0</v>
      </c>
      <c r="Z139" s="23">
        <v>0.0</v>
      </c>
      <c r="AA139" s="24">
        <v>0.0</v>
      </c>
      <c r="AB139" s="24">
        <v>0.0</v>
      </c>
      <c r="AC139" s="24">
        <v>0.0</v>
      </c>
      <c r="AD139" s="23">
        <v>0.0</v>
      </c>
      <c r="AE139" s="24">
        <v>0.0</v>
      </c>
      <c r="AF139" s="17" t="s">
        <v>451</v>
      </c>
      <c r="AG139" s="17">
        <v>500.0</v>
      </c>
      <c r="AH139" s="17" t="s">
        <v>464</v>
      </c>
      <c r="AI139" s="25">
        <f>IF(AF139="Sim",INT((R139-Q139+1))*K139*VLOOKUP(P139,'Tabelas Auxiliares'!$A$1:$C$400,3,FALSE),0)</f>
        <v>0</v>
      </c>
      <c r="AJ139" s="25">
        <f t="shared" si="2"/>
        <v>350</v>
      </c>
      <c r="AK139" s="25">
        <f>IFS(
  O139="Acre",((W139*0.15)+(X139*0.7))*VLOOKUP(P139,'MunicípiosEstados'!$A$2:$B$23,2,FALSE),
  O139="Alagoas",((W139*0.15)+(X139*0.7))*VLOOKUP(P139,'MunicípiosEstados'!$C$2:$D$103,2,FALSE),
  O139="Amapá",((W139*0.15)+(X139*0.7))*VLOOKUP(P139,'MunicípiosEstados'!$E$2:$F$17,2,FALSE),
  O139="Amazonas",((W139*0.15)+(X139*0.7))*VLOOKUP(P139,'MunicípiosEstados'!$G$2:$H$63,2,FALSE),
  O139="Bahia",((W139*0.15)+(X139*0.7))*VLOOKUP(P139,'MunicípiosEstados'!$I$2:$J$418,2,FALSE),
  O139="Ceará",((W139*0.15)+(X139*0.7))*VLOOKUP(P139,'MunicípiosEstados'!$K$2:$L$185,2,FALSE),
  O139="Distrito Federal",((W139*0.15)+(X139*0.7))*VLOOKUP(P139,'MunicípiosEstados'!$M$2:$N$2,2,FALSE),
  O139="Espírito Santo",((W139*0.15)+(X139*0.7))*VLOOKUP(P139,'MunicípiosEstados'!$O$2:$P$79,2,FALSE),
  O139="Goiás",((W139*0.15)+(X139*0.7))*VLOOKUP(P139,'MunicípiosEstados'!$Q$2:$R$247,2,FALSE),
  O139="Maranhão",((W139*0.15)+(X139*0.7))*VLOOKUP(P139,'MunicípiosEstados'!$S$2:$T$218,2,FALSE),
  O139="Mato Grosso",((W139*0.15)+(X139*0.7))*VLOOKUP(P139,'MunicípiosEstados'!$U$2:$V$143,2,FALSE),
  O139="Mato Grosso do Sul",((W139*0.15)+(X139*0.7))*VLOOKUP(P139,'MunicípiosEstados'!$W$2:$X$80,2,FALSE),
  O139="Minas Gerais",((W139*0.15)+(X139*0.7))*VLOOKUP(P139,'MunicípiosEstados'!$Y$2:$Z$854,2,FALSE),
  O139="Pará",((W139*0.15)+(X139*0.7))*VLOOKUP(P139,'MunicípiosEstados'!$AA$2:$AB$145,2,FALSE),
  O139="Paraíba",((W139*0.15)+(X139*0.7))*VLOOKUP(P139,'MunicípiosEstados'!$AC$2:$AD$224,2,FALSE),
  O139="Paraná",((W139*0.15)+(X139*0.7))*VLOOKUP(P139,'MunicípiosEstados'!$AE$2:$AF$400,2,FALSE),
  O139="Pernambuco",((W139*0.15)+(X139*0.7))*VLOOKUP(P139,'MunicípiosEstados'!$AG$2:$AH$186,2,FALSE),
  O139="Piauí",((W139*0.15)+(X139*0.7))*VLOOKUP(P139,'MunicípiosEstados'!$AI$2:$AJ$225,2,FALSE),
  O139="Rio Grande do Norte",((W139*0.15)+(X139*0.7))*VLOOKUP(P139,'MunicípiosEstados'!$AK$2:$AL$168,2,FALSE),
  O139="Rio Grande do Sul",((W139*0.15)+(X139*0.7))*VLOOKUP(P139,'MunicípiosEstados'!$AM$2:$AN$498,2,FALSE),
  O139="Rio de Janeiro",((W139*0.15)+(X139*0.7))*VLOOKUP(P139,'MunicípiosEstados'!$AO$2:$AP$93,2,FALSE),
  O139="Rondônia",((W139*0.15)+(X139*0.7))*VLOOKUP(P139,'MunicípiosEstados'!$AQ$2:$AR$53,2,FALSE),
  O139="Roraima",((W139*0.15)+(X139*0.7))*VLOOKUP(P139,'MunicípiosEstados'!$AS$2:$AT$16,2,FALSE),
  O139="Santa Catarina",((W139*0.15)+(X139*0.7))*VLOOKUP(P139,'MunicípiosEstados'!$AU$2:$AV$296,2,FALSE),
  O139="São Paulo",((W139*0.15)+(X139*0.7))*VLOOKUP(P139,'MunicípiosEstados'!$AW$2:$AX$646,2,FALSE),
  O139="Sergipe",((W139*0.15)+(X139*0.7))*VLOOKUP(P139,'MunicípiosEstados'!$AY$2:$AZ$76,2,FALSE),
  O139="Tocantins",((W139*0.15)+(X139*0.7))*VLOOKUP(P139,'MunicípiosEstados'!$BA$2:$BB$140,2,FALSE),
  O139="Exterior",((W139*0.15)+(X139*0.7))*VLOOKUP(P139,'MunicípiosEstados'!$BC$2:$BE$221,3,FALSE),TRUE,0
)
</f>
        <v>5578.56</v>
      </c>
      <c r="AL139" s="25">
        <f t="shared" si="3"/>
        <v>5928.56</v>
      </c>
    </row>
    <row r="140" ht="22.5" customHeight="1">
      <c r="A140" s="15">
        <f t="shared" si="1"/>
        <v>139</v>
      </c>
      <c r="B140" s="16">
        <v>45988.37706119213</v>
      </c>
      <c r="C140" s="17" t="s">
        <v>696</v>
      </c>
      <c r="D140" s="27" t="s">
        <v>443</v>
      </c>
      <c r="E140" s="15" t="str">
        <f>VLOOKUP(G140,DiretoriaDepart.Coord.!$A$1:$C$72,2,FALSE)</f>
        <v>Extensão Rural</v>
      </c>
      <c r="F140" s="15" t="str">
        <f>VLOOKUP(G140,DiretoriaDepart.Coord.!$A$1:$C$72,3,FALSE)</f>
        <v>Projetos e Cadeias Produtivas</v>
      </c>
      <c r="G140" s="17" t="s">
        <v>697</v>
      </c>
      <c r="H140" s="15"/>
      <c r="I140" s="17" t="s">
        <v>1070</v>
      </c>
      <c r="J140" s="17" t="s">
        <v>728</v>
      </c>
      <c r="K140" s="17">
        <v>30.0</v>
      </c>
      <c r="L140" s="15"/>
      <c r="M140" s="17" t="s">
        <v>925</v>
      </c>
      <c r="N140" s="17">
        <v>10.0</v>
      </c>
      <c r="O140" s="17" t="s">
        <v>714</v>
      </c>
      <c r="P140" s="17" t="s">
        <v>18</v>
      </c>
      <c r="Q140" s="20">
        <v>45873.354166666664</v>
      </c>
      <c r="R140" s="20">
        <v>45875.708333333336</v>
      </c>
      <c r="S140" s="17" t="s">
        <v>464</v>
      </c>
      <c r="T140" s="17" t="s">
        <v>452</v>
      </c>
      <c r="U140" s="21" t="s">
        <v>1071</v>
      </c>
      <c r="V140" s="21" t="s">
        <v>1072</v>
      </c>
      <c r="W140" s="22">
        <v>120.0</v>
      </c>
      <c r="X140" s="22">
        <v>0.0</v>
      </c>
      <c r="Y140" s="23">
        <v>0.0</v>
      </c>
      <c r="Z140" s="23">
        <v>0.0</v>
      </c>
      <c r="AA140" s="24">
        <v>0.0</v>
      </c>
      <c r="AB140" s="24">
        <v>0.0</v>
      </c>
      <c r="AC140" s="24">
        <v>0.0</v>
      </c>
      <c r="AD140" s="23">
        <v>0.0</v>
      </c>
      <c r="AE140" s="24">
        <v>0.0</v>
      </c>
      <c r="AF140" s="17" t="s">
        <v>451</v>
      </c>
      <c r="AG140" s="17">
        <v>6000.0</v>
      </c>
      <c r="AH140" s="17" t="s">
        <v>464</v>
      </c>
      <c r="AI140" s="25">
        <f>IF(AF140="Sim",INT((R140-Q140+1))*K140*VLOOKUP(P140,'Tabelas Auxiliares'!$A$1:$C$400,3,FALSE),0)</f>
        <v>0</v>
      </c>
      <c r="AJ140" s="25">
        <f t="shared" si="2"/>
        <v>4200</v>
      </c>
      <c r="AK140" s="25">
        <f>IFS(
  O140="Acre",((W140*0.15)+(X140*0.7))*VLOOKUP(P140,'MunicípiosEstados'!$A$2:$B$23,2,FALSE),
  O140="Alagoas",((W140*0.15)+(X140*0.7))*VLOOKUP(P140,'MunicípiosEstados'!$C$2:$D$103,2,FALSE),
  O140="Amapá",((W140*0.15)+(X140*0.7))*VLOOKUP(P140,'MunicípiosEstados'!$E$2:$F$17,2,FALSE),
  O140="Amazonas",((W140*0.15)+(X140*0.7))*VLOOKUP(P140,'MunicípiosEstados'!$G$2:$H$63,2,FALSE),
  O140="Bahia",((W140*0.15)+(X140*0.7))*VLOOKUP(P140,'MunicípiosEstados'!$I$2:$J$418,2,FALSE),
  O140="Ceará",((W140*0.15)+(X140*0.7))*VLOOKUP(P140,'MunicípiosEstados'!$K$2:$L$185,2,FALSE),
  O140="Distrito Federal",((W140*0.15)+(X140*0.7))*VLOOKUP(P140,'MunicípiosEstados'!$M$2:$N$2,2,FALSE),
  O140="Espírito Santo",((W140*0.15)+(X140*0.7))*VLOOKUP(P140,'MunicípiosEstados'!$O$2:$P$79,2,FALSE),
  O140="Goiás",((W140*0.15)+(X140*0.7))*VLOOKUP(P140,'MunicípiosEstados'!$Q$2:$R$247,2,FALSE),
  O140="Maranhão",((W140*0.15)+(X140*0.7))*VLOOKUP(P140,'MunicípiosEstados'!$S$2:$T$218,2,FALSE),
  O140="Mato Grosso",((W140*0.15)+(X140*0.7))*VLOOKUP(P140,'MunicípiosEstados'!$U$2:$V$143,2,FALSE),
  O140="Mato Grosso do Sul",((W140*0.15)+(X140*0.7))*VLOOKUP(P140,'MunicípiosEstados'!$W$2:$X$80,2,FALSE),
  O140="Minas Gerais",((W140*0.15)+(X140*0.7))*VLOOKUP(P140,'MunicípiosEstados'!$Y$2:$Z$854,2,FALSE),
  O140="Pará",((W140*0.15)+(X140*0.7))*VLOOKUP(P140,'MunicípiosEstados'!$AA$2:$AB$145,2,FALSE),
  O140="Paraíba",((W140*0.15)+(X140*0.7))*VLOOKUP(P140,'MunicípiosEstados'!$AC$2:$AD$224,2,FALSE),
  O140="Paraná",((W140*0.15)+(X140*0.7))*VLOOKUP(P140,'MunicípiosEstados'!$AE$2:$AF$400,2,FALSE),
  O140="Pernambuco",((W140*0.15)+(X140*0.7))*VLOOKUP(P140,'MunicípiosEstados'!$AG$2:$AH$186,2,FALSE),
  O140="Piauí",((W140*0.15)+(X140*0.7))*VLOOKUP(P140,'MunicípiosEstados'!$AI$2:$AJ$225,2,FALSE),
  O140="Rio Grande do Norte",((W140*0.15)+(X140*0.7))*VLOOKUP(P140,'MunicípiosEstados'!$AK$2:$AL$168,2,FALSE),
  O140="Rio Grande do Sul",((W140*0.15)+(X140*0.7))*VLOOKUP(P140,'MunicípiosEstados'!$AM$2:$AN$498,2,FALSE),
  O140="Rio de Janeiro",((W140*0.15)+(X140*0.7))*VLOOKUP(P140,'MunicípiosEstados'!$AO$2:$AP$93,2,FALSE),
  O140="Rondônia",((W140*0.15)+(X140*0.7))*VLOOKUP(P140,'MunicípiosEstados'!$AQ$2:$AR$53,2,FALSE),
  O140="Roraima",((W140*0.15)+(X140*0.7))*VLOOKUP(P140,'MunicípiosEstados'!$AS$2:$AT$16,2,FALSE),
  O140="Santa Catarina",((W140*0.15)+(X140*0.7))*VLOOKUP(P140,'MunicípiosEstados'!$AU$2:$AV$296,2,FALSE),
  O140="São Paulo",((W140*0.15)+(X140*0.7))*VLOOKUP(P140,'MunicípiosEstados'!$AW$2:$AX$646,2,FALSE),
  O140="Sergipe",((W140*0.15)+(X140*0.7))*VLOOKUP(P140,'MunicípiosEstados'!$AY$2:$AZ$76,2,FALSE),
  O140="Tocantins",((W140*0.15)+(X140*0.7))*VLOOKUP(P140,'MunicípiosEstados'!$BA$2:$BB$140,2,FALSE),
  O140="Exterior",((W140*0.15)+(X140*0.7))*VLOOKUP(P140,'MunicípiosEstados'!$BC$2:$BE$221,3,FALSE),TRUE,0
)
</f>
        <v>5229.9</v>
      </c>
      <c r="AL140" s="25">
        <f t="shared" si="3"/>
        <v>9429.9</v>
      </c>
    </row>
    <row r="141" ht="22.5" hidden="1" customHeight="1">
      <c r="A141" s="15">
        <f t="shared" si="1"/>
        <v>140</v>
      </c>
      <c r="B141" s="16">
        <v>45988.38236752315</v>
      </c>
      <c r="C141" s="17" t="s">
        <v>487</v>
      </c>
      <c r="D141" s="27" t="s">
        <v>443</v>
      </c>
      <c r="E141" s="15" t="str">
        <f>VLOOKUP(G141,DiretoriaDepart.Coord.!$A$1:$C$72,2,FALSE)</f>
        <v>Extensão Rural</v>
      </c>
      <c r="F141" s="15" t="str">
        <f>VLOOKUP(G141,DiretoriaDepart.Coord.!$A$1:$C$72,3,FALSE)</f>
        <v>Projetos e Cadeias Produtivas</v>
      </c>
      <c r="G141" s="17" t="s">
        <v>488</v>
      </c>
      <c r="H141" s="15"/>
      <c r="I141" s="17" t="s">
        <v>1073</v>
      </c>
      <c r="J141" s="17" t="s">
        <v>728</v>
      </c>
      <c r="K141" s="17">
        <v>20.0</v>
      </c>
      <c r="L141" s="15"/>
      <c r="M141" s="17" t="s">
        <v>1074</v>
      </c>
      <c r="N141" s="17">
        <v>0.0</v>
      </c>
      <c r="O141" s="17" t="s">
        <v>714</v>
      </c>
      <c r="P141" s="17" t="s">
        <v>130</v>
      </c>
      <c r="Q141" s="20">
        <v>45810.333333333336</v>
      </c>
      <c r="R141" s="20">
        <v>45810.708333333336</v>
      </c>
      <c r="S141" s="17" t="s">
        <v>451</v>
      </c>
      <c r="T141" s="17" t="s">
        <v>452</v>
      </c>
      <c r="U141" s="21" t="s">
        <v>1075</v>
      </c>
      <c r="V141" s="21" t="s">
        <v>1076</v>
      </c>
      <c r="W141" s="22">
        <v>30.0</v>
      </c>
      <c r="X141" s="22">
        <v>10.0</v>
      </c>
      <c r="Y141" s="23">
        <v>0.0</v>
      </c>
      <c r="Z141" s="23">
        <v>0.0</v>
      </c>
      <c r="AA141" s="24">
        <v>0.0</v>
      </c>
      <c r="AB141" s="24">
        <v>0.0</v>
      </c>
      <c r="AC141" s="24">
        <v>0.0</v>
      </c>
      <c r="AD141" s="23">
        <v>0.0</v>
      </c>
      <c r="AE141" s="24">
        <v>0.0</v>
      </c>
      <c r="AF141" s="17" t="s">
        <v>464</v>
      </c>
      <c r="AG141" s="17">
        <v>2000.0</v>
      </c>
      <c r="AH141" s="17" t="s">
        <v>451</v>
      </c>
      <c r="AI141" s="25">
        <f>IF(AF141="Sim",INT((R141-Q141+1))*K141*VLOOKUP(P141,'Tabelas Auxiliares'!$A$1:$C$400,3,FALSE),0)</f>
        <v>452.8</v>
      </c>
      <c r="AJ141" s="25">
        <f t="shared" si="2"/>
        <v>1400</v>
      </c>
      <c r="AK141" s="25">
        <f>IFS(
  O141="Acre",((W141*0.15)+(X141*0.7))*VLOOKUP(P141,'MunicípiosEstados'!$A$2:$B$23,2,FALSE),
  O141="Alagoas",((W141*0.15)+(X141*0.7))*VLOOKUP(P141,'MunicípiosEstados'!$C$2:$D$103,2,FALSE),
  O141="Amapá",((W141*0.15)+(X141*0.7))*VLOOKUP(P141,'MunicípiosEstados'!$E$2:$F$17,2,FALSE),
  O141="Amazonas",((W141*0.15)+(X141*0.7))*VLOOKUP(P141,'MunicípiosEstados'!$G$2:$H$63,2,FALSE),
  O141="Bahia",((W141*0.15)+(X141*0.7))*VLOOKUP(P141,'MunicípiosEstados'!$I$2:$J$418,2,FALSE),
  O141="Ceará",((W141*0.15)+(X141*0.7))*VLOOKUP(P141,'MunicípiosEstados'!$K$2:$L$185,2,FALSE),
  O141="Distrito Federal",((W141*0.15)+(X141*0.7))*VLOOKUP(P141,'MunicípiosEstados'!$M$2:$N$2,2,FALSE),
  O141="Espírito Santo",((W141*0.15)+(X141*0.7))*VLOOKUP(P141,'MunicípiosEstados'!$O$2:$P$79,2,FALSE),
  O141="Goiás",((W141*0.15)+(X141*0.7))*VLOOKUP(P141,'MunicípiosEstados'!$Q$2:$R$247,2,FALSE),
  O141="Maranhão",((W141*0.15)+(X141*0.7))*VLOOKUP(P141,'MunicípiosEstados'!$S$2:$T$218,2,FALSE),
  O141="Mato Grosso",((W141*0.15)+(X141*0.7))*VLOOKUP(P141,'MunicípiosEstados'!$U$2:$V$143,2,FALSE),
  O141="Mato Grosso do Sul",((W141*0.15)+(X141*0.7))*VLOOKUP(P141,'MunicípiosEstados'!$W$2:$X$80,2,FALSE),
  O141="Minas Gerais",((W141*0.15)+(X141*0.7))*VLOOKUP(P141,'MunicípiosEstados'!$Y$2:$Z$854,2,FALSE),
  O141="Pará",((W141*0.15)+(X141*0.7))*VLOOKUP(P141,'MunicípiosEstados'!$AA$2:$AB$145,2,FALSE),
  O141="Paraíba",((W141*0.15)+(X141*0.7))*VLOOKUP(P141,'MunicípiosEstados'!$AC$2:$AD$224,2,FALSE),
  O141="Paraná",((W141*0.15)+(X141*0.7))*VLOOKUP(P141,'MunicípiosEstados'!$AE$2:$AF$400,2,FALSE),
  O141="Pernambuco",((W141*0.15)+(X141*0.7))*VLOOKUP(P141,'MunicípiosEstados'!$AG$2:$AH$186,2,FALSE),
  O141="Piauí",((W141*0.15)+(X141*0.7))*VLOOKUP(P141,'MunicípiosEstados'!$AI$2:$AJ$225,2,FALSE),
  O141="Rio Grande do Norte",((W141*0.15)+(X141*0.7))*VLOOKUP(P141,'MunicípiosEstados'!$AK$2:$AL$168,2,FALSE),
  O141="Rio Grande do Sul",((W141*0.15)+(X141*0.7))*VLOOKUP(P141,'MunicípiosEstados'!$AM$2:$AN$498,2,FALSE),
  O141="Rio de Janeiro",((W141*0.15)+(X141*0.7))*VLOOKUP(P141,'MunicípiosEstados'!$AO$2:$AP$93,2,FALSE),
  O141="Rondônia",((W141*0.15)+(X141*0.7))*VLOOKUP(P141,'MunicípiosEstados'!$AQ$2:$AR$53,2,FALSE),
  O141="Roraima",((W141*0.15)+(X141*0.7))*VLOOKUP(P141,'MunicípiosEstados'!$AS$2:$AT$16,2,FALSE),
  O141="Santa Catarina",((W141*0.15)+(X141*0.7))*VLOOKUP(P141,'MunicípiosEstados'!$AU$2:$AV$296,2,FALSE),
  O141="São Paulo",((W141*0.15)+(X141*0.7))*VLOOKUP(P141,'MunicípiosEstados'!$AW$2:$AX$646,2,FALSE),
  O141="Sergipe",((W141*0.15)+(X141*0.7))*VLOOKUP(P141,'MunicípiosEstados'!$AY$2:$AZ$76,2,FALSE),
  O141="Tocantins",((W141*0.15)+(X141*0.7))*VLOOKUP(P141,'MunicípiosEstados'!$BA$2:$BB$140,2,FALSE),
  O141="Exterior",((W141*0.15)+(X141*0.7))*VLOOKUP(P141,'MunicípiosEstados'!$BC$2:$BE$221,3,FALSE),TRUE,0
)
</f>
        <v>3341.325</v>
      </c>
      <c r="AL141" s="25">
        <f t="shared" si="3"/>
        <v>5194.125</v>
      </c>
    </row>
    <row r="142" ht="22.5" customHeight="1">
      <c r="A142" s="15">
        <f t="shared" si="1"/>
        <v>141</v>
      </c>
      <c r="B142" s="16">
        <v>45988.38802400463</v>
      </c>
      <c r="C142" s="17" t="s">
        <v>696</v>
      </c>
      <c r="D142" s="27" t="s">
        <v>443</v>
      </c>
      <c r="E142" s="15" t="str">
        <f>VLOOKUP(G142,DiretoriaDepart.Coord.!$A$1:$C$72,2,FALSE)</f>
        <v>Extensão Rural</v>
      </c>
      <c r="F142" s="15" t="str">
        <f>VLOOKUP(G142,DiretoriaDepart.Coord.!$A$1:$C$72,3,FALSE)</f>
        <v>Projetos e Cadeias Produtivas</v>
      </c>
      <c r="G142" s="17" t="s">
        <v>697</v>
      </c>
      <c r="H142" s="15"/>
      <c r="I142" s="17" t="s">
        <v>1077</v>
      </c>
      <c r="J142" s="17" t="s">
        <v>728</v>
      </c>
      <c r="K142" s="17">
        <v>30.0</v>
      </c>
      <c r="L142" s="15"/>
      <c r="M142" s="17" t="s">
        <v>925</v>
      </c>
      <c r="N142" s="17">
        <v>10.0</v>
      </c>
      <c r="O142" s="17" t="s">
        <v>714</v>
      </c>
      <c r="P142" s="17" t="s">
        <v>1078</v>
      </c>
      <c r="Q142" s="20">
        <v>45768.354166666664</v>
      </c>
      <c r="R142" s="20">
        <v>45770.708333333336</v>
      </c>
      <c r="S142" s="17" t="s">
        <v>451</v>
      </c>
      <c r="T142" s="17" t="s">
        <v>452</v>
      </c>
      <c r="U142" s="21" t="s">
        <v>1079</v>
      </c>
      <c r="V142" s="21" t="s">
        <v>1080</v>
      </c>
      <c r="W142" s="22">
        <v>120.0</v>
      </c>
      <c r="X142" s="22">
        <v>90.0</v>
      </c>
      <c r="Y142" s="23">
        <v>0.0</v>
      </c>
      <c r="Z142" s="23">
        <v>0.0</v>
      </c>
      <c r="AA142" s="24">
        <v>0.0</v>
      </c>
      <c r="AB142" s="24">
        <v>0.0</v>
      </c>
      <c r="AC142" s="24">
        <v>0.0</v>
      </c>
      <c r="AD142" s="23">
        <v>0.0</v>
      </c>
      <c r="AE142" s="24">
        <v>0.0</v>
      </c>
      <c r="AF142" s="17" t="s">
        <v>451</v>
      </c>
      <c r="AG142" s="17">
        <v>6000.0</v>
      </c>
      <c r="AH142" s="17" t="s">
        <v>464</v>
      </c>
      <c r="AI142" s="25">
        <f>IF(AF142="Sim",INT((R142-Q142+1))*K142*VLOOKUP(P142,'Tabelas Auxiliares'!$A$1:$C$400,3,FALSE),0)</f>
        <v>0</v>
      </c>
      <c r="AJ142" s="25">
        <f t="shared" si="2"/>
        <v>4200</v>
      </c>
      <c r="AK142" s="25">
        <f>IFS(
  O142="Acre",((W142*0.15)+(X142*0.7))*VLOOKUP(P142,'MunicípiosEstados'!$A$2:$B$23,2,FALSE),
  O142="Alagoas",((W142*0.15)+(X142*0.7))*VLOOKUP(P142,'MunicípiosEstados'!$C$2:$D$103,2,FALSE),
  O142="Amapá",((W142*0.15)+(X142*0.7))*VLOOKUP(P142,'MunicípiosEstados'!$E$2:$F$17,2,FALSE),
  O142="Amazonas",((W142*0.15)+(X142*0.7))*VLOOKUP(P142,'MunicípiosEstados'!$G$2:$H$63,2,FALSE),
  O142="Bahia",((W142*0.15)+(X142*0.7))*VLOOKUP(P142,'MunicípiosEstados'!$I$2:$J$418,2,FALSE),
  O142="Ceará",((W142*0.15)+(X142*0.7))*VLOOKUP(P142,'MunicípiosEstados'!$K$2:$L$185,2,FALSE),
  O142="Distrito Federal",((W142*0.15)+(X142*0.7))*VLOOKUP(P142,'MunicípiosEstados'!$M$2:$N$2,2,FALSE),
  O142="Espírito Santo",((W142*0.15)+(X142*0.7))*VLOOKUP(P142,'MunicípiosEstados'!$O$2:$P$79,2,FALSE),
  O142="Goiás",((W142*0.15)+(X142*0.7))*VLOOKUP(P142,'MunicípiosEstados'!$Q$2:$R$247,2,FALSE),
  O142="Maranhão",((W142*0.15)+(X142*0.7))*VLOOKUP(P142,'MunicípiosEstados'!$S$2:$T$218,2,FALSE),
  O142="Mato Grosso",((W142*0.15)+(X142*0.7))*VLOOKUP(P142,'MunicípiosEstados'!$U$2:$V$143,2,FALSE),
  O142="Mato Grosso do Sul",((W142*0.15)+(X142*0.7))*VLOOKUP(P142,'MunicípiosEstados'!$W$2:$X$80,2,FALSE),
  O142="Minas Gerais",((W142*0.15)+(X142*0.7))*VLOOKUP(P142,'MunicípiosEstados'!$Y$2:$Z$854,2,FALSE),
  O142="Pará",((W142*0.15)+(X142*0.7))*VLOOKUP(P142,'MunicípiosEstados'!$AA$2:$AB$145,2,FALSE),
  O142="Paraíba",((W142*0.15)+(X142*0.7))*VLOOKUP(P142,'MunicípiosEstados'!$AC$2:$AD$224,2,FALSE),
  O142="Paraná",((W142*0.15)+(X142*0.7))*VLOOKUP(P142,'MunicípiosEstados'!$AE$2:$AF$400,2,FALSE),
  O142="Pernambuco",((W142*0.15)+(X142*0.7))*VLOOKUP(P142,'MunicípiosEstados'!$AG$2:$AH$186,2,FALSE),
  O142="Piauí",((W142*0.15)+(X142*0.7))*VLOOKUP(P142,'MunicípiosEstados'!$AI$2:$AJ$225,2,FALSE),
  O142="Rio Grande do Norte",((W142*0.15)+(X142*0.7))*VLOOKUP(P142,'MunicípiosEstados'!$AK$2:$AL$168,2,FALSE),
  O142="Rio Grande do Sul",((W142*0.15)+(X142*0.7))*VLOOKUP(P142,'MunicípiosEstados'!$AM$2:$AN$498,2,FALSE),
  O142="Rio de Janeiro",((W142*0.15)+(X142*0.7))*VLOOKUP(P142,'MunicípiosEstados'!$AO$2:$AP$93,2,FALSE),
  O142="Rondônia",((W142*0.15)+(X142*0.7))*VLOOKUP(P142,'MunicípiosEstados'!$AQ$2:$AR$53,2,FALSE),
  O142="Roraima",((W142*0.15)+(X142*0.7))*VLOOKUP(P142,'MunicípiosEstados'!$AS$2:$AT$16,2,FALSE),
  O142="Santa Catarina",((W142*0.15)+(X142*0.7))*VLOOKUP(P142,'MunicípiosEstados'!$AU$2:$AV$296,2,FALSE),
  O142="São Paulo",((W142*0.15)+(X142*0.7))*VLOOKUP(P142,'MunicípiosEstados'!$AW$2:$AX$646,2,FALSE),
  O142="Sergipe",((W142*0.15)+(X142*0.7))*VLOOKUP(P142,'MunicípiosEstados'!$AY$2:$AZ$76,2,FALSE),
  O142="Tocantins",((W142*0.15)+(X142*0.7))*VLOOKUP(P142,'MunicípiosEstados'!$BA$2:$BB$140,2,FALSE),
  O142="Exterior",((W142*0.15)+(X142*0.7))*VLOOKUP(P142,'MunicípiosEstados'!$BC$2:$BE$221,3,FALSE),TRUE,0
)
</f>
        <v>23534.55</v>
      </c>
      <c r="AL142" s="25">
        <f t="shared" si="3"/>
        <v>27734.55</v>
      </c>
    </row>
    <row r="143" ht="22.5" hidden="1" customHeight="1">
      <c r="A143" s="15">
        <f t="shared" si="1"/>
        <v>142</v>
      </c>
      <c r="B143" s="16">
        <v>45988.388633310184</v>
      </c>
      <c r="C143" s="17" t="s">
        <v>487</v>
      </c>
      <c r="D143" s="27" t="s">
        <v>443</v>
      </c>
      <c r="E143" s="15" t="str">
        <f>VLOOKUP(G143,DiretoriaDepart.Coord.!$A$1:$C$72,2,FALSE)</f>
        <v>Extensão Rural</v>
      </c>
      <c r="F143" s="15" t="str">
        <f>VLOOKUP(G143,DiretoriaDepart.Coord.!$A$1:$C$72,3,FALSE)</f>
        <v>Projetos e Cadeias Produtivas</v>
      </c>
      <c r="G143" s="17" t="s">
        <v>488</v>
      </c>
      <c r="H143" s="15"/>
      <c r="I143" s="17" t="s">
        <v>1081</v>
      </c>
      <c r="J143" s="17" t="s">
        <v>728</v>
      </c>
      <c r="K143" s="17">
        <v>20.0</v>
      </c>
      <c r="L143" s="15"/>
      <c r="M143" s="17" t="s">
        <v>1074</v>
      </c>
      <c r="N143" s="17">
        <v>10.0</v>
      </c>
      <c r="O143" s="17" t="s">
        <v>714</v>
      </c>
      <c r="P143" s="17" t="s">
        <v>18</v>
      </c>
      <c r="Q143" s="20">
        <v>45739.333333333336</v>
      </c>
      <c r="R143" s="20">
        <v>45739.708333333336</v>
      </c>
      <c r="S143" s="17" t="s">
        <v>451</v>
      </c>
      <c r="T143" s="17" t="s">
        <v>452</v>
      </c>
      <c r="U143" s="21" t="s">
        <v>1082</v>
      </c>
      <c r="V143" s="21" t="s">
        <v>1083</v>
      </c>
      <c r="W143" s="22">
        <v>30.0</v>
      </c>
      <c r="X143" s="22">
        <v>10.0</v>
      </c>
      <c r="Y143" s="23">
        <v>0.0</v>
      </c>
      <c r="Z143" s="23">
        <v>0.0</v>
      </c>
      <c r="AA143" s="24">
        <v>0.0</v>
      </c>
      <c r="AB143" s="24">
        <v>0.0</v>
      </c>
      <c r="AC143" s="24">
        <v>0.0</v>
      </c>
      <c r="AD143" s="23">
        <v>0.0</v>
      </c>
      <c r="AE143" s="24">
        <v>0.0</v>
      </c>
      <c r="AF143" s="17" t="s">
        <v>464</v>
      </c>
      <c r="AG143" s="17">
        <v>2000.0</v>
      </c>
      <c r="AH143" s="17" t="s">
        <v>451</v>
      </c>
      <c r="AI143" s="25">
        <f>IF(AF143="Sim",INT((R143-Q143+1))*K143*VLOOKUP(P143,'Tabelas Auxiliares'!$A$1:$C$400,3,FALSE),0)</f>
        <v>452.8</v>
      </c>
      <c r="AJ143" s="25">
        <f t="shared" si="2"/>
        <v>1400</v>
      </c>
      <c r="AK143" s="25">
        <f>IFS(
  O143="Acre",((W143*0.15)+(X143*0.7))*VLOOKUP(P143,'MunicípiosEstados'!$A$2:$B$23,2,FALSE),
  O143="Alagoas",((W143*0.15)+(X143*0.7))*VLOOKUP(P143,'MunicípiosEstados'!$C$2:$D$103,2,FALSE),
  O143="Amapá",((W143*0.15)+(X143*0.7))*VLOOKUP(P143,'MunicípiosEstados'!$E$2:$F$17,2,FALSE),
  O143="Amazonas",((W143*0.15)+(X143*0.7))*VLOOKUP(P143,'MunicípiosEstados'!$G$2:$H$63,2,FALSE),
  O143="Bahia",((W143*0.15)+(X143*0.7))*VLOOKUP(P143,'MunicípiosEstados'!$I$2:$J$418,2,FALSE),
  O143="Ceará",((W143*0.15)+(X143*0.7))*VLOOKUP(P143,'MunicípiosEstados'!$K$2:$L$185,2,FALSE),
  O143="Distrito Federal",((W143*0.15)+(X143*0.7))*VLOOKUP(P143,'MunicípiosEstados'!$M$2:$N$2,2,FALSE),
  O143="Espírito Santo",((W143*0.15)+(X143*0.7))*VLOOKUP(P143,'MunicípiosEstados'!$O$2:$P$79,2,FALSE),
  O143="Goiás",((W143*0.15)+(X143*0.7))*VLOOKUP(P143,'MunicípiosEstados'!$Q$2:$R$247,2,FALSE),
  O143="Maranhão",((W143*0.15)+(X143*0.7))*VLOOKUP(P143,'MunicípiosEstados'!$S$2:$T$218,2,FALSE),
  O143="Mato Grosso",((W143*0.15)+(X143*0.7))*VLOOKUP(P143,'MunicípiosEstados'!$U$2:$V$143,2,FALSE),
  O143="Mato Grosso do Sul",((W143*0.15)+(X143*0.7))*VLOOKUP(P143,'MunicípiosEstados'!$W$2:$X$80,2,FALSE),
  O143="Minas Gerais",((W143*0.15)+(X143*0.7))*VLOOKUP(P143,'MunicípiosEstados'!$Y$2:$Z$854,2,FALSE),
  O143="Pará",((W143*0.15)+(X143*0.7))*VLOOKUP(P143,'MunicípiosEstados'!$AA$2:$AB$145,2,FALSE),
  O143="Paraíba",((W143*0.15)+(X143*0.7))*VLOOKUP(P143,'MunicípiosEstados'!$AC$2:$AD$224,2,FALSE),
  O143="Paraná",((W143*0.15)+(X143*0.7))*VLOOKUP(P143,'MunicípiosEstados'!$AE$2:$AF$400,2,FALSE),
  O143="Pernambuco",((W143*0.15)+(X143*0.7))*VLOOKUP(P143,'MunicípiosEstados'!$AG$2:$AH$186,2,FALSE),
  O143="Piauí",((W143*0.15)+(X143*0.7))*VLOOKUP(P143,'MunicípiosEstados'!$AI$2:$AJ$225,2,FALSE),
  O143="Rio Grande do Norte",((W143*0.15)+(X143*0.7))*VLOOKUP(P143,'MunicípiosEstados'!$AK$2:$AL$168,2,FALSE),
  O143="Rio Grande do Sul",((W143*0.15)+(X143*0.7))*VLOOKUP(P143,'MunicípiosEstados'!$AM$2:$AN$498,2,FALSE),
  O143="Rio de Janeiro",((W143*0.15)+(X143*0.7))*VLOOKUP(P143,'MunicípiosEstados'!$AO$2:$AP$93,2,FALSE),
  O143="Rondônia",((W143*0.15)+(X143*0.7))*VLOOKUP(P143,'MunicípiosEstados'!$AQ$2:$AR$53,2,FALSE),
  O143="Roraima",((W143*0.15)+(X143*0.7))*VLOOKUP(P143,'MunicípiosEstados'!$AS$2:$AT$16,2,FALSE),
  O143="Santa Catarina",((W143*0.15)+(X143*0.7))*VLOOKUP(P143,'MunicípiosEstados'!$AU$2:$AV$296,2,FALSE),
  O143="São Paulo",((W143*0.15)+(X143*0.7))*VLOOKUP(P143,'MunicípiosEstados'!$AW$2:$AX$646,2,FALSE),
  O143="Sergipe",((W143*0.15)+(X143*0.7))*VLOOKUP(P143,'MunicípiosEstados'!$AY$2:$AZ$76,2,FALSE),
  O143="Tocantins",((W143*0.15)+(X143*0.7))*VLOOKUP(P143,'MunicípiosEstados'!$BA$2:$BB$140,2,FALSE),
  O143="Exterior",((W143*0.15)+(X143*0.7))*VLOOKUP(P143,'MunicípiosEstados'!$BC$2:$BE$221,3,FALSE),TRUE,0
)
</f>
        <v>3341.325</v>
      </c>
      <c r="AL143" s="25">
        <f t="shared" si="3"/>
        <v>5194.125</v>
      </c>
    </row>
    <row r="144" ht="22.5" customHeight="1">
      <c r="A144" s="15">
        <f t="shared" si="1"/>
        <v>143</v>
      </c>
      <c r="B144" s="16">
        <v>45988.39632377315</v>
      </c>
      <c r="C144" s="17" t="s">
        <v>696</v>
      </c>
      <c r="D144" s="27" t="s">
        <v>443</v>
      </c>
      <c r="E144" s="15" t="str">
        <f>VLOOKUP(G144,DiretoriaDepart.Coord.!$A$1:$C$72,2,FALSE)</f>
        <v>Extensão Rural</v>
      </c>
      <c r="F144" s="15" t="str">
        <f>VLOOKUP(G144,DiretoriaDepart.Coord.!$A$1:$C$72,3,FALSE)</f>
        <v>Projetos e Cadeias Produtivas</v>
      </c>
      <c r="G144" s="17" t="s">
        <v>697</v>
      </c>
      <c r="H144" s="15"/>
      <c r="I144" s="17" t="s">
        <v>1084</v>
      </c>
      <c r="J144" s="17" t="s">
        <v>728</v>
      </c>
      <c r="K144" s="17">
        <v>30.0</v>
      </c>
      <c r="L144" s="15"/>
      <c r="M144" s="17" t="s">
        <v>925</v>
      </c>
      <c r="N144" s="17">
        <v>10.0</v>
      </c>
      <c r="O144" s="17" t="s">
        <v>714</v>
      </c>
      <c r="P144" s="17" t="s">
        <v>158</v>
      </c>
      <c r="Q144" s="20">
        <v>45901.354166666664</v>
      </c>
      <c r="R144" s="20">
        <v>45903.708333333336</v>
      </c>
      <c r="S144" s="17" t="s">
        <v>451</v>
      </c>
      <c r="T144" s="17" t="s">
        <v>452</v>
      </c>
      <c r="U144" s="21" t="s">
        <v>1085</v>
      </c>
      <c r="V144" s="21" t="s">
        <v>1086</v>
      </c>
      <c r="W144" s="22">
        <v>120.0</v>
      </c>
      <c r="X144" s="22">
        <v>0.0</v>
      </c>
      <c r="Y144" s="23">
        <v>0.0</v>
      </c>
      <c r="Z144" s="23">
        <v>0.0</v>
      </c>
      <c r="AA144" s="24">
        <v>0.0</v>
      </c>
      <c r="AB144" s="24">
        <v>0.0</v>
      </c>
      <c r="AC144" s="24">
        <v>0.0</v>
      </c>
      <c r="AD144" s="23">
        <v>0.0</v>
      </c>
      <c r="AE144" s="24">
        <v>0.0</v>
      </c>
      <c r="AF144" s="17" t="s">
        <v>451</v>
      </c>
      <c r="AG144" s="17">
        <v>6000.0</v>
      </c>
      <c r="AH144" s="17" t="s">
        <v>464</v>
      </c>
      <c r="AI144" s="25">
        <f>IF(AF144="Sim",INT((R144-Q144+1))*K144*VLOOKUP(P144,'Tabelas Auxiliares'!$A$1:$C$400,3,FALSE),0)</f>
        <v>0</v>
      </c>
      <c r="AJ144" s="25">
        <f t="shared" si="2"/>
        <v>4200</v>
      </c>
      <c r="AK144" s="25">
        <f>IFS(
  O144="Acre",((W144*0.15)+(X144*0.7))*VLOOKUP(P144,'MunicípiosEstados'!$A$2:$B$23,2,FALSE),
  O144="Alagoas",((W144*0.15)+(X144*0.7))*VLOOKUP(P144,'MunicípiosEstados'!$C$2:$D$103,2,FALSE),
  O144="Amapá",((W144*0.15)+(X144*0.7))*VLOOKUP(P144,'MunicípiosEstados'!$E$2:$F$17,2,FALSE),
  O144="Amazonas",((W144*0.15)+(X144*0.7))*VLOOKUP(P144,'MunicípiosEstados'!$G$2:$H$63,2,FALSE),
  O144="Bahia",((W144*0.15)+(X144*0.7))*VLOOKUP(P144,'MunicípiosEstados'!$I$2:$J$418,2,FALSE),
  O144="Ceará",((W144*0.15)+(X144*0.7))*VLOOKUP(P144,'MunicípiosEstados'!$K$2:$L$185,2,FALSE),
  O144="Distrito Federal",((W144*0.15)+(X144*0.7))*VLOOKUP(P144,'MunicípiosEstados'!$M$2:$N$2,2,FALSE),
  O144="Espírito Santo",((W144*0.15)+(X144*0.7))*VLOOKUP(P144,'MunicípiosEstados'!$O$2:$P$79,2,FALSE),
  O144="Goiás",((W144*0.15)+(X144*0.7))*VLOOKUP(P144,'MunicípiosEstados'!$Q$2:$R$247,2,FALSE),
  O144="Maranhão",((W144*0.15)+(X144*0.7))*VLOOKUP(P144,'MunicípiosEstados'!$S$2:$T$218,2,FALSE),
  O144="Mato Grosso",((W144*0.15)+(X144*0.7))*VLOOKUP(P144,'MunicípiosEstados'!$U$2:$V$143,2,FALSE),
  O144="Mato Grosso do Sul",((W144*0.15)+(X144*0.7))*VLOOKUP(P144,'MunicípiosEstados'!$W$2:$X$80,2,FALSE),
  O144="Minas Gerais",((W144*0.15)+(X144*0.7))*VLOOKUP(P144,'MunicípiosEstados'!$Y$2:$Z$854,2,FALSE),
  O144="Pará",((W144*0.15)+(X144*0.7))*VLOOKUP(P144,'MunicípiosEstados'!$AA$2:$AB$145,2,FALSE),
  O144="Paraíba",((W144*0.15)+(X144*0.7))*VLOOKUP(P144,'MunicípiosEstados'!$AC$2:$AD$224,2,FALSE),
  O144="Paraná",((W144*0.15)+(X144*0.7))*VLOOKUP(P144,'MunicípiosEstados'!$AE$2:$AF$400,2,FALSE),
  O144="Pernambuco",((W144*0.15)+(X144*0.7))*VLOOKUP(P144,'MunicípiosEstados'!$AG$2:$AH$186,2,FALSE),
  O144="Piauí",((W144*0.15)+(X144*0.7))*VLOOKUP(P144,'MunicípiosEstados'!$AI$2:$AJ$225,2,FALSE),
  O144="Rio Grande do Norte",((W144*0.15)+(X144*0.7))*VLOOKUP(P144,'MunicípiosEstados'!$AK$2:$AL$168,2,FALSE),
  O144="Rio Grande do Sul",((W144*0.15)+(X144*0.7))*VLOOKUP(P144,'MunicípiosEstados'!$AM$2:$AN$498,2,FALSE),
  O144="Rio de Janeiro",((W144*0.15)+(X144*0.7))*VLOOKUP(P144,'MunicípiosEstados'!$AO$2:$AP$93,2,FALSE),
  O144="Rondônia",((W144*0.15)+(X144*0.7))*VLOOKUP(P144,'MunicípiosEstados'!$AQ$2:$AR$53,2,FALSE),
  O144="Roraima",((W144*0.15)+(X144*0.7))*VLOOKUP(P144,'MunicípiosEstados'!$AS$2:$AT$16,2,FALSE),
  O144="Santa Catarina",((W144*0.15)+(X144*0.7))*VLOOKUP(P144,'MunicípiosEstados'!$AU$2:$AV$296,2,FALSE),
  O144="São Paulo",((W144*0.15)+(X144*0.7))*VLOOKUP(P144,'MunicípiosEstados'!$AW$2:$AX$646,2,FALSE),
  O144="Sergipe",((W144*0.15)+(X144*0.7))*VLOOKUP(P144,'MunicípiosEstados'!$AY$2:$AZ$76,2,FALSE),
  O144="Tocantins",((W144*0.15)+(X144*0.7))*VLOOKUP(P144,'MunicípiosEstados'!$BA$2:$BB$140,2,FALSE),
  O144="Exterior",((W144*0.15)+(X144*0.7))*VLOOKUP(P144,'MunicípiosEstados'!$BC$2:$BE$221,3,FALSE),TRUE,0
)
</f>
        <v>5229.9</v>
      </c>
      <c r="AL144" s="25">
        <f t="shared" si="3"/>
        <v>9429.9</v>
      </c>
    </row>
    <row r="145" ht="22.5" hidden="1" customHeight="1">
      <c r="A145" s="15">
        <f t="shared" si="1"/>
        <v>144</v>
      </c>
      <c r="B145" s="16">
        <v>45988.39738863426</v>
      </c>
      <c r="C145" s="17" t="s">
        <v>487</v>
      </c>
      <c r="D145" s="27" t="s">
        <v>443</v>
      </c>
      <c r="E145" s="15" t="str">
        <f>VLOOKUP(G145,DiretoriaDepart.Coord.!$A$1:$C$72,2,FALSE)</f>
        <v>Extensão Rural</v>
      </c>
      <c r="F145" s="15" t="str">
        <f>VLOOKUP(G145,DiretoriaDepart.Coord.!$A$1:$C$72,3,FALSE)</f>
        <v>Projetos e Cadeias Produtivas</v>
      </c>
      <c r="G145" s="17" t="s">
        <v>488</v>
      </c>
      <c r="H145" s="15"/>
      <c r="I145" s="17" t="s">
        <v>1087</v>
      </c>
      <c r="J145" s="17" t="s">
        <v>728</v>
      </c>
      <c r="K145" s="17">
        <v>10.0</v>
      </c>
      <c r="L145" s="15"/>
      <c r="M145" s="17" t="s">
        <v>1088</v>
      </c>
      <c r="N145" s="17">
        <v>15.0</v>
      </c>
      <c r="O145" s="17" t="s">
        <v>714</v>
      </c>
      <c r="P145" s="17" t="s">
        <v>58</v>
      </c>
      <c r="Q145" s="20">
        <v>45775.333333333336</v>
      </c>
      <c r="R145" s="20">
        <v>45867.708333333336</v>
      </c>
      <c r="S145" s="17" t="s">
        <v>451</v>
      </c>
      <c r="T145" s="17" t="s">
        <v>452</v>
      </c>
      <c r="U145" s="21" t="s">
        <v>1089</v>
      </c>
      <c r="V145" s="21" t="s">
        <v>1090</v>
      </c>
      <c r="W145" s="22">
        <v>180.0</v>
      </c>
      <c r="X145" s="22">
        <v>60.0</v>
      </c>
      <c r="Y145" s="23">
        <v>0.0</v>
      </c>
      <c r="Z145" s="23">
        <v>0.0</v>
      </c>
      <c r="AA145" s="24">
        <v>0.0</v>
      </c>
      <c r="AB145" s="24">
        <v>0.0</v>
      </c>
      <c r="AC145" s="24">
        <v>0.0</v>
      </c>
      <c r="AD145" s="23">
        <v>0.0</v>
      </c>
      <c r="AE145" s="24">
        <v>0.0</v>
      </c>
      <c r="AF145" s="17" t="s">
        <v>464</v>
      </c>
      <c r="AG145" s="17">
        <v>8000.0</v>
      </c>
      <c r="AH145" s="17" t="s">
        <v>451</v>
      </c>
      <c r="AI145" s="25">
        <f>IF(AF145="Sim",INT((R145-Q145+1))*K145*VLOOKUP(P145,'Tabelas Auxiliares'!$A$1:$C$400,3,FALSE),0)</f>
        <v>21055.2</v>
      </c>
      <c r="AJ145" s="25">
        <f t="shared" si="2"/>
        <v>5600</v>
      </c>
      <c r="AK145" s="25">
        <f>IFS(
  O145="Acre",((W145*0.15)+(X145*0.7))*VLOOKUP(P145,'MunicípiosEstados'!$A$2:$B$23,2,FALSE),
  O145="Alagoas",((W145*0.15)+(X145*0.7))*VLOOKUP(P145,'MunicípiosEstados'!$C$2:$D$103,2,FALSE),
  O145="Amapá",((W145*0.15)+(X145*0.7))*VLOOKUP(P145,'MunicípiosEstados'!$E$2:$F$17,2,FALSE),
  O145="Amazonas",((W145*0.15)+(X145*0.7))*VLOOKUP(P145,'MunicípiosEstados'!$G$2:$H$63,2,FALSE),
  O145="Bahia",((W145*0.15)+(X145*0.7))*VLOOKUP(P145,'MunicípiosEstados'!$I$2:$J$418,2,FALSE),
  O145="Ceará",((W145*0.15)+(X145*0.7))*VLOOKUP(P145,'MunicípiosEstados'!$K$2:$L$185,2,FALSE),
  O145="Distrito Federal",((W145*0.15)+(X145*0.7))*VLOOKUP(P145,'MunicípiosEstados'!$M$2:$N$2,2,FALSE),
  O145="Espírito Santo",((W145*0.15)+(X145*0.7))*VLOOKUP(P145,'MunicípiosEstados'!$O$2:$P$79,2,FALSE),
  O145="Goiás",((W145*0.15)+(X145*0.7))*VLOOKUP(P145,'MunicípiosEstados'!$Q$2:$R$247,2,FALSE),
  O145="Maranhão",((W145*0.15)+(X145*0.7))*VLOOKUP(P145,'MunicípiosEstados'!$S$2:$T$218,2,FALSE),
  O145="Mato Grosso",((W145*0.15)+(X145*0.7))*VLOOKUP(P145,'MunicípiosEstados'!$U$2:$V$143,2,FALSE),
  O145="Mato Grosso do Sul",((W145*0.15)+(X145*0.7))*VLOOKUP(P145,'MunicípiosEstados'!$W$2:$X$80,2,FALSE),
  O145="Minas Gerais",((W145*0.15)+(X145*0.7))*VLOOKUP(P145,'MunicípiosEstados'!$Y$2:$Z$854,2,FALSE),
  O145="Pará",((W145*0.15)+(X145*0.7))*VLOOKUP(P145,'MunicípiosEstados'!$AA$2:$AB$145,2,FALSE),
  O145="Paraíba",((W145*0.15)+(X145*0.7))*VLOOKUP(P145,'MunicípiosEstados'!$AC$2:$AD$224,2,FALSE),
  O145="Paraná",((W145*0.15)+(X145*0.7))*VLOOKUP(P145,'MunicípiosEstados'!$AE$2:$AF$400,2,FALSE),
  O145="Pernambuco",((W145*0.15)+(X145*0.7))*VLOOKUP(P145,'MunicípiosEstados'!$AG$2:$AH$186,2,FALSE),
  O145="Piauí",((W145*0.15)+(X145*0.7))*VLOOKUP(P145,'MunicípiosEstados'!$AI$2:$AJ$225,2,FALSE),
  O145="Rio Grande do Norte",((W145*0.15)+(X145*0.7))*VLOOKUP(P145,'MunicípiosEstados'!$AK$2:$AL$168,2,FALSE),
  O145="Rio Grande do Sul",((W145*0.15)+(X145*0.7))*VLOOKUP(P145,'MunicípiosEstados'!$AM$2:$AN$498,2,FALSE),
  O145="Rio de Janeiro",((W145*0.15)+(X145*0.7))*VLOOKUP(P145,'MunicípiosEstados'!$AO$2:$AP$93,2,FALSE),
  O145="Rondônia",((W145*0.15)+(X145*0.7))*VLOOKUP(P145,'MunicípiosEstados'!$AQ$2:$AR$53,2,FALSE),
  O145="Roraima",((W145*0.15)+(X145*0.7))*VLOOKUP(P145,'MunicípiosEstados'!$AS$2:$AT$16,2,FALSE),
  O145="Santa Catarina",((W145*0.15)+(X145*0.7))*VLOOKUP(P145,'MunicípiosEstados'!$AU$2:$AV$296,2,FALSE),
  O145="São Paulo",((W145*0.15)+(X145*0.7))*VLOOKUP(P145,'MunicípiosEstados'!$AW$2:$AX$646,2,FALSE),
  O145="Sergipe",((W145*0.15)+(X145*0.7))*VLOOKUP(P145,'MunicípiosEstados'!$AY$2:$AZ$76,2,FALSE),
  O145="Tocantins",((W145*0.15)+(X145*0.7))*VLOOKUP(P145,'MunicípiosEstados'!$BA$2:$BB$140,2,FALSE),
  O145="Exterior",((W145*0.15)+(X145*0.7))*VLOOKUP(P145,'MunicípiosEstados'!$BC$2:$BE$221,3,FALSE),TRUE,0
)
</f>
        <v>20047.95</v>
      </c>
      <c r="AL145" s="25">
        <f t="shared" si="3"/>
        <v>46703.15</v>
      </c>
    </row>
    <row r="146" ht="22.5" hidden="1" customHeight="1">
      <c r="A146" s="15">
        <f t="shared" si="1"/>
        <v>145</v>
      </c>
      <c r="B146" s="16">
        <v>45988.40123920139</v>
      </c>
      <c r="C146" s="17" t="s">
        <v>487</v>
      </c>
      <c r="D146" s="27" t="s">
        <v>443</v>
      </c>
      <c r="E146" s="15" t="str">
        <f>VLOOKUP(G146,DiretoriaDepart.Coord.!$A$1:$C$72,2,FALSE)</f>
        <v>Extensão Rural</v>
      </c>
      <c r="F146" s="15" t="str">
        <f>VLOOKUP(G146,DiretoriaDepart.Coord.!$A$1:$C$72,3,FALSE)</f>
        <v>Projetos e Cadeias Produtivas</v>
      </c>
      <c r="G146" s="17" t="s">
        <v>488</v>
      </c>
      <c r="H146" s="15"/>
      <c r="I146" s="17" t="s">
        <v>1091</v>
      </c>
      <c r="J146" s="17" t="s">
        <v>728</v>
      </c>
      <c r="K146" s="17">
        <v>20.0</v>
      </c>
      <c r="L146" s="15"/>
      <c r="M146" s="17" t="s">
        <v>970</v>
      </c>
      <c r="N146" s="17">
        <v>0.0</v>
      </c>
      <c r="O146" s="17" t="s">
        <v>714</v>
      </c>
      <c r="P146" s="17" t="s">
        <v>10</v>
      </c>
      <c r="Q146" s="20">
        <v>45741.333333333336</v>
      </c>
      <c r="R146" s="20">
        <v>45741.708333333336</v>
      </c>
      <c r="S146" s="17" t="s">
        <v>451</v>
      </c>
      <c r="T146" s="17" t="s">
        <v>452</v>
      </c>
      <c r="U146" s="21" t="s">
        <v>1092</v>
      </c>
      <c r="V146" s="21" t="s">
        <v>1093</v>
      </c>
      <c r="W146" s="22">
        <v>30.0</v>
      </c>
      <c r="X146" s="22">
        <v>10.0</v>
      </c>
      <c r="Y146" s="23">
        <v>0.0</v>
      </c>
      <c r="Z146" s="23">
        <v>0.0</v>
      </c>
      <c r="AA146" s="24">
        <v>0.0</v>
      </c>
      <c r="AB146" s="24">
        <v>0.0</v>
      </c>
      <c r="AC146" s="24">
        <v>0.0</v>
      </c>
      <c r="AD146" s="23">
        <v>0.0</v>
      </c>
      <c r="AE146" s="24">
        <v>0.0</v>
      </c>
      <c r="AF146" s="17" t="s">
        <v>464</v>
      </c>
      <c r="AG146" s="17">
        <v>2000.0</v>
      </c>
      <c r="AH146" s="17" t="s">
        <v>464</v>
      </c>
      <c r="AI146" s="25">
        <f>IF(AF146="Sim",INT((R146-Q146+1))*K146*VLOOKUP(P146,'Tabelas Auxiliares'!$A$1:$C$400,3,FALSE),0)</f>
        <v>452.8</v>
      </c>
      <c r="AJ146" s="25">
        <f t="shared" si="2"/>
        <v>1400</v>
      </c>
      <c r="AK146" s="25">
        <f>IFS(
  O146="Acre",((W146*0.15)+(X146*0.7))*VLOOKUP(P146,'MunicípiosEstados'!$A$2:$B$23,2,FALSE),
  O146="Alagoas",((W146*0.15)+(X146*0.7))*VLOOKUP(P146,'MunicípiosEstados'!$C$2:$D$103,2,FALSE),
  O146="Amapá",((W146*0.15)+(X146*0.7))*VLOOKUP(P146,'MunicípiosEstados'!$E$2:$F$17,2,FALSE),
  O146="Amazonas",((W146*0.15)+(X146*0.7))*VLOOKUP(P146,'MunicípiosEstados'!$G$2:$H$63,2,FALSE),
  O146="Bahia",((W146*0.15)+(X146*0.7))*VLOOKUP(P146,'MunicípiosEstados'!$I$2:$J$418,2,FALSE),
  O146="Ceará",((W146*0.15)+(X146*0.7))*VLOOKUP(P146,'MunicípiosEstados'!$K$2:$L$185,2,FALSE),
  O146="Distrito Federal",((W146*0.15)+(X146*0.7))*VLOOKUP(P146,'MunicípiosEstados'!$M$2:$N$2,2,FALSE),
  O146="Espírito Santo",((W146*0.15)+(X146*0.7))*VLOOKUP(P146,'MunicípiosEstados'!$O$2:$P$79,2,FALSE),
  O146="Goiás",((W146*0.15)+(X146*0.7))*VLOOKUP(P146,'MunicípiosEstados'!$Q$2:$R$247,2,FALSE),
  O146="Maranhão",((W146*0.15)+(X146*0.7))*VLOOKUP(P146,'MunicípiosEstados'!$S$2:$T$218,2,FALSE),
  O146="Mato Grosso",((W146*0.15)+(X146*0.7))*VLOOKUP(P146,'MunicípiosEstados'!$U$2:$V$143,2,FALSE),
  O146="Mato Grosso do Sul",((W146*0.15)+(X146*0.7))*VLOOKUP(P146,'MunicípiosEstados'!$W$2:$X$80,2,FALSE),
  O146="Minas Gerais",((W146*0.15)+(X146*0.7))*VLOOKUP(P146,'MunicípiosEstados'!$Y$2:$Z$854,2,FALSE),
  O146="Pará",((W146*0.15)+(X146*0.7))*VLOOKUP(P146,'MunicípiosEstados'!$AA$2:$AB$145,2,FALSE),
  O146="Paraíba",((W146*0.15)+(X146*0.7))*VLOOKUP(P146,'MunicípiosEstados'!$AC$2:$AD$224,2,FALSE),
  O146="Paraná",((W146*0.15)+(X146*0.7))*VLOOKUP(P146,'MunicípiosEstados'!$AE$2:$AF$400,2,FALSE),
  O146="Pernambuco",((W146*0.15)+(X146*0.7))*VLOOKUP(P146,'MunicípiosEstados'!$AG$2:$AH$186,2,FALSE),
  O146="Piauí",((W146*0.15)+(X146*0.7))*VLOOKUP(P146,'MunicípiosEstados'!$AI$2:$AJ$225,2,FALSE),
  O146="Rio Grande do Norte",((W146*0.15)+(X146*0.7))*VLOOKUP(P146,'MunicípiosEstados'!$AK$2:$AL$168,2,FALSE),
  O146="Rio Grande do Sul",((W146*0.15)+(X146*0.7))*VLOOKUP(P146,'MunicípiosEstados'!$AM$2:$AN$498,2,FALSE),
  O146="Rio de Janeiro",((W146*0.15)+(X146*0.7))*VLOOKUP(P146,'MunicípiosEstados'!$AO$2:$AP$93,2,FALSE),
  O146="Rondônia",((W146*0.15)+(X146*0.7))*VLOOKUP(P146,'MunicípiosEstados'!$AQ$2:$AR$53,2,FALSE),
  O146="Roraima",((W146*0.15)+(X146*0.7))*VLOOKUP(P146,'MunicípiosEstados'!$AS$2:$AT$16,2,FALSE),
  O146="Santa Catarina",((W146*0.15)+(X146*0.7))*VLOOKUP(P146,'MunicípiosEstados'!$AU$2:$AV$296,2,FALSE),
  O146="São Paulo",((W146*0.15)+(X146*0.7))*VLOOKUP(P146,'MunicípiosEstados'!$AW$2:$AX$646,2,FALSE),
  O146="Sergipe",((W146*0.15)+(X146*0.7))*VLOOKUP(P146,'MunicípiosEstados'!$AY$2:$AZ$76,2,FALSE),
  O146="Tocantins",((W146*0.15)+(X146*0.7))*VLOOKUP(P146,'MunicípiosEstados'!$BA$2:$BB$140,2,FALSE),
  O146="Exterior",((W146*0.15)+(X146*0.7))*VLOOKUP(P146,'MunicípiosEstados'!$BC$2:$BE$221,3,FALSE),TRUE,0
)
</f>
        <v>3341.325</v>
      </c>
      <c r="AL146" s="25">
        <f t="shared" si="3"/>
        <v>5194.125</v>
      </c>
    </row>
    <row r="147" ht="22.5" customHeight="1">
      <c r="A147" s="15">
        <f t="shared" si="1"/>
        <v>146</v>
      </c>
      <c r="B147" s="16">
        <v>45988.40546030093</v>
      </c>
      <c r="C147" s="17" t="s">
        <v>696</v>
      </c>
      <c r="D147" s="27" t="s">
        <v>443</v>
      </c>
      <c r="E147" s="15" t="str">
        <f>VLOOKUP(G147,DiretoriaDepart.Coord.!$A$1:$C$72,2,FALSE)</f>
        <v>Extensão Rural</v>
      </c>
      <c r="F147" s="15" t="str">
        <f>VLOOKUP(G147,DiretoriaDepart.Coord.!$A$1:$C$72,3,FALSE)</f>
        <v>Projetos e Cadeias Produtivas</v>
      </c>
      <c r="G147" s="17" t="s">
        <v>697</v>
      </c>
      <c r="H147" s="15"/>
      <c r="I147" s="17" t="s">
        <v>1094</v>
      </c>
      <c r="J147" s="17" t="s">
        <v>728</v>
      </c>
      <c r="K147" s="17">
        <v>15.0</v>
      </c>
      <c r="L147" s="15"/>
      <c r="M147" s="17" t="s">
        <v>1095</v>
      </c>
      <c r="N147" s="17">
        <v>30.0</v>
      </c>
      <c r="O147" s="17" t="s">
        <v>714</v>
      </c>
      <c r="P147" s="17" t="s">
        <v>158</v>
      </c>
      <c r="Q147" s="20">
        <v>45796.354166666664</v>
      </c>
      <c r="R147" s="20">
        <v>45798.708333333336</v>
      </c>
      <c r="S147" s="17" t="s">
        <v>451</v>
      </c>
      <c r="T147" s="17" t="s">
        <v>452</v>
      </c>
      <c r="U147" s="21" t="s">
        <v>1096</v>
      </c>
      <c r="V147" s="21" t="s">
        <v>1097</v>
      </c>
      <c r="W147" s="22">
        <v>120.0</v>
      </c>
      <c r="X147" s="22">
        <v>0.0</v>
      </c>
      <c r="Y147" s="23">
        <v>0.0</v>
      </c>
      <c r="Z147" s="23">
        <v>0.0</v>
      </c>
      <c r="AA147" s="24">
        <v>0.0</v>
      </c>
      <c r="AB147" s="24">
        <v>0.0</v>
      </c>
      <c r="AC147" s="24">
        <v>0.0</v>
      </c>
      <c r="AD147" s="23">
        <v>0.0</v>
      </c>
      <c r="AE147" s="24">
        <v>0.0</v>
      </c>
      <c r="AF147" s="17" t="s">
        <v>451</v>
      </c>
      <c r="AG147" s="17">
        <v>6000.0</v>
      </c>
      <c r="AH147" s="17" t="s">
        <v>464</v>
      </c>
      <c r="AI147" s="25">
        <f>IF(AF147="Sim",INT((R147-Q147+1))*K147*VLOOKUP(P147,'Tabelas Auxiliares'!$A$1:$C$400,3,FALSE),0)</f>
        <v>0</v>
      </c>
      <c r="AJ147" s="25">
        <f t="shared" si="2"/>
        <v>4200</v>
      </c>
      <c r="AK147" s="25">
        <f>IFS(
  O147="Acre",((W147*0.15)+(X147*0.7))*VLOOKUP(P147,'MunicípiosEstados'!$A$2:$B$23,2,FALSE),
  O147="Alagoas",((W147*0.15)+(X147*0.7))*VLOOKUP(P147,'MunicípiosEstados'!$C$2:$D$103,2,FALSE),
  O147="Amapá",((W147*0.15)+(X147*0.7))*VLOOKUP(P147,'MunicípiosEstados'!$E$2:$F$17,2,FALSE),
  O147="Amazonas",((W147*0.15)+(X147*0.7))*VLOOKUP(P147,'MunicípiosEstados'!$G$2:$H$63,2,FALSE),
  O147="Bahia",((W147*0.15)+(X147*0.7))*VLOOKUP(P147,'MunicípiosEstados'!$I$2:$J$418,2,FALSE),
  O147="Ceará",((W147*0.15)+(X147*0.7))*VLOOKUP(P147,'MunicípiosEstados'!$K$2:$L$185,2,FALSE),
  O147="Distrito Federal",((W147*0.15)+(X147*0.7))*VLOOKUP(P147,'MunicípiosEstados'!$M$2:$N$2,2,FALSE),
  O147="Espírito Santo",((W147*0.15)+(X147*0.7))*VLOOKUP(P147,'MunicípiosEstados'!$O$2:$P$79,2,FALSE),
  O147="Goiás",((W147*0.15)+(X147*0.7))*VLOOKUP(P147,'MunicípiosEstados'!$Q$2:$R$247,2,FALSE),
  O147="Maranhão",((W147*0.15)+(X147*0.7))*VLOOKUP(P147,'MunicípiosEstados'!$S$2:$T$218,2,FALSE),
  O147="Mato Grosso",((W147*0.15)+(X147*0.7))*VLOOKUP(P147,'MunicípiosEstados'!$U$2:$V$143,2,FALSE),
  O147="Mato Grosso do Sul",((W147*0.15)+(X147*0.7))*VLOOKUP(P147,'MunicípiosEstados'!$W$2:$X$80,2,FALSE),
  O147="Minas Gerais",((W147*0.15)+(X147*0.7))*VLOOKUP(P147,'MunicípiosEstados'!$Y$2:$Z$854,2,FALSE),
  O147="Pará",((W147*0.15)+(X147*0.7))*VLOOKUP(P147,'MunicípiosEstados'!$AA$2:$AB$145,2,FALSE),
  O147="Paraíba",((W147*0.15)+(X147*0.7))*VLOOKUP(P147,'MunicípiosEstados'!$AC$2:$AD$224,2,FALSE),
  O147="Paraná",((W147*0.15)+(X147*0.7))*VLOOKUP(P147,'MunicípiosEstados'!$AE$2:$AF$400,2,FALSE),
  O147="Pernambuco",((W147*0.15)+(X147*0.7))*VLOOKUP(P147,'MunicípiosEstados'!$AG$2:$AH$186,2,FALSE),
  O147="Piauí",((W147*0.15)+(X147*0.7))*VLOOKUP(P147,'MunicípiosEstados'!$AI$2:$AJ$225,2,FALSE),
  O147="Rio Grande do Norte",((W147*0.15)+(X147*0.7))*VLOOKUP(P147,'MunicípiosEstados'!$AK$2:$AL$168,2,FALSE),
  O147="Rio Grande do Sul",((W147*0.15)+(X147*0.7))*VLOOKUP(P147,'MunicípiosEstados'!$AM$2:$AN$498,2,FALSE),
  O147="Rio de Janeiro",((W147*0.15)+(X147*0.7))*VLOOKUP(P147,'MunicípiosEstados'!$AO$2:$AP$93,2,FALSE),
  O147="Rondônia",((W147*0.15)+(X147*0.7))*VLOOKUP(P147,'MunicípiosEstados'!$AQ$2:$AR$53,2,FALSE),
  O147="Roraima",((W147*0.15)+(X147*0.7))*VLOOKUP(P147,'MunicípiosEstados'!$AS$2:$AT$16,2,FALSE),
  O147="Santa Catarina",((W147*0.15)+(X147*0.7))*VLOOKUP(P147,'MunicípiosEstados'!$AU$2:$AV$296,2,FALSE),
  O147="São Paulo",((W147*0.15)+(X147*0.7))*VLOOKUP(P147,'MunicípiosEstados'!$AW$2:$AX$646,2,FALSE),
  O147="Sergipe",((W147*0.15)+(X147*0.7))*VLOOKUP(P147,'MunicípiosEstados'!$AY$2:$AZ$76,2,FALSE),
  O147="Tocantins",((W147*0.15)+(X147*0.7))*VLOOKUP(P147,'MunicípiosEstados'!$BA$2:$BB$140,2,FALSE),
  O147="Exterior",((W147*0.15)+(X147*0.7))*VLOOKUP(P147,'MunicípiosEstados'!$BC$2:$BE$221,3,FALSE),TRUE,0
)
</f>
        <v>5229.9</v>
      </c>
      <c r="AL147" s="25">
        <f t="shared" si="3"/>
        <v>9429.9</v>
      </c>
    </row>
    <row r="148" ht="22.5" hidden="1" customHeight="1">
      <c r="A148" s="15">
        <f t="shared" si="1"/>
        <v>147</v>
      </c>
      <c r="B148" s="16">
        <v>45988.40749149305</v>
      </c>
      <c r="C148" s="17" t="s">
        <v>487</v>
      </c>
      <c r="D148" s="27" t="s">
        <v>443</v>
      </c>
      <c r="E148" s="15" t="str">
        <f>VLOOKUP(G148,DiretoriaDepart.Coord.!$A$1:$C$72,2,FALSE)</f>
        <v>Extensão Rural</v>
      </c>
      <c r="F148" s="15" t="str">
        <f>VLOOKUP(G148,DiretoriaDepart.Coord.!$A$1:$C$72,3,FALSE)</f>
        <v>Projetos e Cadeias Produtivas</v>
      </c>
      <c r="G148" s="17" t="s">
        <v>488</v>
      </c>
      <c r="H148" s="15"/>
      <c r="I148" s="17" t="s">
        <v>1098</v>
      </c>
      <c r="J148" s="17" t="s">
        <v>728</v>
      </c>
      <c r="K148" s="17">
        <v>20.0</v>
      </c>
      <c r="L148" s="15"/>
      <c r="M148" s="17" t="s">
        <v>1074</v>
      </c>
      <c r="N148" s="17">
        <v>0.0</v>
      </c>
      <c r="O148" s="17" t="s">
        <v>714</v>
      </c>
      <c r="P148" s="17" t="s">
        <v>6</v>
      </c>
      <c r="Q148" s="20">
        <v>45782.333333333336</v>
      </c>
      <c r="R148" s="20">
        <v>45783.708333333336</v>
      </c>
      <c r="S148" s="17" t="s">
        <v>451</v>
      </c>
      <c r="T148" s="17" t="s">
        <v>452</v>
      </c>
      <c r="U148" s="21" t="s">
        <v>1099</v>
      </c>
      <c r="V148" s="21" t="s">
        <v>1100</v>
      </c>
      <c r="W148" s="22">
        <v>100.0</v>
      </c>
      <c r="X148" s="22">
        <v>40.0</v>
      </c>
      <c r="Y148" s="23">
        <v>0.0</v>
      </c>
      <c r="Z148" s="23">
        <v>0.0</v>
      </c>
      <c r="AA148" s="24">
        <v>0.0</v>
      </c>
      <c r="AB148" s="24">
        <v>0.0</v>
      </c>
      <c r="AC148" s="24">
        <v>0.0</v>
      </c>
      <c r="AD148" s="23">
        <v>0.0</v>
      </c>
      <c r="AE148" s="24">
        <v>0.0</v>
      </c>
      <c r="AF148" s="17" t="s">
        <v>464</v>
      </c>
      <c r="AG148" s="17">
        <v>3000.0</v>
      </c>
      <c r="AH148" s="17" t="s">
        <v>451</v>
      </c>
      <c r="AI148" s="25">
        <f>IF(AF148="Sim",INT((R148-Q148+1))*K148*VLOOKUP(P148,'Tabelas Auxiliares'!$A$1:$C$400,3,FALSE),0)</f>
        <v>905.6</v>
      </c>
      <c r="AJ148" s="25">
        <f t="shared" si="2"/>
        <v>2100</v>
      </c>
      <c r="AK148" s="25">
        <f>IFS(
  O148="Acre",((W148*0.15)+(X148*0.7))*VLOOKUP(P148,'MunicípiosEstados'!$A$2:$B$23,2,FALSE),
  O148="Alagoas",((W148*0.15)+(X148*0.7))*VLOOKUP(P148,'MunicípiosEstados'!$C$2:$D$103,2,FALSE),
  O148="Amapá",((W148*0.15)+(X148*0.7))*VLOOKUP(P148,'MunicípiosEstados'!$E$2:$F$17,2,FALSE),
  O148="Amazonas",((W148*0.15)+(X148*0.7))*VLOOKUP(P148,'MunicípiosEstados'!$G$2:$H$63,2,FALSE),
  O148="Bahia",((W148*0.15)+(X148*0.7))*VLOOKUP(P148,'MunicípiosEstados'!$I$2:$J$418,2,FALSE),
  O148="Ceará",((W148*0.15)+(X148*0.7))*VLOOKUP(P148,'MunicípiosEstados'!$K$2:$L$185,2,FALSE),
  O148="Distrito Federal",((W148*0.15)+(X148*0.7))*VLOOKUP(P148,'MunicípiosEstados'!$M$2:$N$2,2,FALSE),
  O148="Espírito Santo",((W148*0.15)+(X148*0.7))*VLOOKUP(P148,'MunicípiosEstados'!$O$2:$P$79,2,FALSE),
  O148="Goiás",((W148*0.15)+(X148*0.7))*VLOOKUP(P148,'MunicípiosEstados'!$Q$2:$R$247,2,FALSE),
  O148="Maranhão",((W148*0.15)+(X148*0.7))*VLOOKUP(P148,'MunicípiosEstados'!$S$2:$T$218,2,FALSE),
  O148="Mato Grosso",((W148*0.15)+(X148*0.7))*VLOOKUP(P148,'MunicípiosEstados'!$U$2:$V$143,2,FALSE),
  O148="Mato Grosso do Sul",((W148*0.15)+(X148*0.7))*VLOOKUP(P148,'MunicípiosEstados'!$W$2:$X$80,2,FALSE),
  O148="Minas Gerais",((W148*0.15)+(X148*0.7))*VLOOKUP(P148,'MunicípiosEstados'!$Y$2:$Z$854,2,FALSE),
  O148="Pará",((W148*0.15)+(X148*0.7))*VLOOKUP(P148,'MunicípiosEstados'!$AA$2:$AB$145,2,FALSE),
  O148="Paraíba",((W148*0.15)+(X148*0.7))*VLOOKUP(P148,'MunicípiosEstados'!$AC$2:$AD$224,2,FALSE),
  O148="Paraná",((W148*0.15)+(X148*0.7))*VLOOKUP(P148,'MunicípiosEstados'!$AE$2:$AF$400,2,FALSE),
  O148="Pernambuco",((W148*0.15)+(X148*0.7))*VLOOKUP(P148,'MunicípiosEstados'!$AG$2:$AH$186,2,FALSE),
  O148="Piauí",((W148*0.15)+(X148*0.7))*VLOOKUP(P148,'MunicípiosEstados'!$AI$2:$AJ$225,2,FALSE),
  O148="Rio Grande do Norte",((W148*0.15)+(X148*0.7))*VLOOKUP(P148,'MunicípiosEstados'!$AK$2:$AL$168,2,FALSE),
  O148="Rio Grande do Sul",((W148*0.15)+(X148*0.7))*VLOOKUP(P148,'MunicípiosEstados'!$AM$2:$AN$498,2,FALSE),
  O148="Rio de Janeiro",((W148*0.15)+(X148*0.7))*VLOOKUP(P148,'MunicípiosEstados'!$AO$2:$AP$93,2,FALSE),
  O148="Rondônia",((W148*0.15)+(X148*0.7))*VLOOKUP(P148,'MunicípiosEstados'!$AQ$2:$AR$53,2,FALSE),
  O148="Roraima",((W148*0.15)+(X148*0.7))*VLOOKUP(P148,'MunicípiosEstados'!$AS$2:$AT$16,2,FALSE),
  O148="Santa Catarina",((W148*0.15)+(X148*0.7))*VLOOKUP(P148,'MunicípiosEstados'!$AU$2:$AV$296,2,FALSE),
  O148="São Paulo",((W148*0.15)+(X148*0.7))*VLOOKUP(P148,'MunicípiosEstados'!$AW$2:$AX$646,2,FALSE),
  O148="Sergipe",((W148*0.15)+(X148*0.7))*VLOOKUP(P148,'MunicípiosEstados'!$AY$2:$AZ$76,2,FALSE),
  O148="Tocantins",((W148*0.15)+(X148*0.7))*VLOOKUP(P148,'MunicípiosEstados'!$BA$2:$BB$140,2,FALSE),
  O148="Exterior",((W148*0.15)+(X148*0.7))*VLOOKUP(P148,'MunicípiosEstados'!$BC$2:$BE$221,3,FALSE),TRUE,0
)
</f>
        <v>15964.18</v>
      </c>
      <c r="AL148" s="25">
        <f t="shared" si="3"/>
        <v>18969.78</v>
      </c>
    </row>
    <row r="149" ht="22.5" hidden="1" customHeight="1">
      <c r="A149" s="15">
        <f t="shared" si="1"/>
        <v>148</v>
      </c>
      <c r="B149" s="16">
        <v>45988.411316990736</v>
      </c>
      <c r="C149" s="17" t="s">
        <v>487</v>
      </c>
      <c r="D149" s="27" t="s">
        <v>443</v>
      </c>
      <c r="E149" s="15" t="str">
        <f>VLOOKUP(G149,DiretoriaDepart.Coord.!$A$1:$C$72,2,FALSE)</f>
        <v>Extensão Rural</v>
      </c>
      <c r="F149" s="15" t="str">
        <f>VLOOKUP(G149,DiretoriaDepart.Coord.!$A$1:$C$72,3,FALSE)</f>
        <v>Projetos e Cadeias Produtivas</v>
      </c>
      <c r="G149" s="17" t="s">
        <v>488</v>
      </c>
      <c r="H149" s="15"/>
      <c r="I149" s="17" t="s">
        <v>1101</v>
      </c>
      <c r="J149" s="17" t="s">
        <v>728</v>
      </c>
      <c r="K149" s="17">
        <v>20.0</v>
      </c>
      <c r="L149" s="15"/>
      <c r="M149" s="17" t="s">
        <v>970</v>
      </c>
      <c r="N149" s="17">
        <v>0.0</v>
      </c>
      <c r="O149" s="17" t="s">
        <v>714</v>
      </c>
      <c r="P149" s="17" t="s">
        <v>41</v>
      </c>
      <c r="Q149" s="20">
        <v>45887.333333333336</v>
      </c>
      <c r="R149" s="20">
        <v>45889.708333333336</v>
      </c>
      <c r="S149" s="17" t="s">
        <v>451</v>
      </c>
      <c r="T149" s="17" t="s">
        <v>452</v>
      </c>
      <c r="U149" s="21" t="s">
        <v>1102</v>
      </c>
      <c r="V149" s="21" t="s">
        <v>1103</v>
      </c>
      <c r="W149" s="22">
        <v>110.0</v>
      </c>
      <c r="X149" s="22">
        <v>60.0</v>
      </c>
      <c r="Y149" s="23">
        <v>0.0</v>
      </c>
      <c r="Z149" s="23">
        <v>0.0</v>
      </c>
      <c r="AA149" s="24">
        <v>0.0</v>
      </c>
      <c r="AB149" s="24">
        <v>0.0</v>
      </c>
      <c r="AC149" s="24">
        <v>0.0</v>
      </c>
      <c r="AD149" s="23">
        <v>0.0</v>
      </c>
      <c r="AE149" s="24">
        <v>0.0</v>
      </c>
      <c r="AF149" s="17" t="s">
        <v>464</v>
      </c>
      <c r="AG149" s="17">
        <v>4000.0</v>
      </c>
      <c r="AH149" s="17" t="s">
        <v>451</v>
      </c>
      <c r="AI149" s="25">
        <f>IF(AF149="Sim",INT((R149-Q149+1))*K149*VLOOKUP(P149,'Tabelas Auxiliares'!$A$1:$C$400,3,FALSE),0)</f>
        <v>1358.4</v>
      </c>
      <c r="AJ149" s="25">
        <f t="shared" si="2"/>
        <v>2800</v>
      </c>
      <c r="AK149" s="25">
        <f>IFS(
  O149="Acre",((W149*0.15)+(X149*0.7))*VLOOKUP(P149,'MunicípiosEstados'!$A$2:$B$23,2,FALSE),
  O149="Alagoas",((W149*0.15)+(X149*0.7))*VLOOKUP(P149,'MunicípiosEstados'!$C$2:$D$103,2,FALSE),
  O149="Amapá",((W149*0.15)+(X149*0.7))*VLOOKUP(P149,'MunicípiosEstados'!$E$2:$F$17,2,FALSE),
  O149="Amazonas",((W149*0.15)+(X149*0.7))*VLOOKUP(P149,'MunicípiosEstados'!$G$2:$H$63,2,FALSE),
  O149="Bahia",((W149*0.15)+(X149*0.7))*VLOOKUP(P149,'MunicípiosEstados'!$I$2:$J$418,2,FALSE),
  O149="Ceará",((W149*0.15)+(X149*0.7))*VLOOKUP(P149,'MunicípiosEstados'!$K$2:$L$185,2,FALSE),
  O149="Distrito Federal",((W149*0.15)+(X149*0.7))*VLOOKUP(P149,'MunicípiosEstados'!$M$2:$N$2,2,FALSE),
  O149="Espírito Santo",((W149*0.15)+(X149*0.7))*VLOOKUP(P149,'MunicípiosEstados'!$O$2:$P$79,2,FALSE),
  O149="Goiás",((W149*0.15)+(X149*0.7))*VLOOKUP(P149,'MunicípiosEstados'!$Q$2:$R$247,2,FALSE),
  O149="Maranhão",((W149*0.15)+(X149*0.7))*VLOOKUP(P149,'MunicípiosEstados'!$S$2:$T$218,2,FALSE),
  O149="Mato Grosso",((W149*0.15)+(X149*0.7))*VLOOKUP(P149,'MunicípiosEstados'!$U$2:$V$143,2,FALSE),
  O149="Mato Grosso do Sul",((W149*0.15)+(X149*0.7))*VLOOKUP(P149,'MunicípiosEstados'!$W$2:$X$80,2,FALSE),
  O149="Minas Gerais",((W149*0.15)+(X149*0.7))*VLOOKUP(P149,'MunicípiosEstados'!$Y$2:$Z$854,2,FALSE),
  O149="Pará",((W149*0.15)+(X149*0.7))*VLOOKUP(P149,'MunicípiosEstados'!$AA$2:$AB$145,2,FALSE),
  O149="Paraíba",((W149*0.15)+(X149*0.7))*VLOOKUP(P149,'MunicípiosEstados'!$AC$2:$AD$224,2,FALSE),
  O149="Paraná",((W149*0.15)+(X149*0.7))*VLOOKUP(P149,'MunicípiosEstados'!$AE$2:$AF$400,2,FALSE),
  O149="Pernambuco",((W149*0.15)+(X149*0.7))*VLOOKUP(P149,'MunicípiosEstados'!$AG$2:$AH$186,2,FALSE),
  O149="Piauí",((W149*0.15)+(X149*0.7))*VLOOKUP(P149,'MunicípiosEstados'!$AI$2:$AJ$225,2,FALSE),
  O149="Rio Grande do Norte",((W149*0.15)+(X149*0.7))*VLOOKUP(P149,'MunicípiosEstados'!$AK$2:$AL$168,2,FALSE),
  O149="Rio Grande do Sul",((W149*0.15)+(X149*0.7))*VLOOKUP(P149,'MunicípiosEstados'!$AM$2:$AN$498,2,FALSE),
  O149="Rio de Janeiro",((W149*0.15)+(X149*0.7))*VLOOKUP(P149,'MunicípiosEstados'!$AO$2:$AP$93,2,FALSE),
  O149="Rondônia",((W149*0.15)+(X149*0.7))*VLOOKUP(P149,'MunicípiosEstados'!$AQ$2:$AR$53,2,FALSE),
  O149="Roraima",((W149*0.15)+(X149*0.7))*VLOOKUP(P149,'MunicípiosEstados'!$AS$2:$AT$16,2,FALSE),
  O149="Santa Catarina",((W149*0.15)+(X149*0.7))*VLOOKUP(P149,'MunicípiosEstados'!$AU$2:$AV$296,2,FALSE),
  O149="São Paulo",((W149*0.15)+(X149*0.7))*VLOOKUP(P149,'MunicípiosEstados'!$AW$2:$AX$646,2,FALSE),
  O149="Sergipe",((W149*0.15)+(X149*0.7))*VLOOKUP(P149,'MunicípiosEstados'!$AY$2:$AZ$76,2,FALSE),
  O149="Tocantins",((W149*0.15)+(X149*0.7))*VLOOKUP(P149,'MunicípiosEstados'!$BA$2:$BB$140,2,FALSE),
  O149="Exterior",((W149*0.15)+(X149*0.7))*VLOOKUP(P149,'MunicípiosEstados'!$BC$2:$BE$221,3,FALSE),TRUE,0
)
</f>
        <v>16997.175</v>
      </c>
      <c r="AL149" s="25">
        <f t="shared" si="3"/>
        <v>21155.575</v>
      </c>
    </row>
    <row r="150" ht="22.5" hidden="1" customHeight="1">
      <c r="A150" s="15">
        <f t="shared" si="1"/>
        <v>149</v>
      </c>
      <c r="B150" s="16">
        <v>45988.54475288195</v>
      </c>
      <c r="C150" s="17" t="s">
        <v>487</v>
      </c>
      <c r="D150" s="27" t="s">
        <v>443</v>
      </c>
      <c r="E150" s="15" t="str">
        <f>VLOOKUP(G150,DiretoriaDepart.Coord.!$A$1:$C$72,2,FALSE)</f>
        <v>Extensão Rural</v>
      </c>
      <c r="F150" s="15" t="str">
        <f>VLOOKUP(G150,DiretoriaDepart.Coord.!$A$1:$C$72,3,FALSE)</f>
        <v>Projetos e Cadeias Produtivas</v>
      </c>
      <c r="G150" s="17" t="s">
        <v>488</v>
      </c>
      <c r="H150" s="15"/>
      <c r="I150" s="17" t="s">
        <v>1065</v>
      </c>
      <c r="J150" s="17" t="s">
        <v>728</v>
      </c>
      <c r="K150" s="17">
        <v>20.0</v>
      </c>
      <c r="L150" s="15"/>
      <c r="M150" s="17" t="s">
        <v>1066</v>
      </c>
      <c r="N150" s="17">
        <v>0.0</v>
      </c>
      <c r="O150" s="17" t="s">
        <v>714</v>
      </c>
      <c r="P150" s="17" t="s">
        <v>12</v>
      </c>
      <c r="Q150" s="20">
        <v>45767.333333333336</v>
      </c>
      <c r="R150" s="20">
        <v>45767.708333333336</v>
      </c>
      <c r="S150" s="17" t="s">
        <v>451</v>
      </c>
      <c r="T150" s="17" t="s">
        <v>452</v>
      </c>
      <c r="U150" s="21" t="s">
        <v>1067</v>
      </c>
      <c r="V150" s="21" t="s">
        <v>1068</v>
      </c>
      <c r="W150" s="22">
        <v>30.0</v>
      </c>
      <c r="X150" s="22">
        <v>10.0</v>
      </c>
      <c r="Y150" s="23">
        <v>0.0</v>
      </c>
      <c r="Z150" s="23">
        <v>0.0</v>
      </c>
      <c r="AA150" s="24">
        <v>0.0</v>
      </c>
      <c r="AB150" s="24">
        <v>0.0</v>
      </c>
      <c r="AC150" s="24">
        <v>0.0</v>
      </c>
      <c r="AD150" s="23">
        <v>0.0</v>
      </c>
      <c r="AE150" s="24">
        <v>0.0</v>
      </c>
      <c r="AF150" s="17" t="s">
        <v>464</v>
      </c>
      <c r="AG150" s="17">
        <v>2000.0</v>
      </c>
      <c r="AH150" s="17" t="s">
        <v>451</v>
      </c>
      <c r="AI150" s="25">
        <f>IF(AF150="Sim",INT((R150-Q150+1))*K150*VLOOKUP(P150,'Tabelas Auxiliares'!$A$1:$C$400,3,FALSE),0)</f>
        <v>452.8</v>
      </c>
      <c r="AJ150" s="25">
        <f t="shared" si="2"/>
        <v>1400</v>
      </c>
      <c r="AK150" s="25">
        <f>IFS(
  O150="Acre",((W150*0.15)+(X150*0.7))*VLOOKUP(P150,'MunicípiosEstados'!$A$2:$B$23,2,FALSE),
  O150="Alagoas",((W150*0.15)+(X150*0.7))*VLOOKUP(P150,'MunicípiosEstados'!$C$2:$D$103,2,FALSE),
  O150="Amapá",((W150*0.15)+(X150*0.7))*VLOOKUP(P150,'MunicípiosEstados'!$E$2:$F$17,2,FALSE),
  O150="Amazonas",((W150*0.15)+(X150*0.7))*VLOOKUP(P150,'MunicípiosEstados'!$G$2:$H$63,2,FALSE),
  O150="Bahia",((W150*0.15)+(X150*0.7))*VLOOKUP(P150,'MunicípiosEstados'!$I$2:$J$418,2,FALSE),
  O150="Ceará",((W150*0.15)+(X150*0.7))*VLOOKUP(P150,'MunicípiosEstados'!$K$2:$L$185,2,FALSE),
  O150="Distrito Federal",((W150*0.15)+(X150*0.7))*VLOOKUP(P150,'MunicípiosEstados'!$M$2:$N$2,2,FALSE),
  O150="Espírito Santo",((W150*0.15)+(X150*0.7))*VLOOKUP(P150,'MunicípiosEstados'!$O$2:$P$79,2,FALSE),
  O150="Goiás",((W150*0.15)+(X150*0.7))*VLOOKUP(P150,'MunicípiosEstados'!$Q$2:$R$247,2,FALSE),
  O150="Maranhão",((W150*0.15)+(X150*0.7))*VLOOKUP(P150,'MunicípiosEstados'!$S$2:$T$218,2,FALSE),
  O150="Mato Grosso",((W150*0.15)+(X150*0.7))*VLOOKUP(P150,'MunicípiosEstados'!$U$2:$V$143,2,FALSE),
  O150="Mato Grosso do Sul",((W150*0.15)+(X150*0.7))*VLOOKUP(P150,'MunicípiosEstados'!$W$2:$X$80,2,FALSE),
  O150="Minas Gerais",((W150*0.15)+(X150*0.7))*VLOOKUP(P150,'MunicípiosEstados'!$Y$2:$Z$854,2,FALSE),
  O150="Pará",((W150*0.15)+(X150*0.7))*VLOOKUP(P150,'MunicípiosEstados'!$AA$2:$AB$145,2,FALSE),
  O150="Paraíba",((W150*0.15)+(X150*0.7))*VLOOKUP(P150,'MunicípiosEstados'!$AC$2:$AD$224,2,FALSE),
  O150="Paraná",((W150*0.15)+(X150*0.7))*VLOOKUP(P150,'MunicípiosEstados'!$AE$2:$AF$400,2,FALSE),
  O150="Pernambuco",((W150*0.15)+(X150*0.7))*VLOOKUP(P150,'MunicípiosEstados'!$AG$2:$AH$186,2,FALSE),
  O150="Piauí",((W150*0.15)+(X150*0.7))*VLOOKUP(P150,'MunicípiosEstados'!$AI$2:$AJ$225,2,FALSE),
  O150="Rio Grande do Norte",((W150*0.15)+(X150*0.7))*VLOOKUP(P150,'MunicípiosEstados'!$AK$2:$AL$168,2,FALSE),
  O150="Rio Grande do Sul",((W150*0.15)+(X150*0.7))*VLOOKUP(P150,'MunicípiosEstados'!$AM$2:$AN$498,2,FALSE),
  O150="Rio de Janeiro",((W150*0.15)+(X150*0.7))*VLOOKUP(P150,'MunicípiosEstados'!$AO$2:$AP$93,2,FALSE),
  O150="Rondônia",((W150*0.15)+(X150*0.7))*VLOOKUP(P150,'MunicípiosEstados'!$AQ$2:$AR$53,2,FALSE),
  O150="Roraima",((W150*0.15)+(X150*0.7))*VLOOKUP(P150,'MunicípiosEstados'!$AS$2:$AT$16,2,FALSE),
  O150="Santa Catarina",((W150*0.15)+(X150*0.7))*VLOOKUP(P150,'MunicípiosEstados'!$AU$2:$AV$296,2,FALSE),
  O150="São Paulo",((W150*0.15)+(X150*0.7))*VLOOKUP(P150,'MunicípiosEstados'!$AW$2:$AX$646,2,FALSE),
  O150="Sergipe",((W150*0.15)+(X150*0.7))*VLOOKUP(P150,'MunicípiosEstados'!$AY$2:$AZ$76,2,FALSE),
  O150="Tocantins",((W150*0.15)+(X150*0.7))*VLOOKUP(P150,'MunicípiosEstados'!$BA$2:$BB$140,2,FALSE),
  O150="Exterior",((W150*0.15)+(X150*0.7))*VLOOKUP(P150,'MunicípiosEstados'!$BC$2:$BE$221,3,FALSE),TRUE,0
)
</f>
        <v>3341.325</v>
      </c>
      <c r="AL150" s="25">
        <f t="shared" si="3"/>
        <v>5194.125</v>
      </c>
    </row>
    <row r="151" ht="22.5" hidden="1" customHeight="1">
      <c r="A151" s="15">
        <f t="shared" si="1"/>
        <v>150</v>
      </c>
      <c r="B151" s="16">
        <v>45988.54948307871</v>
      </c>
      <c r="C151" s="17" t="s">
        <v>1104</v>
      </c>
      <c r="D151" s="27" t="s">
        <v>443</v>
      </c>
      <c r="E151" s="15" t="str">
        <f>VLOOKUP(G151,DiretoriaDepart.Coord.!$A$1:$C$72,2,FALSE)</f>
        <v>Pesquisa e Inovação</v>
      </c>
      <c r="F151" s="15" t="str">
        <f>VLOOKUP(G151,DiretoriaDepart.Coord.!$A$1:$C$72,3,FALSE)</f>
        <v>Inovação e Comunicação Científica</v>
      </c>
      <c r="G151" s="17" t="s">
        <v>753</v>
      </c>
      <c r="H151" s="15"/>
      <c r="I151" s="19" t="s">
        <v>1105</v>
      </c>
      <c r="J151" s="17" t="s">
        <v>728</v>
      </c>
      <c r="K151" s="17">
        <v>1.0</v>
      </c>
      <c r="L151" s="17" t="s">
        <v>1106</v>
      </c>
      <c r="M151" s="17" t="s">
        <v>451</v>
      </c>
      <c r="N151" s="17">
        <v>0.0</v>
      </c>
      <c r="O151" s="17" t="s">
        <v>714</v>
      </c>
      <c r="P151" s="17" t="s">
        <v>18</v>
      </c>
      <c r="Q151" s="20">
        <v>45689.333333333336</v>
      </c>
      <c r="R151" s="20">
        <v>45688.333333333336</v>
      </c>
      <c r="S151" s="17" t="s">
        <v>464</v>
      </c>
      <c r="T151" s="17" t="s">
        <v>747</v>
      </c>
      <c r="U151" s="21" t="s">
        <v>1107</v>
      </c>
      <c r="V151" s="21" t="s">
        <v>1108</v>
      </c>
      <c r="W151" s="22">
        <v>0.0</v>
      </c>
      <c r="X151" s="22">
        <v>0.0</v>
      </c>
      <c r="Y151" s="23">
        <v>15000.0</v>
      </c>
      <c r="Z151" s="23">
        <v>0.0</v>
      </c>
      <c r="AA151" s="24">
        <v>0.0</v>
      </c>
      <c r="AB151" s="24">
        <v>0.0</v>
      </c>
      <c r="AC151" s="24">
        <v>0.0</v>
      </c>
      <c r="AD151" s="23">
        <v>0.0</v>
      </c>
      <c r="AE151" s="24">
        <v>0.0</v>
      </c>
      <c r="AF151" s="17" t="s">
        <v>451</v>
      </c>
      <c r="AG151" s="17">
        <v>0.0</v>
      </c>
      <c r="AH151" s="17" t="s">
        <v>451</v>
      </c>
      <c r="AI151" s="25">
        <f>IF(AF151="Sim",INT((R151-Q151+1))*K151*VLOOKUP(P151,'Tabelas Auxiliares'!$A$1:$C$400,3,FALSE),0)</f>
        <v>0</v>
      </c>
      <c r="AJ151" s="25">
        <f t="shared" si="2"/>
        <v>0</v>
      </c>
      <c r="AK151" s="25">
        <f>IFS(
  O151="Acre",((W151*0.15)+(X151*0.7))*VLOOKUP(P151,'MunicípiosEstados'!$A$2:$B$23,2,FALSE),
  O151="Alagoas",((W151*0.15)+(X151*0.7))*VLOOKUP(P151,'MunicípiosEstados'!$C$2:$D$103,2,FALSE),
  O151="Amapá",((W151*0.15)+(X151*0.7))*VLOOKUP(P151,'MunicípiosEstados'!$E$2:$F$17,2,FALSE),
  O151="Amazonas",((W151*0.15)+(X151*0.7))*VLOOKUP(P151,'MunicípiosEstados'!$G$2:$H$63,2,FALSE),
  O151="Bahia",((W151*0.15)+(X151*0.7))*VLOOKUP(P151,'MunicípiosEstados'!$I$2:$J$418,2,FALSE),
  O151="Ceará",((W151*0.15)+(X151*0.7))*VLOOKUP(P151,'MunicípiosEstados'!$K$2:$L$185,2,FALSE),
  O151="Distrito Federal",((W151*0.15)+(X151*0.7))*VLOOKUP(P151,'MunicípiosEstados'!$M$2:$N$2,2,FALSE),
  O151="Espírito Santo",((W151*0.15)+(X151*0.7))*VLOOKUP(P151,'MunicípiosEstados'!$O$2:$P$79,2,FALSE),
  O151="Goiás",((W151*0.15)+(X151*0.7))*VLOOKUP(P151,'MunicípiosEstados'!$Q$2:$R$247,2,FALSE),
  O151="Maranhão",((W151*0.15)+(X151*0.7))*VLOOKUP(P151,'MunicípiosEstados'!$S$2:$T$218,2,FALSE),
  O151="Mato Grosso",((W151*0.15)+(X151*0.7))*VLOOKUP(P151,'MunicípiosEstados'!$U$2:$V$143,2,FALSE),
  O151="Mato Grosso do Sul",((W151*0.15)+(X151*0.7))*VLOOKUP(P151,'MunicípiosEstados'!$W$2:$X$80,2,FALSE),
  O151="Minas Gerais",((W151*0.15)+(X151*0.7))*VLOOKUP(P151,'MunicípiosEstados'!$Y$2:$Z$854,2,FALSE),
  O151="Pará",((W151*0.15)+(X151*0.7))*VLOOKUP(P151,'MunicípiosEstados'!$AA$2:$AB$145,2,FALSE),
  O151="Paraíba",((W151*0.15)+(X151*0.7))*VLOOKUP(P151,'MunicípiosEstados'!$AC$2:$AD$224,2,FALSE),
  O151="Paraná",((W151*0.15)+(X151*0.7))*VLOOKUP(P151,'MunicípiosEstados'!$AE$2:$AF$400,2,FALSE),
  O151="Pernambuco",((W151*0.15)+(X151*0.7))*VLOOKUP(P151,'MunicípiosEstados'!$AG$2:$AH$186,2,FALSE),
  O151="Piauí",((W151*0.15)+(X151*0.7))*VLOOKUP(P151,'MunicípiosEstados'!$AI$2:$AJ$225,2,FALSE),
  O151="Rio Grande do Norte",((W151*0.15)+(X151*0.7))*VLOOKUP(P151,'MunicípiosEstados'!$AK$2:$AL$168,2,FALSE),
  O151="Rio Grande do Sul",((W151*0.15)+(X151*0.7))*VLOOKUP(P151,'MunicípiosEstados'!$AM$2:$AN$498,2,FALSE),
  O151="Rio de Janeiro",((W151*0.15)+(X151*0.7))*VLOOKUP(P151,'MunicípiosEstados'!$AO$2:$AP$93,2,FALSE),
  O151="Rondônia",((W151*0.15)+(X151*0.7))*VLOOKUP(P151,'MunicípiosEstados'!$AQ$2:$AR$53,2,FALSE),
  O151="Roraima",((W151*0.15)+(X151*0.7))*VLOOKUP(P151,'MunicípiosEstados'!$AS$2:$AT$16,2,FALSE),
  O151="Santa Catarina",((W151*0.15)+(X151*0.7))*VLOOKUP(P151,'MunicípiosEstados'!$AU$2:$AV$296,2,FALSE),
  O151="São Paulo",((W151*0.15)+(X151*0.7))*VLOOKUP(P151,'MunicípiosEstados'!$AW$2:$AX$646,2,FALSE),
  O151="Sergipe",((W151*0.15)+(X151*0.7))*VLOOKUP(P151,'MunicípiosEstados'!$AY$2:$AZ$76,2,FALSE),
  O151="Tocantins",((W151*0.15)+(X151*0.7))*VLOOKUP(P151,'MunicípiosEstados'!$BA$2:$BB$140,2,FALSE),
  O151="Exterior",((W151*0.15)+(X151*0.7))*VLOOKUP(P151,'MunicípiosEstados'!$BC$2:$BE$221,3,FALSE),TRUE,0
)
</f>
        <v>0</v>
      </c>
      <c r="AL151" s="25">
        <f t="shared" si="3"/>
        <v>15000</v>
      </c>
      <c r="AN151" s="35"/>
    </row>
    <row r="152" ht="22.5" hidden="1" customHeight="1">
      <c r="A152" s="15">
        <f t="shared" si="1"/>
        <v>151</v>
      </c>
      <c r="B152" s="16">
        <v>45988.54948418982</v>
      </c>
      <c r="C152" s="17" t="s">
        <v>487</v>
      </c>
      <c r="D152" s="27" t="s">
        <v>443</v>
      </c>
      <c r="E152" s="15" t="str">
        <f>VLOOKUP(G152,DiretoriaDepart.Coord.!$A$1:$C$72,2,FALSE)</f>
        <v>Extensão Rural</v>
      </c>
      <c r="F152" s="15" t="str">
        <f>VLOOKUP(G152,DiretoriaDepart.Coord.!$A$1:$C$72,3,FALSE)</f>
        <v>Projetos e Cadeias Produtivas</v>
      </c>
      <c r="G152" s="17" t="s">
        <v>488</v>
      </c>
      <c r="H152" s="15"/>
      <c r="I152" s="17" t="s">
        <v>1065</v>
      </c>
      <c r="J152" s="17" t="s">
        <v>728</v>
      </c>
      <c r="K152" s="17">
        <v>20.0</v>
      </c>
      <c r="L152" s="15"/>
      <c r="M152" s="17" t="s">
        <v>1066</v>
      </c>
      <c r="N152" s="17">
        <v>0.0</v>
      </c>
      <c r="O152" s="17" t="s">
        <v>714</v>
      </c>
      <c r="P152" s="17" t="s">
        <v>18</v>
      </c>
      <c r="Q152" s="20">
        <v>45777.333333333336</v>
      </c>
      <c r="R152" s="20">
        <v>45777.708333333336</v>
      </c>
      <c r="S152" s="17" t="s">
        <v>451</v>
      </c>
      <c r="T152" s="17" t="s">
        <v>452</v>
      </c>
      <c r="U152" s="21" t="s">
        <v>1067</v>
      </c>
      <c r="V152" s="21" t="s">
        <v>1109</v>
      </c>
      <c r="W152" s="22">
        <v>30.0</v>
      </c>
      <c r="X152" s="22">
        <v>10.0</v>
      </c>
      <c r="Y152" s="23">
        <v>0.0</v>
      </c>
      <c r="Z152" s="23">
        <v>0.0</v>
      </c>
      <c r="AA152" s="24">
        <v>0.0</v>
      </c>
      <c r="AB152" s="24">
        <v>0.0</v>
      </c>
      <c r="AC152" s="24">
        <v>0.0</v>
      </c>
      <c r="AD152" s="23">
        <v>0.0</v>
      </c>
      <c r="AE152" s="24">
        <v>0.0</v>
      </c>
      <c r="AF152" s="17" t="s">
        <v>464</v>
      </c>
      <c r="AG152" s="17">
        <v>2000.0</v>
      </c>
      <c r="AH152" s="17" t="s">
        <v>451</v>
      </c>
      <c r="AI152" s="25">
        <f>IF(AF152="Sim",INT((R152-Q152+1))*K152*VLOOKUP(P152,'Tabelas Auxiliares'!$A$1:$C$400,3,FALSE),0)</f>
        <v>452.8</v>
      </c>
      <c r="AJ152" s="25">
        <f t="shared" si="2"/>
        <v>1400</v>
      </c>
      <c r="AK152" s="25">
        <f>IFS(
  O152="Acre",((W152*0.15)+(X152*0.7))*VLOOKUP(P152,'MunicípiosEstados'!$A$2:$B$23,2,FALSE),
  O152="Alagoas",((W152*0.15)+(X152*0.7))*VLOOKUP(P152,'MunicípiosEstados'!$C$2:$D$103,2,FALSE),
  O152="Amapá",((W152*0.15)+(X152*0.7))*VLOOKUP(P152,'MunicípiosEstados'!$E$2:$F$17,2,FALSE),
  O152="Amazonas",((W152*0.15)+(X152*0.7))*VLOOKUP(P152,'MunicípiosEstados'!$G$2:$H$63,2,FALSE),
  O152="Bahia",((W152*0.15)+(X152*0.7))*VLOOKUP(P152,'MunicípiosEstados'!$I$2:$J$418,2,FALSE),
  O152="Ceará",((W152*0.15)+(X152*0.7))*VLOOKUP(P152,'MunicípiosEstados'!$K$2:$L$185,2,FALSE),
  O152="Distrito Federal",((W152*0.15)+(X152*0.7))*VLOOKUP(P152,'MunicípiosEstados'!$M$2:$N$2,2,FALSE),
  O152="Espírito Santo",((W152*0.15)+(X152*0.7))*VLOOKUP(P152,'MunicípiosEstados'!$O$2:$P$79,2,FALSE),
  O152="Goiás",((W152*0.15)+(X152*0.7))*VLOOKUP(P152,'MunicípiosEstados'!$Q$2:$R$247,2,FALSE),
  O152="Maranhão",((W152*0.15)+(X152*0.7))*VLOOKUP(P152,'MunicípiosEstados'!$S$2:$T$218,2,FALSE),
  O152="Mato Grosso",((W152*0.15)+(X152*0.7))*VLOOKUP(P152,'MunicípiosEstados'!$U$2:$V$143,2,FALSE),
  O152="Mato Grosso do Sul",((W152*0.15)+(X152*0.7))*VLOOKUP(P152,'MunicípiosEstados'!$W$2:$X$80,2,FALSE),
  O152="Minas Gerais",((W152*0.15)+(X152*0.7))*VLOOKUP(P152,'MunicípiosEstados'!$Y$2:$Z$854,2,FALSE),
  O152="Pará",((W152*0.15)+(X152*0.7))*VLOOKUP(P152,'MunicípiosEstados'!$AA$2:$AB$145,2,FALSE),
  O152="Paraíba",((W152*0.15)+(X152*0.7))*VLOOKUP(P152,'MunicípiosEstados'!$AC$2:$AD$224,2,FALSE),
  O152="Paraná",((W152*0.15)+(X152*0.7))*VLOOKUP(P152,'MunicípiosEstados'!$AE$2:$AF$400,2,FALSE),
  O152="Pernambuco",((W152*0.15)+(X152*0.7))*VLOOKUP(P152,'MunicípiosEstados'!$AG$2:$AH$186,2,FALSE),
  O152="Piauí",((W152*0.15)+(X152*0.7))*VLOOKUP(P152,'MunicípiosEstados'!$AI$2:$AJ$225,2,FALSE),
  O152="Rio Grande do Norte",((W152*0.15)+(X152*0.7))*VLOOKUP(P152,'MunicípiosEstados'!$AK$2:$AL$168,2,FALSE),
  O152="Rio Grande do Sul",((W152*0.15)+(X152*0.7))*VLOOKUP(P152,'MunicípiosEstados'!$AM$2:$AN$498,2,FALSE),
  O152="Rio de Janeiro",((W152*0.15)+(X152*0.7))*VLOOKUP(P152,'MunicípiosEstados'!$AO$2:$AP$93,2,FALSE),
  O152="Rondônia",((W152*0.15)+(X152*0.7))*VLOOKUP(P152,'MunicípiosEstados'!$AQ$2:$AR$53,2,FALSE),
  O152="Roraima",((W152*0.15)+(X152*0.7))*VLOOKUP(P152,'MunicípiosEstados'!$AS$2:$AT$16,2,FALSE),
  O152="Santa Catarina",((W152*0.15)+(X152*0.7))*VLOOKUP(P152,'MunicípiosEstados'!$AU$2:$AV$296,2,FALSE),
  O152="São Paulo",((W152*0.15)+(X152*0.7))*VLOOKUP(P152,'MunicípiosEstados'!$AW$2:$AX$646,2,FALSE),
  O152="Sergipe",((W152*0.15)+(X152*0.7))*VLOOKUP(P152,'MunicípiosEstados'!$AY$2:$AZ$76,2,FALSE),
  O152="Tocantins",((W152*0.15)+(X152*0.7))*VLOOKUP(P152,'MunicípiosEstados'!$BA$2:$BB$140,2,FALSE),
  O152="Exterior",((W152*0.15)+(X152*0.7))*VLOOKUP(P152,'MunicípiosEstados'!$BC$2:$BE$221,3,FALSE),TRUE,0
)
</f>
        <v>3341.325</v>
      </c>
      <c r="AL152" s="25">
        <f t="shared" si="3"/>
        <v>5194.125</v>
      </c>
    </row>
    <row r="153" ht="22.5" hidden="1" customHeight="1">
      <c r="A153" s="15">
        <f t="shared" si="1"/>
        <v>152</v>
      </c>
      <c r="B153" s="16">
        <v>45988.551970995366</v>
      </c>
      <c r="C153" s="17" t="s">
        <v>487</v>
      </c>
      <c r="D153" s="27" t="s">
        <v>443</v>
      </c>
      <c r="E153" s="15" t="str">
        <f>VLOOKUP(G153,DiretoriaDepart.Coord.!$A$1:$C$72,2,FALSE)</f>
        <v>Extensão Rural</v>
      </c>
      <c r="F153" s="15" t="str">
        <f>VLOOKUP(G153,DiretoriaDepart.Coord.!$A$1:$C$72,3,FALSE)</f>
        <v>Projetos e Cadeias Produtivas</v>
      </c>
      <c r="G153" s="17" t="s">
        <v>488</v>
      </c>
      <c r="H153" s="15"/>
      <c r="I153" s="17" t="s">
        <v>1065</v>
      </c>
      <c r="J153" s="17" t="s">
        <v>728</v>
      </c>
      <c r="K153" s="17">
        <v>20.0</v>
      </c>
      <c r="L153" s="15"/>
      <c r="M153" s="17" t="s">
        <v>1066</v>
      </c>
      <c r="N153" s="17">
        <v>0.0</v>
      </c>
      <c r="O153" s="17" t="s">
        <v>714</v>
      </c>
      <c r="P153" s="17" t="s">
        <v>31</v>
      </c>
      <c r="Q153" s="20">
        <v>45784.333333333336</v>
      </c>
      <c r="R153" s="20">
        <v>45784.708333333336</v>
      </c>
      <c r="S153" s="17" t="s">
        <v>451</v>
      </c>
      <c r="T153" s="17" t="s">
        <v>452</v>
      </c>
      <c r="U153" s="21" t="s">
        <v>1067</v>
      </c>
      <c r="V153" s="21" t="s">
        <v>1068</v>
      </c>
      <c r="W153" s="22">
        <v>30.0</v>
      </c>
      <c r="X153" s="22">
        <v>10.0</v>
      </c>
      <c r="Y153" s="23">
        <v>0.0</v>
      </c>
      <c r="Z153" s="23">
        <v>0.0</v>
      </c>
      <c r="AA153" s="24">
        <v>0.0</v>
      </c>
      <c r="AB153" s="24">
        <v>0.0</v>
      </c>
      <c r="AC153" s="24">
        <v>0.0</v>
      </c>
      <c r="AD153" s="23">
        <v>0.0</v>
      </c>
      <c r="AE153" s="24">
        <v>0.0</v>
      </c>
      <c r="AF153" s="17" t="s">
        <v>464</v>
      </c>
      <c r="AG153" s="17">
        <v>2000.0</v>
      </c>
      <c r="AH153" s="17" t="s">
        <v>451</v>
      </c>
      <c r="AI153" s="25">
        <f>IF(AF153="Sim",INT((R153-Q153+1))*K153*VLOOKUP(P153,'Tabelas Auxiliares'!$A$1:$C$400,3,FALSE),0)</f>
        <v>452.8</v>
      </c>
      <c r="AJ153" s="25">
        <f t="shared" si="2"/>
        <v>1400</v>
      </c>
      <c r="AK153" s="25">
        <f>IFS(
  O153="Acre",((W153*0.15)+(X153*0.7))*VLOOKUP(P153,'MunicípiosEstados'!$A$2:$B$23,2,FALSE),
  O153="Alagoas",((W153*0.15)+(X153*0.7))*VLOOKUP(P153,'MunicípiosEstados'!$C$2:$D$103,2,FALSE),
  O153="Amapá",((W153*0.15)+(X153*0.7))*VLOOKUP(P153,'MunicípiosEstados'!$E$2:$F$17,2,FALSE),
  O153="Amazonas",((W153*0.15)+(X153*0.7))*VLOOKUP(P153,'MunicípiosEstados'!$G$2:$H$63,2,FALSE),
  O153="Bahia",((W153*0.15)+(X153*0.7))*VLOOKUP(P153,'MunicípiosEstados'!$I$2:$J$418,2,FALSE),
  O153="Ceará",((W153*0.15)+(X153*0.7))*VLOOKUP(P153,'MunicípiosEstados'!$K$2:$L$185,2,FALSE),
  O153="Distrito Federal",((W153*0.15)+(X153*0.7))*VLOOKUP(P153,'MunicípiosEstados'!$M$2:$N$2,2,FALSE),
  O153="Espírito Santo",((W153*0.15)+(X153*0.7))*VLOOKUP(P153,'MunicípiosEstados'!$O$2:$P$79,2,FALSE),
  O153="Goiás",((W153*0.15)+(X153*0.7))*VLOOKUP(P153,'MunicípiosEstados'!$Q$2:$R$247,2,FALSE),
  O153="Maranhão",((W153*0.15)+(X153*0.7))*VLOOKUP(P153,'MunicípiosEstados'!$S$2:$T$218,2,FALSE),
  O153="Mato Grosso",((W153*0.15)+(X153*0.7))*VLOOKUP(P153,'MunicípiosEstados'!$U$2:$V$143,2,FALSE),
  O153="Mato Grosso do Sul",((W153*0.15)+(X153*0.7))*VLOOKUP(P153,'MunicípiosEstados'!$W$2:$X$80,2,FALSE),
  O153="Minas Gerais",((W153*0.15)+(X153*0.7))*VLOOKUP(P153,'MunicípiosEstados'!$Y$2:$Z$854,2,FALSE),
  O153="Pará",((W153*0.15)+(X153*0.7))*VLOOKUP(P153,'MunicípiosEstados'!$AA$2:$AB$145,2,FALSE),
  O153="Paraíba",((W153*0.15)+(X153*0.7))*VLOOKUP(P153,'MunicípiosEstados'!$AC$2:$AD$224,2,FALSE),
  O153="Paraná",((W153*0.15)+(X153*0.7))*VLOOKUP(P153,'MunicípiosEstados'!$AE$2:$AF$400,2,FALSE),
  O153="Pernambuco",((W153*0.15)+(X153*0.7))*VLOOKUP(P153,'MunicípiosEstados'!$AG$2:$AH$186,2,FALSE),
  O153="Piauí",((W153*0.15)+(X153*0.7))*VLOOKUP(P153,'MunicípiosEstados'!$AI$2:$AJ$225,2,FALSE),
  O153="Rio Grande do Norte",((W153*0.15)+(X153*0.7))*VLOOKUP(P153,'MunicípiosEstados'!$AK$2:$AL$168,2,FALSE),
  O153="Rio Grande do Sul",((W153*0.15)+(X153*0.7))*VLOOKUP(P153,'MunicípiosEstados'!$AM$2:$AN$498,2,FALSE),
  O153="Rio de Janeiro",((W153*0.15)+(X153*0.7))*VLOOKUP(P153,'MunicípiosEstados'!$AO$2:$AP$93,2,FALSE),
  O153="Rondônia",((W153*0.15)+(X153*0.7))*VLOOKUP(P153,'MunicípiosEstados'!$AQ$2:$AR$53,2,FALSE),
  O153="Roraima",((W153*0.15)+(X153*0.7))*VLOOKUP(P153,'MunicípiosEstados'!$AS$2:$AT$16,2,FALSE),
  O153="Santa Catarina",((W153*0.15)+(X153*0.7))*VLOOKUP(P153,'MunicípiosEstados'!$AU$2:$AV$296,2,FALSE),
  O153="São Paulo",((W153*0.15)+(X153*0.7))*VLOOKUP(P153,'MunicípiosEstados'!$AW$2:$AX$646,2,FALSE),
  O153="Sergipe",((W153*0.15)+(X153*0.7))*VLOOKUP(P153,'MunicípiosEstados'!$AY$2:$AZ$76,2,FALSE),
  O153="Tocantins",((W153*0.15)+(X153*0.7))*VLOOKUP(P153,'MunicípiosEstados'!$BA$2:$BB$140,2,FALSE),
  O153="Exterior",((W153*0.15)+(X153*0.7))*VLOOKUP(P153,'MunicípiosEstados'!$BC$2:$BE$221,3,FALSE),TRUE,0
)
</f>
        <v>3341.325</v>
      </c>
      <c r="AL153" s="25">
        <f t="shared" si="3"/>
        <v>5194.125</v>
      </c>
    </row>
    <row r="154" ht="22.5" hidden="1" customHeight="1">
      <c r="A154" s="15">
        <f t="shared" si="1"/>
        <v>153</v>
      </c>
      <c r="B154" s="16">
        <v>45988.55392802083</v>
      </c>
      <c r="C154" s="17" t="s">
        <v>487</v>
      </c>
      <c r="D154" s="27" t="s">
        <v>443</v>
      </c>
      <c r="E154" s="15" t="str">
        <f>VLOOKUP(G154,DiretoriaDepart.Coord.!$A$1:$C$72,2,FALSE)</f>
        <v>Extensão Rural</v>
      </c>
      <c r="F154" s="15" t="str">
        <f>VLOOKUP(G154,DiretoriaDepart.Coord.!$A$1:$C$72,3,FALSE)</f>
        <v>Projetos e Cadeias Produtivas</v>
      </c>
      <c r="G154" s="17" t="s">
        <v>488</v>
      </c>
      <c r="H154" s="15"/>
      <c r="I154" s="17" t="s">
        <v>1065</v>
      </c>
      <c r="J154" s="17" t="s">
        <v>728</v>
      </c>
      <c r="K154" s="17">
        <v>20.0</v>
      </c>
      <c r="L154" s="15"/>
      <c r="M154" s="17" t="s">
        <v>1066</v>
      </c>
      <c r="N154" s="17">
        <v>0.0</v>
      </c>
      <c r="O154" s="17" t="s">
        <v>714</v>
      </c>
      <c r="P154" s="17" t="s">
        <v>4</v>
      </c>
      <c r="Q154" s="20">
        <v>45791.333333333336</v>
      </c>
      <c r="R154" s="20">
        <v>45791.708333333336</v>
      </c>
      <c r="S154" s="17" t="s">
        <v>451</v>
      </c>
      <c r="T154" s="17" t="s">
        <v>452</v>
      </c>
      <c r="U154" s="21" t="s">
        <v>1067</v>
      </c>
      <c r="V154" s="21" t="s">
        <v>1068</v>
      </c>
      <c r="W154" s="22">
        <v>30.0</v>
      </c>
      <c r="X154" s="22">
        <v>10.0</v>
      </c>
      <c r="Y154" s="23">
        <v>0.0</v>
      </c>
      <c r="Z154" s="23">
        <v>0.0</v>
      </c>
      <c r="AA154" s="24">
        <v>0.0</v>
      </c>
      <c r="AB154" s="24">
        <v>0.0</v>
      </c>
      <c r="AC154" s="24">
        <v>0.0</v>
      </c>
      <c r="AD154" s="23">
        <v>0.0</v>
      </c>
      <c r="AE154" s="24">
        <v>0.0</v>
      </c>
      <c r="AF154" s="17" t="s">
        <v>464</v>
      </c>
      <c r="AG154" s="17">
        <v>2000.0</v>
      </c>
      <c r="AH154" s="17" t="s">
        <v>451</v>
      </c>
      <c r="AI154" s="25">
        <f>IF(AF154="Sim",INT((R154-Q154+1))*K154*VLOOKUP(P154,'Tabelas Auxiliares'!$A$1:$C$400,3,FALSE),0)</f>
        <v>452.8</v>
      </c>
      <c r="AJ154" s="25">
        <f t="shared" si="2"/>
        <v>1400</v>
      </c>
      <c r="AK154" s="25">
        <f>IFS(
  O154="Acre",((W154*0.15)+(X154*0.7))*VLOOKUP(P154,'MunicípiosEstados'!$A$2:$B$23,2,FALSE),
  O154="Alagoas",((W154*0.15)+(X154*0.7))*VLOOKUP(P154,'MunicípiosEstados'!$C$2:$D$103,2,FALSE),
  O154="Amapá",((W154*0.15)+(X154*0.7))*VLOOKUP(P154,'MunicípiosEstados'!$E$2:$F$17,2,FALSE),
  O154="Amazonas",((W154*0.15)+(X154*0.7))*VLOOKUP(P154,'MunicípiosEstados'!$G$2:$H$63,2,FALSE),
  O154="Bahia",((W154*0.15)+(X154*0.7))*VLOOKUP(P154,'MunicípiosEstados'!$I$2:$J$418,2,FALSE),
  O154="Ceará",((W154*0.15)+(X154*0.7))*VLOOKUP(P154,'MunicípiosEstados'!$K$2:$L$185,2,FALSE),
  O154="Distrito Federal",((W154*0.15)+(X154*0.7))*VLOOKUP(P154,'MunicípiosEstados'!$M$2:$N$2,2,FALSE),
  O154="Espírito Santo",((W154*0.15)+(X154*0.7))*VLOOKUP(P154,'MunicípiosEstados'!$O$2:$P$79,2,FALSE),
  O154="Goiás",((W154*0.15)+(X154*0.7))*VLOOKUP(P154,'MunicípiosEstados'!$Q$2:$R$247,2,FALSE),
  O154="Maranhão",((W154*0.15)+(X154*0.7))*VLOOKUP(P154,'MunicípiosEstados'!$S$2:$T$218,2,FALSE),
  O154="Mato Grosso",((W154*0.15)+(X154*0.7))*VLOOKUP(P154,'MunicípiosEstados'!$U$2:$V$143,2,FALSE),
  O154="Mato Grosso do Sul",((W154*0.15)+(X154*0.7))*VLOOKUP(P154,'MunicípiosEstados'!$W$2:$X$80,2,FALSE),
  O154="Minas Gerais",((W154*0.15)+(X154*0.7))*VLOOKUP(P154,'MunicípiosEstados'!$Y$2:$Z$854,2,FALSE),
  O154="Pará",((W154*0.15)+(X154*0.7))*VLOOKUP(P154,'MunicípiosEstados'!$AA$2:$AB$145,2,FALSE),
  O154="Paraíba",((W154*0.15)+(X154*0.7))*VLOOKUP(P154,'MunicípiosEstados'!$AC$2:$AD$224,2,FALSE),
  O154="Paraná",((W154*0.15)+(X154*0.7))*VLOOKUP(P154,'MunicípiosEstados'!$AE$2:$AF$400,2,FALSE),
  O154="Pernambuco",((W154*0.15)+(X154*0.7))*VLOOKUP(P154,'MunicípiosEstados'!$AG$2:$AH$186,2,FALSE),
  O154="Piauí",((W154*0.15)+(X154*0.7))*VLOOKUP(P154,'MunicípiosEstados'!$AI$2:$AJ$225,2,FALSE),
  O154="Rio Grande do Norte",((W154*0.15)+(X154*0.7))*VLOOKUP(P154,'MunicípiosEstados'!$AK$2:$AL$168,2,FALSE),
  O154="Rio Grande do Sul",((W154*0.15)+(X154*0.7))*VLOOKUP(P154,'MunicípiosEstados'!$AM$2:$AN$498,2,FALSE),
  O154="Rio de Janeiro",((W154*0.15)+(X154*0.7))*VLOOKUP(P154,'MunicípiosEstados'!$AO$2:$AP$93,2,FALSE),
  O154="Rondônia",((W154*0.15)+(X154*0.7))*VLOOKUP(P154,'MunicípiosEstados'!$AQ$2:$AR$53,2,FALSE),
  O154="Roraima",((W154*0.15)+(X154*0.7))*VLOOKUP(P154,'MunicípiosEstados'!$AS$2:$AT$16,2,FALSE),
  O154="Santa Catarina",((W154*0.15)+(X154*0.7))*VLOOKUP(P154,'MunicípiosEstados'!$AU$2:$AV$296,2,FALSE),
  O154="São Paulo",((W154*0.15)+(X154*0.7))*VLOOKUP(P154,'MunicípiosEstados'!$AW$2:$AX$646,2,FALSE),
  O154="Sergipe",((W154*0.15)+(X154*0.7))*VLOOKUP(P154,'MunicípiosEstados'!$AY$2:$AZ$76,2,FALSE),
  O154="Tocantins",((W154*0.15)+(X154*0.7))*VLOOKUP(P154,'MunicípiosEstados'!$BA$2:$BB$140,2,FALSE),
  O154="Exterior",((W154*0.15)+(X154*0.7))*VLOOKUP(P154,'MunicípiosEstados'!$BC$2:$BE$221,3,FALSE),TRUE,0
)
</f>
        <v>3341.325</v>
      </c>
      <c r="AL154" s="25">
        <f t="shared" si="3"/>
        <v>5194.125</v>
      </c>
    </row>
    <row r="155" ht="22.5" hidden="1" customHeight="1">
      <c r="A155" s="15">
        <f t="shared" si="1"/>
        <v>154</v>
      </c>
      <c r="B155" s="16">
        <v>45988.58155304399</v>
      </c>
      <c r="C155" s="17" t="s">
        <v>871</v>
      </c>
      <c r="D155" s="27" t="s">
        <v>443</v>
      </c>
      <c r="E155" s="15" t="str">
        <f>VLOOKUP(G155,DiretoriaDepart.Coord.!$A$1:$C$72,2,FALSE)</f>
        <v>Gestão Institucional</v>
      </c>
      <c r="F155" s="15" t="str">
        <f>VLOOKUP(G155,DiretoriaDepart.Coord.!$A$1:$C$72,3,FALSE)</f>
        <v>Recursos Humanos</v>
      </c>
      <c r="G155" s="17" t="s">
        <v>867</v>
      </c>
      <c r="H155" s="15"/>
      <c r="I155" s="19" t="s">
        <v>1110</v>
      </c>
      <c r="J155" s="17" t="s">
        <v>719</v>
      </c>
      <c r="K155" s="17">
        <v>60.0</v>
      </c>
      <c r="L155" s="15"/>
      <c r="M155" s="17">
        <v>0.0</v>
      </c>
      <c r="N155" s="17">
        <v>0.0</v>
      </c>
      <c r="O155" s="17" t="s">
        <v>714</v>
      </c>
      <c r="P155" s="17" t="s">
        <v>49</v>
      </c>
      <c r="Q155" s="20">
        <v>45712.333333333336</v>
      </c>
      <c r="R155" s="20">
        <v>45713.708333333336</v>
      </c>
      <c r="S155" s="17" t="s">
        <v>464</v>
      </c>
      <c r="T155" s="17" t="s">
        <v>452</v>
      </c>
      <c r="U155" s="21" t="s">
        <v>1111</v>
      </c>
      <c r="V155" s="21" t="s">
        <v>1112</v>
      </c>
      <c r="W155" s="22">
        <v>60.0</v>
      </c>
      <c r="X155" s="22">
        <v>0.0</v>
      </c>
      <c r="Y155" s="23">
        <v>0.0</v>
      </c>
      <c r="Z155" s="23">
        <v>0.0</v>
      </c>
      <c r="AA155" s="24">
        <v>0.0</v>
      </c>
      <c r="AB155" s="24">
        <v>0.0</v>
      </c>
      <c r="AC155" s="24">
        <v>0.0</v>
      </c>
      <c r="AD155" s="23">
        <v>0.0</v>
      </c>
      <c r="AE155" s="24">
        <v>0.0</v>
      </c>
      <c r="AF155" s="17" t="s">
        <v>464</v>
      </c>
      <c r="AG155" s="17">
        <v>320.0</v>
      </c>
      <c r="AH155" s="17" t="s">
        <v>451</v>
      </c>
      <c r="AI155" s="25">
        <f>IF(AF155="Sim",INT((R155-Q155+1))*K155*VLOOKUP(P155,'Tabelas Auxiliares'!$A$1:$C$400,3,FALSE),0)</f>
        <v>2589.6</v>
      </c>
      <c r="AJ155" s="25">
        <f t="shared" si="2"/>
        <v>224</v>
      </c>
      <c r="AK155" s="25">
        <f>IFS(
  O155="Acre",((W155*0.15)+(X155*0.7))*VLOOKUP(P155,'MunicípiosEstados'!$A$2:$B$23,2,FALSE),
  O155="Alagoas",((W155*0.15)+(X155*0.7))*VLOOKUP(P155,'MunicípiosEstados'!$C$2:$D$103,2,FALSE),
  O155="Amapá",((W155*0.15)+(X155*0.7))*VLOOKUP(P155,'MunicípiosEstados'!$E$2:$F$17,2,FALSE),
  O155="Amazonas",((W155*0.15)+(X155*0.7))*VLOOKUP(P155,'MunicípiosEstados'!$G$2:$H$63,2,FALSE),
  O155="Bahia",((W155*0.15)+(X155*0.7))*VLOOKUP(P155,'MunicípiosEstados'!$I$2:$J$418,2,FALSE),
  O155="Ceará",((W155*0.15)+(X155*0.7))*VLOOKUP(P155,'MunicípiosEstados'!$K$2:$L$185,2,FALSE),
  O155="Distrito Federal",((W155*0.15)+(X155*0.7))*VLOOKUP(P155,'MunicípiosEstados'!$M$2:$N$2,2,FALSE),
  O155="Espírito Santo",((W155*0.15)+(X155*0.7))*VLOOKUP(P155,'MunicípiosEstados'!$O$2:$P$79,2,FALSE),
  O155="Goiás",((W155*0.15)+(X155*0.7))*VLOOKUP(P155,'MunicípiosEstados'!$Q$2:$R$247,2,FALSE),
  O155="Maranhão",((W155*0.15)+(X155*0.7))*VLOOKUP(P155,'MunicípiosEstados'!$S$2:$T$218,2,FALSE),
  O155="Mato Grosso",((W155*0.15)+(X155*0.7))*VLOOKUP(P155,'MunicípiosEstados'!$U$2:$V$143,2,FALSE),
  O155="Mato Grosso do Sul",((W155*0.15)+(X155*0.7))*VLOOKUP(P155,'MunicípiosEstados'!$W$2:$X$80,2,FALSE),
  O155="Minas Gerais",((W155*0.15)+(X155*0.7))*VLOOKUP(P155,'MunicípiosEstados'!$Y$2:$Z$854,2,FALSE),
  O155="Pará",((W155*0.15)+(X155*0.7))*VLOOKUP(P155,'MunicípiosEstados'!$AA$2:$AB$145,2,FALSE),
  O155="Paraíba",((W155*0.15)+(X155*0.7))*VLOOKUP(P155,'MunicípiosEstados'!$AC$2:$AD$224,2,FALSE),
  O155="Paraná",((W155*0.15)+(X155*0.7))*VLOOKUP(P155,'MunicípiosEstados'!$AE$2:$AF$400,2,FALSE),
  O155="Pernambuco",((W155*0.15)+(X155*0.7))*VLOOKUP(P155,'MunicípiosEstados'!$AG$2:$AH$186,2,FALSE),
  O155="Piauí",((W155*0.15)+(X155*0.7))*VLOOKUP(P155,'MunicípiosEstados'!$AI$2:$AJ$225,2,FALSE),
  O155="Rio Grande do Norte",((W155*0.15)+(X155*0.7))*VLOOKUP(P155,'MunicípiosEstados'!$AK$2:$AL$168,2,FALSE),
  O155="Rio Grande do Sul",((W155*0.15)+(X155*0.7))*VLOOKUP(P155,'MunicípiosEstados'!$AM$2:$AN$498,2,FALSE),
  O155="Rio de Janeiro",((W155*0.15)+(X155*0.7))*VLOOKUP(P155,'MunicípiosEstados'!$AO$2:$AP$93,2,FALSE),
  O155="Rondônia",((W155*0.15)+(X155*0.7))*VLOOKUP(P155,'MunicípiosEstados'!$AQ$2:$AR$53,2,FALSE),
  O155="Roraima",((W155*0.15)+(X155*0.7))*VLOOKUP(P155,'MunicípiosEstados'!$AS$2:$AT$16,2,FALSE),
  O155="Santa Catarina",((W155*0.15)+(X155*0.7))*VLOOKUP(P155,'MunicípiosEstados'!$AU$2:$AV$296,2,FALSE),
  O155="São Paulo",((W155*0.15)+(X155*0.7))*VLOOKUP(P155,'MunicípiosEstados'!$AW$2:$AX$646,2,FALSE),
  O155="Sergipe",((W155*0.15)+(X155*0.7))*VLOOKUP(P155,'MunicípiosEstados'!$AY$2:$AZ$76,2,FALSE),
  O155="Tocantins",((W155*0.15)+(X155*0.7))*VLOOKUP(P155,'MunicípiosEstados'!$BA$2:$BB$140,2,FALSE),
  O155="Exterior",((W155*0.15)+(X155*0.7))*VLOOKUP(P155,'MunicípiosEstados'!$BC$2:$BE$221,3,FALSE),TRUE,0
)
</f>
        <v>2614.95</v>
      </c>
      <c r="AL155" s="25">
        <f t="shared" si="3"/>
        <v>5428.55</v>
      </c>
    </row>
    <row r="156" ht="22.5" hidden="1" customHeight="1">
      <c r="A156" s="15">
        <f t="shared" si="1"/>
        <v>155</v>
      </c>
      <c r="B156" s="16">
        <v>45988.65758290509</v>
      </c>
      <c r="C156" s="17" t="s">
        <v>1010</v>
      </c>
      <c r="D156" s="27" t="s">
        <v>443</v>
      </c>
      <c r="E156" s="15" t="str">
        <f>VLOOKUP(G156,DiretoriaDepart.Coord.!$A$1:$C$72,2,FALSE)</f>
        <v>Extensão Rural</v>
      </c>
      <c r="F156" s="15" t="str">
        <f>VLOOKUP(G156,DiretoriaDepart.Coord.!$A$1:$C$72,3,FALSE)</f>
        <v>Políticas Públicas</v>
      </c>
      <c r="G156" s="17" t="s">
        <v>1011</v>
      </c>
      <c r="H156" s="15"/>
      <c r="I156" s="19" t="s">
        <v>1113</v>
      </c>
      <c r="J156" s="17" t="s">
        <v>728</v>
      </c>
      <c r="K156" s="17">
        <v>40.0</v>
      </c>
      <c r="L156" s="15"/>
      <c r="M156" s="17" t="s">
        <v>451</v>
      </c>
      <c r="N156" s="17">
        <v>0.0</v>
      </c>
      <c r="O156" s="17" t="s">
        <v>714</v>
      </c>
      <c r="P156" s="17" t="s">
        <v>6</v>
      </c>
      <c r="Q156" s="20">
        <v>45873.333333333336</v>
      </c>
      <c r="R156" s="20">
        <v>45875.708333333336</v>
      </c>
      <c r="S156" s="17" t="s">
        <v>451</v>
      </c>
      <c r="T156" s="17" t="s">
        <v>452</v>
      </c>
      <c r="U156" s="21" t="s">
        <v>1114</v>
      </c>
      <c r="V156" s="21" t="s">
        <v>1115</v>
      </c>
      <c r="W156" s="22">
        <v>276.0</v>
      </c>
      <c r="X156" s="22">
        <v>132.0</v>
      </c>
      <c r="Y156" s="23">
        <v>0.0</v>
      </c>
      <c r="Z156" s="23">
        <v>0.0</v>
      </c>
      <c r="AA156" s="24">
        <v>0.0</v>
      </c>
      <c r="AB156" s="24">
        <v>0.0</v>
      </c>
      <c r="AC156" s="24">
        <v>0.0</v>
      </c>
      <c r="AD156" s="23">
        <v>0.0</v>
      </c>
      <c r="AE156" s="24">
        <v>0.0</v>
      </c>
      <c r="AF156" s="17" t="s">
        <v>464</v>
      </c>
      <c r="AG156" s="32">
        <v>16186.0</v>
      </c>
      <c r="AH156" s="17" t="s">
        <v>451</v>
      </c>
      <c r="AI156" s="25">
        <f>IF(AF156="Sim",INT((R156-Q156+1))*K156*VLOOKUP(P156,'Tabelas Auxiliares'!$A$1:$C$400,3,FALSE),0)</f>
        <v>2716.8</v>
      </c>
      <c r="AJ156" s="25">
        <f t="shared" si="2"/>
        <v>11330.2</v>
      </c>
      <c r="AK156" s="25">
        <f>IFS(
  O156="Acre",((W156*0.15)+(X156*0.7))*VLOOKUP(P156,'MunicípiosEstados'!$A$2:$B$23,2,FALSE),
  O156="Alagoas",((W156*0.15)+(X156*0.7))*VLOOKUP(P156,'MunicípiosEstados'!$C$2:$D$103,2,FALSE),
  O156="Amapá",((W156*0.15)+(X156*0.7))*VLOOKUP(P156,'MunicípiosEstados'!$E$2:$F$17,2,FALSE),
  O156="Amazonas",((W156*0.15)+(X156*0.7))*VLOOKUP(P156,'MunicípiosEstados'!$G$2:$H$63,2,FALSE),
  O156="Bahia",((W156*0.15)+(X156*0.7))*VLOOKUP(P156,'MunicípiosEstados'!$I$2:$J$418,2,FALSE),
  O156="Ceará",((W156*0.15)+(X156*0.7))*VLOOKUP(P156,'MunicípiosEstados'!$K$2:$L$185,2,FALSE),
  O156="Distrito Federal",((W156*0.15)+(X156*0.7))*VLOOKUP(P156,'MunicípiosEstados'!$M$2:$N$2,2,FALSE),
  O156="Espírito Santo",((W156*0.15)+(X156*0.7))*VLOOKUP(P156,'MunicípiosEstados'!$O$2:$P$79,2,FALSE),
  O156="Goiás",((W156*0.15)+(X156*0.7))*VLOOKUP(P156,'MunicípiosEstados'!$Q$2:$R$247,2,FALSE),
  O156="Maranhão",((W156*0.15)+(X156*0.7))*VLOOKUP(P156,'MunicípiosEstados'!$S$2:$T$218,2,FALSE),
  O156="Mato Grosso",((W156*0.15)+(X156*0.7))*VLOOKUP(P156,'MunicípiosEstados'!$U$2:$V$143,2,FALSE),
  O156="Mato Grosso do Sul",((W156*0.15)+(X156*0.7))*VLOOKUP(P156,'MunicípiosEstados'!$W$2:$X$80,2,FALSE),
  O156="Minas Gerais",((W156*0.15)+(X156*0.7))*VLOOKUP(P156,'MunicípiosEstados'!$Y$2:$Z$854,2,FALSE),
  O156="Pará",((W156*0.15)+(X156*0.7))*VLOOKUP(P156,'MunicípiosEstados'!$AA$2:$AB$145,2,FALSE),
  O156="Paraíba",((W156*0.15)+(X156*0.7))*VLOOKUP(P156,'MunicípiosEstados'!$AC$2:$AD$224,2,FALSE),
  O156="Paraná",((W156*0.15)+(X156*0.7))*VLOOKUP(P156,'MunicípiosEstados'!$AE$2:$AF$400,2,FALSE),
  O156="Pernambuco",((W156*0.15)+(X156*0.7))*VLOOKUP(P156,'MunicípiosEstados'!$AG$2:$AH$186,2,FALSE),
  O156="Piauí",((W156*0.15)+(X156*0.7))*VLOOKUP(P156,'MunicípiosEstados'!$AI$2:$AJ$225,2,FALSE),
  O156="Rio Grande do Norte",((W156*0.15)+(X156*0.7))*VLOOKUP(P156,'MunicípiosEstados'!$AK$2:$AL$168,2,FALSE),
  O156="Rio Grande do Sul",((W156*0.15)+(X156*0.7))*VLOOKUP(P156,'MunicípiosEstados'!$AM$2:$AN$498,2,FALSE),
  O156="Rio de Janeiro",((W156*0.15)+(X156*0.7))*VLOOKUP(P156,'MunicípiosEstados'!$AO$2:$AP$93,2,FALSE),
  O156="Rondônia",((W156*0.15)+(X156*0.7))*VLOOKUP(P156,'MunicípiosEstados'!$AQ$2:$AR$53,2,FALSE),
  O156="Roraima",((W156*0.15)+(X156*0.7))*VLOOKUP(P156,'MunicípiosEstados'!$AS$2:$AT$16,2,FALSE),
  O156="Santa Catarina",((W156*0.15)+(X156*0.7))*VLOOKUP(P156,'MunicípiosEstados'!$AU$2:$AV$296,2,FALSE),
  O156="São Paulo",((W156*0.15)+(X156*0.7))*VLOOKUP(P156,'MunicípiosEstados'!$AW$2:$AX$646,2,FALSE),
  O156="Sergipe",((W156*0.15)+(X156*0.7))*VLOOKUP(P156,'MunicípiosEstados'!$AY$2:$AZ$76,2,FALSE),
  O156="Tocantins",((W156*0.15)+(X156*0.7))*VLOOKUP(P156,'MunicípiosEstados'!$BA$2:$BB$140,2,FALSE),
  O156="Exterior",((W156*0.15)+(X156*0.7))*VLOOKUP(P156,'MunicípiosEstados'!$BC$2:$BE$221,3,FALSE),TRUE,0
)
</f>
        <v>49674.588</v>
      </c>
      <c r="AL156" s="25">
        <f t="shared" si="3"/>
        <v>63721.588</v>
      </c>
    </row>
    <row r="157" ht="22.5" hidden="1" customHeight="1">
      <c r="A157" s="15">
        <f t="shared" si="1"/>
        <v>156</v>
      </c>
      <c r="B157" s="16">
        <v>45988.74497806713</v>
      </c>
      <c r="C157" s="17" t="s">
        <v>661</v>
      </c>
      <c r="D157" s="27" t="s">
        <v>443</v>
      </c>
      <c r="E157" s="15" t="str">
        <f>VLOOKUP(G157,DiretoriaDepart.Coord.!$A$1:$C$72,2,FALSE)</f>
        <v>Extensão Rural</v>
      </c>
      <c r="F157" s="15" t="str">
        <f>VLOOKUP(G157,DiretoriaDepart.Coord.!$A$1:$C$72,3,FALSE)</f>
        <v>Projetos e Cadeias Produtivas</v>
      </c>
      <c r="G157" s="17" t="s">
        <v>662</v>
      </c>
      <c r="H157" s="15"/>
      <c r="I157" s="17" t="s">
        <v>1116</v>
      </c>
      <c r="J157" s="17" t="s">
        <v>942</v>
      </c>
      <c r="K157" s="17">
        <v>25.0</v>
      </c>
      <c r="L157" s="15"/>
      <c r="M157" s="17" t="s">
        <v>1117</v>
      </c>
      <c r="N157" s="17">
        <v>10.0</v>
      </c>
      <c r="O157" s="17" t="s">
        <v>714</v>
      </c>
      <c r="P157" s="17" t="s">
        <v>6</v>
      </c>
      <c r="Q157" s="20">
        <v>45986.333333333336</v>
      </c>
      <c r="R157" s="20">
        <v>45986.5</v>
      </c>
      <c r="S157" s="17" t="s">
        <v>451</v>
      </c>
      <c r="T157" s="17" t="s">
        <v>452</v>
      </c>
      <c r="U157" s="21" t="s">
        <v>1118</v>
      </c>
      <c r="V157" s="21" t="s">
        <v>1119</v>
      </c>
      <c r="W157" s="22">
        <v>50.0</v>
      </c>
      <c r="X157" s="22">
        <v>25.0</v>
      </c>
      <c r="Y157" s="23">
        <v>0.0</v>
      </c>
      <c r="Z157" s="23">
        <v>0.0</v>
      </c>
      <c r="AA157" s="24">
        <v>0.0</v>
      </c>
      <c r="AB157" s="24">
        <v>0.0</v>
      </c>
      <c r="AC157" s="24">
        <v>0.0</v>
      </c>
      <c r="AD157" s="23">
        <v>0.0</v>
      </c>
      <c r="AE157" s="24">
        <v>0.0</v>
      </c>
      <c r="AF157" s="17" t="s">
        <v>451</v>
      </c>
      <c r="AG157" s="17">
        <v>4000.0</v>
      </c>
      <c r="AH157" s="17" t="s">
        <v>464</v>
      </c>
      <c r="AI157" s="25">
        <f>IF(AF157="Sim",INT((R157-Q157+1))*K157*VLOOKUP(P157,'Tabelas Auxiliares'!$A$1:$C$400,3,FALSE),0)</f>
        <v>0</v>
      </c>
      <c r="AJ157" s="25">
        <f t="shared" si="2"/>
        <v>2800</v>
      </c>
      <c r="AK157" s="25">
        <f>IFS(
  O157="Acre",((W157*0.15)+(X157*0.7))*VLOOKUP(P157,'MunicípiosEstados'!$A$2:$B$23,2,FALSE),
  O157="Alagoas",((W157*0.15)+(X157*0.7))*VLOOKUP(P157,'MunicípiosEstados'!$C$2:$D$103,2,FALSE),
  O157="Amapá",((W157*0.15)+(X157*0.7))*VLOOKUP(P157,'MunicípiosEstados'!$E$2:$F$17,2,FALSE),
  O157="Amazonas",((W157*0.15)+(X157*0.7))*VLOOKUP(P157,'MunicípiosEstados'!$G$2:$H$63,2,FALSE),
  O157="Bahia",((W157*0.15)+(X157*0.7))*VLOOKUP(P157,'MunicípiosEstados'!$I$2:$J$418,2,FALSE),
  O157="Ceará",((W157*0.15)+(X157*0.7))*VLOOKUP(P157,'MunicípiosEstados'!$K$2:$L$185,2,FALSE),
  O157="Distrito Federal",((W157*0.15)+(X157*0.7))*VLOOKUP(P157,'MunicípiosEstados'!$M$2:$N$2,2,FALSE),
  O157="Espírito Santo",((W157*0.15)+(X157*0.7))*VLOOKUP(P157,'MunicípiosEstados'!$O$2:$P$79,2,FALSE),
  O157="Goiás",((W157*0.15)+(X157*0.7))*VLOOKUP(P157,'MunicípiosEstados'!$Q$2:$R$247,2,FALSE),
  O157="Maranhão",((W157*0.15)+(X157*0.7))*VLOOKUP(P157,'MunicípiosEstados'!$S$2:$T$218,2,FALSE),
  O157="Mato Grosso",((W157*0.15)+(X157*0.7))*VLOOKUP(P157,'MunicípiosEstados'!$U$2:$V$143,2,FALSE),
  O157="Mato Grosso do Sul",((W157*0.15)+(X157*0.7))*VLOOKUP(P157,'MunicípiosEstados'!$W$2:$X$80,2,FALSE),
  O157="Minas Gerais",((W157*0.15)+(X157*0.7))*VLOOKUP(P157,'MunicípiosEstados'!$Y$2:$Z$854,2,FALSE),
  O157="Pará",((W157*0.15)+(X157*0.7))*VLOOKUP(P157,'MunicípiosEstados'!$AA$2:$AB$145,2,FALSE),
  O157="Paraíba",((W157*0.15)+(X157*0.7))*VLOOKUP(P157,'MunicípiosEstados'!$AC$2:$AD$224,2,FALSE),
  O157="Paraná",((W157*0.15)+(X157*0.7))*VLOOKUP(P157,'MunicípiosEstados'!$AE$2:$AF$400,2,FALSE),
  O157="Pernambuco",((W157*0.15)+(X157*0.7))*VLOOKUP(P157,'MunicípiosEstados'!$AG$2:$AH$186,2,FALSE),
  O157="Piauí",((W157*0.15)+(X157*0.7))*VLOOKUP(P157,'MunicípiosEstados'!$AI$2:$AJ$225,2,FALSE),
  O157="Rio Grande do Norte",((W157*0.15)+(X157*0.7))*VLOOKUP(P157,'MunicípiosEstados'!$AK$2:$AL$168,2,FALSE),
  O157="Rio Grande do Sul",((W157*0.15)+(X157*0.7))*VLOOKUP(P157,'MunicípiosEstados'!$AM$2:$AN$498,2,FALSE),
  O157="Rio de Janeiro",((W157*0.15)+(X157*0.7))*VLOOKUP(P157,'MunicípiosEstados'!$AO$2:$AP$93,2,FALSE),
  O157="Rondônia",((W157*0.15)+(X157*0.7))*VLOOKUP(P157,'MunicípiosEstados'!$AQ$2:$AR$53,2,FALSE),
  O157="Roraima",((W157*0.15)+(X157*0.7))*VLOOKUP(P157,'MunicípiosEstados'!$AS$2:$AT$16,2,FALSE),
  O157="Santa Catarina",((W157*0.15)+(X157*0.7))*VLOOKUP(P157,'MunicípiosEstados'!$AU$2:$AV$296,2,FALSE),
  O157="São Paulo",((W157*0.15)+(X157*0.7))*VLOOKUP(P157,'MunicípiosEstados'!$AW$2:$AX$646,2,FALSE),
  O157="Sergipe",((W157*0.15)+(X157*0.7))*VLOOKUP(P157,'MunicípiosEstados'!$AY$2:$AZ$76,2,FALSE),
  O157="Tocantins",((W157*0.15)+(X157*0.7))*VLOOKUP(P157,'MunicípiosEstados'!$BA$2:$BB$140,2,FALSE),
  O157="Exterior",((W157*0.15)+(X157*0.7))*VLOOKUP(P157,'MunicípiosEstados'!$BC$2:$BE$221,3,FALSE),TRUE,0
)
</f>
        <v>9281.5</v>
      </c>
      <c r="AL157" s="25">
        <f t="shared" si="3"/>
        <v>12081.5</v>
      </c>
    </row>
    <row r="158" ht="22.5" hidden="1" customHeight="1">
      <c r="A158" s="15">
        <f t="shared" si="1"/>
        <v>157</v>
      </c>
      <c r="B158" s="16">
        <v>45989.35120748843</v>
      </c>
      <c r="C158" s="17" t="s">
        <v>1120</v>
      </c>
      <c r="D158" s="27" t="s">
        <v>443</v>
      </c>
      <c r="E158" s="15" t="str">
        <f>VLOOKUP(G158,DiretoriaDepart.Coord.!$A$1:$C$72,2,FALSE)</f>
        <v>Extensão Rural</v>
      </c>
      <c r="F158" s="15" t="str">
        <f>VLOOKUP(G158,DiretoriaDepart.Coord.!$A$1:$C$72,3,FALSE)</f>
        <v>Projetos e Cadeias Produtivas</v>
      </c>
      <c r="G158" s="17" t="s">
        <v>1121</v>
      </c>
      <c r="H158" s="15"/>
      <c r="I158" s="17" t="s">
        <v>1122</v>
      </c>
      <c r="J158" s="17" t="s">
        <v>728</v>
      </c>
      <c r="K158" s="17">
        <v>14.0</v>
      </c>
      <c r="L158" s="15"/>
      <c r="M158" s="17" t="s">
        <v>970</v>
      </c>
      <c r="N158" s="34" t="s">
        <v>646</v>
      </c>
      <c r="O158" s="17" t="s">
        <v>714</v>
      </c>
      <c r="P158" s="17" t="s">
        <v>294</v>
      </c>
      <c r="Q158" s="20">
        <v>45781.5625</v>
      </c>
      <c r="R158" s="20">
        <v>45785.5</v>
      </c>
      <c r="S158" s="17" t="s">
        <v>451</v>
      </c>
      <c r="T158" s="17" t="s">
        <v>452</v>
      </c>
      <c r="U158" s="21" t="s">
        <v>1123</v>
      </c>
      <c r="V158" s="21" t="s">
        <v>1124</v>
      </c>
      <c r="W158" s="22">
        <v>168.0</v>
      </c>
      <c r="X158" s="22">
        <v>70.0</v>
      </c>
      <c r="Y158" s="23">
        <v>0.0</v>
      </c>
      <c r="Z158" s="23">
        <v>0.0</v>
      </c>
      <c r="AA158" s="24">
        <v>0.0</v>
      </c>
      <c r="AB158" s="24">
        <v>0.0</v>
      </c>
      <c r="AC158" s="24">
        <v>0.0</v>
      </c>
      <c r="AD158" s="23">
        <v>0.0</v>
      </c>
      <c r="AE158" s="24">
        <v>0.0</v>
      </c>
      <c r="AF158" s="17" t="s">
        <v>451</v>
      </c>
      <c r="AG158" s="17">
        <v>2500.0</v>
      </c>
      <c r="AH158" s="17" t="s">
        <v>451</v>
      </c>
      <c r="AI158" s="25">
        <f>IF(AF158="Sim",INT((R158-Q158+1))*K158*VLOOKUP(P158,'Tabelas Auxiliares'!$A$1:$C$400,3,FALSE),0)</f>
        <v>0</v>
      </c>
      <c r="AJ158" s="25">
        <f t="shared" si="2"/>
        <v>1750</v>
      </c>
      <c r="AK158" s="25">
        <f>IFS(
  O158="Acre",((W158*0.15)+(X158*0.7))*VLOOKUP(P158,'MunicípiosEstados'!$A$2:$B$23,2,FALSE),
  O158="Alagoas",((W158*0.15)+(X158*0.7))*VLOOKUP(P158,'MunicípiosEstados'!$C$2:$D$103,2,FALSE),
  O158="Amapá",((W158*0.15)+(X158*0.7))*VLOOKUP(P158,'MunicípiosEstados'!$E$2:$F$17,2,FALSE),
  O158="Amazonas",((W158*0.15)+(X158*0.7))*VLOOKUP(P158,'MunicípiosEstados'!$G$2:$H$63,2,FALSE),
  O158="Bahia",((W158*0.15)+(X158*0.7))*VLOOKUP(P158,'MunicípiosEstados'!$I$2:$J$418,2,FALSE),
  O158="Ceará",((W158*0.15)+(X158*0.7))*VLOOKUP(P158,'MunicípiosEstados'!$K$2:$L$185,2,FALSE),
  O158="Distrito Federal",((W158*0.15)+(X158*0.7))*VLOOKUP(P158,'MunicípiosEstados'!$M$2:$N$2,2,FALSE),
  O158="Espírito Santo",((W158*0.15)+(X158*0.7))*VLOOKUP(P158,'MunicípiosEstados'!$O$2:$P$79,2,FALSE),
  O158="Goiás",((W158*0.15)+(X158*0.7))*VLOOKUP(P158,'MunicípiosEstados'!$Q$2:$R$247,2,FALSE),
  O158="Maranhão",((W158*0.15)+(X158*0.7))*VLOOKUP(P158,'MunicípiosEstados'!$S$2:$T$218,2,FALSE),
  O158="Mato Grosso",((W158*0.15)+(X158*0.7))*VLOOKUP(P158,'MunicípiosEstados'!$U$2:$V$143,2,FALSE),
  O158="Mato Grosso do Sul",((W158*0.15)+(X158*0.7))*VLOOKUP(P158,'MunicípiosEstados'!$W$2:$X$80,2,FALSE),
  O158="Minas Gerais",((W158*0.15)+(X158*0.7))*VLOOKUP(P158,'MunicípiosEstados'!$Y$2:$Z$854,2,FALSE),
  O158="Pará",((W158*0.15)+(X158*0.7))*VLOOKUP(P158,'MunicípiosEstados'!$AA$2:$AB$145,2,FALSE),
  O158="Paraíba",((W158*0.15)+(X158*0.7))*VLOOKUP(P158,'MunicípiosEstados'!$AC$2:$AD$224,2,FALSE),
  O158="Paraná",((W158*0.15)+(X158*0.7))*VLOOKUP(P158,'MunicípiosEstados'!$AE$2:$AF$400,2,FALSE),
  O158="Pernambuco",((W158*0.15)+(X158*0.7))*VLOOKUP(P158,'MunicípiosEstados'!$AG$2:$AH$186,2,FALSE),
  O158="Piauí",((W158*0.15)+(X158*0.7))*VLOOKUP(P158,'MunicípiosEstados'!$AI$2:$AJ$225,2,FALSE),
  O158="Rio Grande do Norte",((W158*0.15)+(X158*0.7))*VLOOKUP(P158,'MunicípiosEstados'!$AK$2:$AL$168,2,FALSE),
  O158="Rio Grande do Sul",((W158*0.15)+(X158*0.7))*VLOOKUP(P158,'MunicípiosEstados'!$AM$2:$AN$498,2,FALSE),
  O158="Rio de Janeiro",((W158*0.15)+(X158*0.7))*VLOOKUP(P158,'MunicípiosEstados'!$AO$2:$AP$93,2,FALSE),
  O158="Rondônia",((W158*0.15)+(X158*0.7))*VLOOKUP(P158,'MunicípiosEstados'!$AQ$2:$AR$53,2,FALSE),
  O158="Roraima",((W158*0.15)+(X158*0.7))*VLOOKUP(P158,'MunicípiosEstados'!$AS$2:$AT$16,2,FALSE),
  O158="Santa Catarina",((W158*0.15)+(X158*0.7))*VLOOKUP(P158,'MunicípiosEstados'!$AU$2:$AV$296,2,FALSE),
  O158="São Paulo",((W158*0.15)+(X158*0.7))*VLOOKUP(P158,'MunicípiosEstados'!$AW$2:$AX$646,2,FALSE),
  O158="Sergipe",((W158*0.15)+(X158*0.7))*VLOOKUP(P158,'MunicípiosEstados'!$AY$2:$AZ$76,2,FALSE),
  O158="Tocantins",((W158*0.15)+(X158*0.7))*VLOOKUP(P158,'MunicípiosEstados'!$BA$2:$BB$140,2,FALSE),
  O158="Exterior",((W158*0.15)+(X158*0.7))*VLOOKUP(P158,'MunicípiosEstados'!$BC$2:$BE$221,3,FALSE),TRUE,0
)
</f>
        <v>21558.81</v>
      </c>
      <c r="AL158" s="25">
        <f t="shared" si="3"/>
        <v>23308.81</v>
      </c>
    </row>
    <row r="159" ht="22.5" hidden="1" customHeight="1">
      <c r="A159" s="15">
        <f t="shared" si="1"/>
        <v>158</v>
      </c>
      <c r="B159" s="16">
        <v>45989.36547680556</v>
      </c>
      <c r="C159" s="17" t="s">
        <v>1120</v>
      </c>
      <c r="D159" s="27" t="s">
        <v>443</v>
      </c>
      <c r="E159" s="15" t="str">
        <f>VLOOKUP(G159,DiretoriaDepart.Coord.!$A$1:$C$72,2,FALSE)</f>
        <v>Extensão Rural</v>
      </c>
      <c r="F159" s="15" t="str">
        <f>VLOOKUP(G159,DiretoriaDepart.Coord.!$A$1:$C$72,3,FALSE)</f>
        <v>Projetos e Cadeias Produtivas</v>
      </c>
      <c r="G159" s="17" t="s">
        <v>1121</v>
      </c>
      <c r="H159" s="15"/>
      <c r="I159" s="17" t="s">
        <v>1125</v>
      </c>
      <c r="J159" s="17" t="s">
        <v>728</v>
      </c>
      <c r="K159" s="17">
        <v>25.0</v>
      </c>
      <c r="L159" s="15"/>
      <c r="M159" s="17" t="s">
        <v>970</v>
      </c>
      <c r="N159" s="17">
        <v>0.0</v>
      </c>
      <c r="O159" s="17" t="s">
        <v>714</v>
      </c>
      <c r="P159" s="17" t="s">
        <v>294</v>
      </c>
      <c r="Q159" s="20">
        <v>45809.5625</v>
      </c>
      <c r="R159" s="20">
        <v>45813.5</v>
      </c>
      <c r="S159" s="17" t="s">
        <v>451</v>
      </c>
      <c r="T159" s="17" t="s">
        <v>452</v>
      </c>
      <c r="U159" s="21" t="s">
        <v>1126</v>
      </c>
      <c r="V159" s="21" t="s">
        <v>1127</v>
      </c>
      <c r="W159" s="22">
        <v>300.0</v>
      </c>
      <c r="X159" s="22">
        <v>125.0</v>
      </c>
      <c r="Y159" s="23">
        <v>0.0</v>
      </c>
      <c r="Z159" s="23">
        <v>0.0</v>
      </c>
      <c r="AA159" s="24">
        <v>0.0</v>
      </c>
      <c r="AB159" s="24">
        <v>0.0</v>
      </c>
      <c r="AC159" s="24">
        <v>0.0</v>
      </c>
      <c r="AD159" s="23">
        <v>0.0</v>
      </c>
      <c r="AE159" s="24">
        <v>0.0</v>
      </c>
      <c r="AF159" s="17" t="s">
        <v>451</v>
      </c>
      <c r="AG159" s="17">
        <v>4000.0</v>
      </c>
      <c r="AH159" s="17" t="s">
        <v>451</v>
      </c>
      <c r="AI159" s="25">
        <f>IF(AF159="Sim",INT((R159-Q159+1))*K159*VLOOKUP(P159,'Tabelas Auxiliares'!$A$1:$C$400,3,FALSE),0)</f>
        <v>0</v>
      </c>
      <c r="AJ159" s="25">
        <f t="shared" si="2"/>
        <v>2800</v>
      </c>
      <c r="AK159" s="25">
        <f>IFS(
  O159="Acre",((W159*0.15)+(X159*0.7))*VLOOKUP(P159,'MunicípiosEstados'!$A$2:$B$23,2,FALSE),
  O159="Alagoas",((W159*0.15)+(X159*0.7))*VLOOKUP(P159,'MunicípiosEstados'!$C$2:$D$103,2,FALSE),
  O159="Amapá",((W159*0.15)+(X159*0.7))*VLOOKUP(P159,'MunicípiosEstados'!$E$2:$F$17,2,FALSE),
  O159="Amazonas",((W159*0.15)+(X159*0.7))*VLOOKUP(P159,'MunicípiosEstados'!$G$2:$H$63,2,FALSE),
  O159="Bahia",((W159*0.15)+(X159*0.7))*VLOOKUP(P159,'MunicípiosEstados'!$I$2:$J$418,2,FALSE),
  O159="Ceará",((W159*0.15)+(X159*0.7))*VLOOKUP(P159,'MunicípiosEstados'!$K$2:$L$185,2,FALSE),
  O159="Distrito Federal",((W159*0.15)+(X159*0.7))*VLOOKUP(P159,'MunicípiosEstados'!$M$2:$N$2,2,FALSE),
  O159="Espírito Santo",((W159*0.15)+(X159*0.7))*VLOOKUP(P159,'MunicípiosEstados'!$O$2:$P$79,2,FALSE),
  O159="Goiás",((W159*0.15)+(X159*0.7))*VLOOKUP(P159,'MunicípiosEstados'!$Q$2:$R$247,2,FALSE),
  O159="Maranhão",((W159*0.15)+(X159*0.7))*VLOOKUP(P159,'MunicípiosEstados'!$S$2:$T$218,2,FALSE),
  O159="Mato Grosso",((W159*0.15)+(X159*0.7))*VLOOKUP(P159,'MunicípiosEstados'!$U$2:$V$143,2,FALSE),
  O159="Mato Grosso do Sul",((W159*0.15)+(X159*0.7))*VLOOKUP(P159,'MunicípiosEstados'!$W$2:$X$80,2,FALSE),
  O159="Minas Gerais",((W159*0.15)+(X159*0.7))*VLOOKUP(P159,'MunicípiosEstados'!$Y$2:$Z$854,2,FALSE),
  O159="Pará",((W159*0.15)+(X159*0.7))*VLOOKUP(P159,'MunicípiosEstados'!$AA$2:$AB$145,2,FALSE),
  O159="Paraíba",((W159*0.15)+(X159*0.7))*VLOOKUP(P159,'MunicípiosEstados'!$AC$2:$AD$224,2,FALSE),
  O159="Paraná",((W159*0.15)+(X159*0.7))*VLOOKUP(P159,'MunicípiosEstados'!$AE$2:$AF$400,2,FALSE),
  O159="Pernambuco",((W159*0.15)+(X159*0.7))*VLOOKUP(P159,'MunicípiosEstados'!$AG$2:$AH$186,2,FALSE),
  O159="Piauí",((W159*0.15)+(X159*0.7))*VLOOKUP(P159,'MunicípiosEstados'!$AI$2:$AJ$225,2,FALSE),
  O159="Rio Grande do Norte",((W159*0.15)+(X159*0.7))*VLOOKUP(P159,'MunicípiosEstados'!$AK$2:$AL$168,2,FALSE),
  O159="Rio Grande do Sul",((W159*0.15)+(X159*0.7))*VLOOKUP(P159,'MunicípiosEstados'!$AM$2:$AN$498,2,FALSE),
  O159="Rio de Janeiro",((W159*0.15)+(X159*0.7))*VLOOKUP(P159,'MunicípiosEstados'!$AO$2:$AP$93,2,FALSE),
  O159="Rondônia",((W159*0.15)+(X159*0.7))*VLOOKUP(P159,'MunicípiosEstados'!$AQ$2:$AR$53,2,FALSE),
  O159="Roraima",((W159*0.15)+(X159*0.7))*VLOOKUP(P159,'MunicípiosEstados'!$AS$2:$AT$16,2,FALSE),
  O159="Santa Catarina",((W159*0.15)+(X159*0.7))*VLOOKUP(P159,'MunicípiosEstados'!$AU$2:$AV$296,2,FALSE),
  O159="São Paulo",((W159*0.15)+(X159*0.7))*VLOOKUP(P159,'MunicípiosEstados'!$AW$2:$AX$646,2,FALSE),
  O159="Sergipe",((W159*0.15)+(X159*0.7))*VLOOKUP(P159,'MunicípiosEstados'!$AY$2:$AZ$76,2,FALSE),
  O159="Tocantins",((W159*0.15)+(X159*0.7))*VLOOKUP(P159,'MunicípiosEstados'!$BA$2:$BB$140,2,FALSE),
  O159="Exterior",((W159*0.15)+(X159*0.7))*VLOOKUP(P159,'MunicípiosEstados'!$BC$2:$BE$221,3,FALSE),TRUE,0
)
</f>
        <v>38497.875</v>
      </c>
      <c r="AL159" s="25">
        <f t="shared" si="3"/>
        <v>41297.875</v>
      </c>
    </row>
    <row r="160" ht="22.5" hidden="1" customHeight="1">
      <c r="A160" s="15">
        <f t="shared" si="1"/>
        <v>159</v>
      </c>
      <c r="B160" s="16">
        <v>45989.37193282407</v>
      </c>
      <c r="C160" s="17" t="s">
        <v>1120</v>
      </c>
      <c r="D160" s="27" t="s">
        <v>443</v>
      </c>
      <c r="E160" s="15" t="str">
        <f>VLOOKUP(G160,DiretoriaDepart.Coord.!$A$1:$C$72,2,FALSE)</f>
        <v>Extensão Rural</v>
      </c>
      <c r="F160" s="15" t="str">
        <f>VLOOKUP(G160,DiretoriaDepart.Coord.!$A$1:$C$72,3,FALSE)</f>
        <v>Projetos e Cadeias Produtivas</v>
      </c>
      <c r="G160" s="17" t="s">
        <v>1121</v>
      </c>
      <c r="H160" s="15"/>
      <c r="I160" s="17" t="s">
        <v>1128</v>
      </c>
      <c r="J160" s="17" t="s">
        <v>728</v>
      </c>
      <c r="K160" s="17">
        <v>14.0</v>
      </c>
      <c r="L160" s="15"/>
      <c r="M160" s="17" t="s">
        <v>970</v>
      </c>
      <c r="N160" s="17">
        <v>0.0</v>
      </c>
      <c r="O160" s="17" t="s">
        <v>714</v>
      </c>
      <c r="P160" s="17" t="s">
        <v>294</v>
      </c>
      <c r="Q160" s="20">
        <v>45844.5625</v>
      </c>
      <c r="R160" s="20">
        <v>45848.5</v>
      </c>
      <c r="S160" s="17" t="s">
        <v>451</v>
      </c>
      <c r="T160" s="17" t="s">
        <v>452</v>
      </c>
      <c r="U160" s="21" t="s">
        <v>1129</v>
      </c>
      <c r="V160" s="21" t="s">
        <v>1130</v>
      </c>
      <c r="W160" s="22">
        <v>170.0</v>
      </c>
      <c r="X160" s="22">
        <v>70.0</v>
      </c>
      <c r="Y160" s="23">
        <v>0.0</v>
      </c>
      <c r="Z160" s="23">
        <v>0.0</v>
      </c>
      <c r="AA160" s="24">
        <v>0.0</v>
      </c>
      <c r="AB160" s="24">
        <v>0.0</v>
      </c>
      <c r="AC160" s="24">
        <v>0.0</v>
      </c>
      <c r="AD160" s="23">
        <v>0.0</v>
      </c>
      <c r="AE160" s="24">
        <v>0.0</v>
      </c>
      <c r="AF160" s="17" t="s">
        <v>451</v>
      </c>
      <c r="AG160" s="17">
        <v>2500.0</v>
      </c>
      <c r="AH160" s="17" t="s">
        <v>451</v>
      </c>
      <c r="AI160" s="25">
        <f>IF(AF160="Sim",INT((R160-Q160+1))*K160*VLOOKUP(P160,'Tabelas Auxiliares'!$A$1:$C$400,3,FALSE),0)</f>
        <v>0</v>
      </c>
      <c r="AJ160" s="25">
        <f t="shared" si="2"/>
        <v>1750</v>
      </c>
      <c r="AK160" s="25">
        <f>IFS(
  O160="Acre",((W160*0.15)+(X160*0.7))*VLOOKUP(P160,'MunicípiosEstados'!$A$2:$B$23,2,FALSE),
  O160="Alagoas",((W160*0.15)+(X160*0.7))*VLOOKUP(P160,'MunicípiosEstados'!$C$2:$D$103,2,FALSE),
  O160="Amapá",((W160*0.15)+(X160*0.7))*VLOOKUP(P160,'MunicípiosEstados'!$E$2:$F$17,2,FALSE),
  O160="Amazonas",((W160*0.15)+(X160*0.7))*VLOOKUP(P160,'MunicípiosEstados'!$G$2:$H$63,2,FALSE),
  O160="Bahia",((W160*0.15)+(X160*0.7))*VLOOKUP(P160,'MunicípiosEstados'!$I$2:$J$418,2,FALSE),
  O160="Ceará",((W160*0.15)+(X160*0.7))*VLOOKUP(P160,'MunicípiosEstados'!$K$2:$L$185,2,FALSE),
  O160="Distrito Federal",((W160*0.15)+(X160*0.7))*VLOOKUP(P160,'MunicípiosEstados'!$M$2:$N$2,2,FALSE),
  O160="Espírito Santo",((W160*0.15)+(X160*0.7))*VLOOKUP(P160,'MunicípiosEstados'!$O$2:$P$79,2,FALSE),
  O160="Goiás",((W160*0.15)+(X160*0.7))*VLOOKUP(P160,'MunicípiosEstados'!$Q$2:$R$247,2,FALSE),
  O160="Maranhão",((W160*0.15)+(X160*0.7))*VLOOKUP(P160,'MunicípiosEstados'!$S$2:$T$218,2,FALSE),
  O160="Mato Grosso",((W160*0.15)+(X160*0.7))*VLOOKUP(P160,'MunicípiosEstados'!$U$2:$V$143,2,FALSE),
  O160="Mato Grosso do Sul",((W160*0.15)+(X160*0.7))*VLOOKUP(P160,'MunicípiosEstados'!$W$2:$X$80,2,FALSE),
  O160="Minas Gerais",((W160*0.15)+(X160*0.7))*VLOOKUP(P160,'MunicípiosEstados'!$Y$2:$Z$854,2,FALSE),
  O160="Pará",((W160*0.15)+(X160*0.7))*VLOOKUP(P160,'MunicípiosEstados'!$AA$2:$AB$145,2,FALSE),
  O160="Paraíba",((W160*0.15)+(X160*0.7))*VLOOKUP(P160,'MunicípiosEstados'!$AC$2:$AD$224,2,FALSE),
  O160="Paraná",((W160*0.15)+(X160*0.7))*VLOOKUP(P160,'MunicípiosEstados'!$AE$2:$AF$400,2,FALSE),
  O160="Pernambuco",((W160*0.15)+(X160*0.7))*VLOOKUP(P160,'MunicípiosEstados'!$AG$2:$AH$186,2,FALSE),
  O160="Piauí",((W160*0.15)+(X160*0.7))*VLOOKUP(P160,'MunicípiosEstados'!$AI$2:$AJ$225,2,FALSE),
  O160="Rio Grande do Norte",((W160*0.15)+(X160*0.7))*VLOOKUP(P160,'MunicípiosEstados'!$AK$2:$AL$168,2,FALSE),
  O160="Rio Grande do Sul",((W160*0.15)+(X160*0.7))*VLOOKUP(P160,'MunicípiosEstados'!$AM$2:$AN$498,2,FALSE),
  O160="Rio de Janeiro",((W160*0.15)+(X160*0.7))*VLOOKUP(P160,'MunicípiosEstados'!$AO$2:$AP$93,2,FALSE),
  O160="Rondônia",((W160*0.15)+(X160*0.7))*VLOOKUP(P160,'MunicípiosEstados'!$AQ$2:$AR$53,2,FALSE),
  O160="Roraima",((W160*0.15)+(X160*0.7))*VLOOKUP(P160,'MunicípiosEstados'!$AS$2:$AT$16,2,FALSE),
  O160="Santa Catarina",((W160*0.15)+(X160*0.7))*VLOOKUP(P160,'MunicípiosEstados'!$AU$2:$AV$296,2,FALSE),
  O160="São Paulo",((W160*0.15)+(X160*0.7))*VLOOKUP(P160,'MunicípiosEstados'!$AW$2:$AX$646,2,FALSE),
  O160="Sergipe",((W160*0.15)+(X160*0.7))*VLOOKUP(P160,'MunicípiosEstados'!$AY$2:$AZ$76,2,FALSE),
  O160="Tocantins",((W160*0.15)+(X160*0.7))*VLOOKUP(P160,'MunicípiosEstados'!$BA$2:$BB$140,2,FALSE),
  O160="Exterior",((W160*0.15)+(X160*0.7))*VLOOKUP(P160,'MunicípiosEstados'!$BC$2:$BE$221,3,FALSE),TRUE,0
)
</f>
        <v>21645.975</v>
      </c>
      <c r="AL160" s="25">
        <f t="shared" si="3"/>
        <v>23395.975</v>
      </c>
    </row>
    <row r="161" ht="22.5" customHeight="1">
      <c r="A161" s="15">
        <f t="shared" si="1"/>
        <v>160</v>
      </c>
      <c r="B161" s="16">
        <v>45989.42506350695</v>
      </c>
      <c r="C161" s="17" t="s">
        <v>696</v>
      </c>
      <c r="D161" s="27" t="s">
        <v>443</v>
      </c>
      <c r="E161" s="15" t="str">
        <f>VLOOKUP(G161,DiretoriaDepart.Coord.!$A$1:$C$72,2,FALSE)</f>
        <v>Extensão Rural</v>
      </c>
      <c r="F161" s="15" t="str">
        <f>VLOOKUP(G161,DiretoriaDepart.Coord.!$A$1:$C$72,3,FALSE)</f>
        <v>Projetos e Cadeias Produtivas</v>
      </c>
      <c r="G161" s="17" t="s">
        <v>697</v>
      </c>
      <c r="H161" s="15"/>
      <c r="I161" s="17" t="s">
        <v>1131</v>
      </c>
      <c r="J161" s="17" t="s">
        <v>728</v>
      </c>
      <c r="K161" s="17">
        <v>40.0</v>
      </c>
      <c r="L161" s="15"/>
      <c r="M161" s="17" t="s">
        <v>1132</v>
      </c>
      <c r="N161" s="17">
        <v>10.0</v>
      </c>
      <c r="O161" s="17" t="s">
        <v>714</v>
      </c>
      <c r="P161" s="17" t="s">
        <v>18</v>
      </c>
      <c r="Q161" s="20">
        <v>45781.583333333336</v>
      </c>
      <c r="R161" s="20">
        <v>45785.5</v>
      </c>
      <c r="S161" s="17" t="s">
        <v>451</v>
      </c>
      <c r="T161" s="17" t="s">
        <v>452</v>
      </c>
      <c r="U161" s="21" t="s">
        <v>1133</v>
      </c>
      <c r="V161" s="21" t="s">
        <v>1134</v>
      </c>
      <c r="W161" s="22">
        <v>320.0</v>
      </c>
      <c r="X161" s="22">
        <v>0.0</v>
      </c>
      <c r="Y161" s="23">
        <v>0.0</v>
      </c>
      <c r="Z161" s="23">
        <v>0.0</v>
      </c>
      <c r="AA161" s="24">
        <v>0.0</v>
      </c>
      <c r="AB161" s="24">
        <v>0.0</v>
      </c>
      <c r="AC161" s="24">
        <v>0.0</v>
      </c>
      <c r="AD161" s="23">
        <v>0.0</v>
      </c>
      <c r="AE161" s="24">
        <v>0.0</v>
      </c>
      <c r="AF161" s="17" t="s">
        <v>464</v>
      </c>
      <c r="AG161" s="17">
        <v>6000.0</v>
      </c>
      <c r="AH161" s="17" t="s">
        <v>464</v>
      </c>
      <c r="AI161" s="25">
        <f>IF(AF161="Sim",INT((R161-Q161+1))*K161*VLOOKUP(P161,'Tabelas Auxiliares'!$A$1:$C$400,3,FALSE),0)</f>
        <v>3622.4</v>
      </c>
      <c r="AJ161" s="25">
        <f t="shared" si="2"/>
        <v>4200</v>
      </c>
      <c r="AK161" s="25">
        <f>IFS(
  O161="Acre",((W161*0.15)+(X161*0.7))*VLOOKUP(P161,'MunicípiosEstados'!$A$2:$B$23,2,FALSE),
  O161="Alagoas",((W161*0.15)+(X161*0.7))*VLOOKUP(P161,'MunicípiosEstados'!$C$2:$D$103,2,FALSE),
  O161="Amapá",((W161*0.15)+(X161*0.7))*VLOOKUP(P161,'MunicípiosEstados'!$E$2:$F$17,2,FALSE),
  O161="Amazonas",((W161*0.15)+(X161*0.7))*VLOOKUP(P161,'MunicípiosEstados'!$G$2:$H$63,2,FALSE),
  O161="Bahia",((W161*0.15)+(X161*0.7))*VLOOKUP(P161,'MunicípiosEstados'!$I$2:$J$418,2,FALSE),
  O161="Ceará",((W161*0.15)+(X161*0.7))*VLOOKUP(P161,'MunicípiosEstados'!$K$2:$L$185,2,FALSE),
  O161="Distrito Federal",((W161*0.15)+(X161*0.7))*VLOOKUP(P161,'MunicípiosEstados'!$M$2:$N$2,2,FALSE),
  O161="Espírito Santo",((W161*0.15)+(X161*0.7))*VLOOKUP(P161,'MunicípiosEstados'!$O$2:$P$79,2,FALSE),
  O161="Goiás",((W161*0.15)+(X161*0.7))*VLOOKUP(P161,'MunicípiosEstados'!$Q$2:$R$247,2,FALSE),
  O161="Maranhão",((W161*0.15)+(X161*0.7))*VLOOKUP(P161,'MunicípiosEstados'!$S$2:$T$218,2,FALSE),
  O161="Mato Grosso",((W161*0.15)+(X161*0.7))*VLOOKUP(P161,'MunicípiosEstados'!$U$2:$V$143,2,FALSE),
  O161="Mato Grosso do Sul",((W161*0.15)+(X161*0.7))*VLOOKUP(P161,'MunicípiosEstados'!$W$2:$X$80,2,FALSE),
  O161="Minas Gerais",((W161*0.15)+(X161*0.7))*VLOOKUP(P161,'MunicípiosEstados'!$Y$2:$Z$854,2,FALSE),
  O161="Pará",((W161*0.15)+(X161*0.7))*VLOOKUP(P161,'MunicípiosEstados'!$AA$2:$AB$145,2,FALSE),
  O161="Paraíba",((W161*0.15)+(X161*0.7))*VLOOKUP(P161,'MunicípiosEstados'!$AC$2:$AD$224,2,FALSE),
  O161="Paraná",((W161*0.15)+(X161*0.7))*VLOOKUP(P161,'MunicípiosEstados'!$AE$2:$AF$400,2,FALSE),
  O161="Pernambuco",((W161*0.15)+(X161*0.7))*VLOOKUP(P161,'MunicípiosEstados'!$AG$2:$AH$186,2,FALSE),
  O161="Piauí",((W161*0.15)+(X161*0.7))*VLOOKUP(P161,'MunicípiosEstados'!$AI$2:$AJ$225,2,FALSE),
  O161="Rio Grande do Norte",((W161*0.15)+(X161*0.7))*VLOOKUP(P161,'MunicípiosEstados'!$AK$2:$AL$168,2,FALSE),
  O161="Rio Grande do Sul",((W161*0.15)+(X161*0.7))*VLOOKUP(P161,'MunicípiosEstados'!$AM$2:$AN$498,2,FALSE),
  O161="Rio de Janeiro",((W161*0.15)+(X161*0.7))*VLOOKUP(P161,'MunicípiosEstados'!$AO$2:$AP$93,2,FALSE),
  O161="Rondônia",((W161*0.15)+(X161*0.7))*VLOOKUP(P161,'MunicípiosEstados'!$AQ$2:$AR$53,2,FALSE),
  O161="Roraima",((W161*0.15)+(X161*0.7))*VLOOKUP(P161,'MunicípiosEstados'!$AS$2:$AT$16,2,FALSE),
  O161="Santa Catarina",((W161*0.15)+(X161*0.7))*VLOOKUP(P161,'MunicípiosEstados'!$AU$2:$AV$296,2,FALSE),
  O161="São Paulo",((W161*0.15)+(X161*0.7))*VLOOKUP(P161,'MunicípiosEstados'!$AW$2:$AX$646,2,FALSE),
  O161="Sergipe",((W161*0.15)+(X161*0.7))*VLOOKUP(P161,'MunicípiosEstados'!$AY$2:$AZ$76,2,FALSE),
  O161="Tocantins",((W161*0.15)+(X161*0.7))*VLOOKUP(P161,'MunicípiosEstados'!$BA$2:$BB$140,2,FALSE),
  O161="Exterior",((W161*0.15)+(X161*0.7))*VLOOKUP(P161,'MunicípiosEstados'!$BC$2:$BE$221,3,FALSE),TRUE,0
)
</f>
        <v>13946.4</v>
      </c>
      <c r="AL161" s="25">
        <f t="shared" si="3"/>
        <v>21768.8</v>
      </c>
    </row>
    <row r="162" ht="22.5" customHeight="1">
      <c r="A162" s="15">
        <f t="shared" si="1"/>
        <v>161</v>
      </c>
      <c r="B162" s="16">
        <v>45989.45773734954</v>
      </c>
      <c r="C162" s="17" t="s">
        <v>696</v>
      </c>
      <c r="D162" s="27" t="s">
        <v>443</v>
      </c>
      <c r="E162" s="15" t="str">
        <f>VLOOKUP(G162,DiretoriaDepart.Coord.!$A$1:$C$72,2,FALSE)</f>
        <v>Extensão Rural</v>
      </c>
      <c r="F162" s="15" t="str">
        <f>VLOOKUP(G162,DiretoriaDepart.Coord.!$A$1:$C$72,3,FALSE)</f>
        <v>Projetos e Cadeias Produtivas</v>
      </c>
      <c r="G162" s="17" t="s">
        <v>697</v>
      </c>
      <c r="H162" s="15"/>
      <c r="I162" s="17" t="s">
        <v>1135</v>
      </c>
      <c r="J162" s="17" t="s">
        <v>728</v>
      </c>
      <c r="K162" s="17">
        <v>30.0</v>
      </c>
      <c r="L162" s="15"/>
      <c r="M162" s="17" t="s">
        <v>1136</v>
      </c>
      <c r="N162" s="17">
        <v>10.0</v>
      </c>
      <c r="O162" s="17" t="s">
        <v>714</v>
      </c>
      <c r="P162" s="17" t="s">
        <v>34</v>
      </c>
      <c r="Q162" s="20">
        <v>45803.354166666664</v>
      </c>
      <c r="R162" s="20">
        <v>45805.708333333336</v>
      </c>
      <c r="S162" s="17" t="s">
        <v>451</v>
      </c>
      <c r="T162" s="17" t="s">
        <v>452</v>
      </c>
      <c r="U162" s="21" t="s">
        <v>1137</v>
      </c>
      <c r="V162" s="21" t="s">
        <v>1138</v>
      </c>
      <c r="W162" s="22">
        <v>360.0</v>
      </c>
      <c r="X162" s="22">
        <v>90.0</v>
      </c>
      <c r="Y162" s="23">
        <v>0.0</v>
      </c>
      <c r="Z162" s="23">
        <v>0.0</v>
      </c>
      <c r="AA162" s="24">
        <v>0.0</v>
      </c>
      <c r="AB162" s="24">
        <v>0.0</v>
      </c>
      <c r="AC162" s="24">
        <v>0.0</v>
      </c>
      <c r="AD162" s="23">
        <v>0.0</v>
      </c>
      <c r="AE162" s="24">
        <v>0.0</v>
      </c>
      <c r="AF162" s="17" t="s">
        <v>464</v>
      </c>
      <c r="AG162" s="17">
        <v>6000.0</v>
      </c>
      <c r="AH162" s="17" t="s">
        <v>464</v>
      </c>
      <c r="AI162" s="25">
        <f>IF(AF162="Sim",INT((R162-Q162+1))*K162*VLOOKUP(P162,'Tabelas Auxiliares'!$A$1:$C$400,3,FALSE),0)</f>
        <v>2037.6</v>
      </c>
      <c r="AJ162" s="25">
        <f t="shared" si="2"/>
        <v>4200</v>
      </c>
      <c r="AK162" s="25">
        <f>IFS(
  O162="Acre",((W162*0.15)+(X162*0.7))*VLOOKUP(P162,'MunicípiosEstados'!$A$2:$B$23,2,FALSE),
  O162="Alagoas",((W162*0.15)+(X162*0.7))*VLOOKUP(P162,'MunicípiosEstados'!$C$2:$D$103,2,FALSE),
  O162="Amapá",((W162*0.15)+(X162*0.7))*VLOOKUP(P162,'MunicípiosEstados'!$E$2:$F$17,2,FALSE),
  O162="Amazonas",((W162*0.15)+(X162*0.7))*VLOOKUP(P162,'MunicípiosEstados'!$G$2:$H$63,2,FALSE),
  O162="Bahia",((W162*0.15)+(X162*0.7))*VLOOKUP(P162,'MunicípiosEstados'!$I$2:$J$418,2,FALSE),
  O162="Ceará",((W162*0.15)+(X162*0.7))*VLOOKUP(P162,'MunicípiosEstados'!$K$2:$L$185,2,FALSE),
  O162="Distrito Federal",((W162*0.15)+(X162*0.7))*VLOOKUP(P162,'MunicípiosEstados'!$M$2:$N$2,2,FALSE),
  O162="Espírito Santo",((W162*0.15)+(X162*0.7))*VLOOKUP(P162,'MunicípiosEstados'!$O$2:$P$79,2,FALSE),
  O162="Goiás",((W162*0.15)+(X162*0.7))*VLOOKUP(P162,'MunicípiosEstados'!$Q$2:$R$247,2,FALSE),
  O162="Maranhão",((W162*0.15)+(X162*0.7))*VLOOKUP(P162,'MunicípiosEstados'!$S$2:$T$218,2,FALSE),
  O162="Mato Grosso",((W162*0.15)+(X162*0.7))*VLOOKUP(P162,'MunicípiosEstados'!$U$2:$V$143,2,FALSE),
  O162="Mato Grosso do Sul",((W162*0.15)+(X162*0.7))*VLOOKUP(P162,'MunicípiosEstados'!$W$2:$X$80,2,FALSE),
  O162="Minas Gerais",((W162*0.15)+(X162*0.7))*VLOOKUP(P162,'MunicípiosEstados'!$Y$2:$Z$854,2,FALSE),
  O162="Pará",((W162*0.15)+(X162*0.7))*VLOOKUP(P162,'MunicípiosEstados'!$AA$2:$AB$145,2,FALSE),
  O162="Paraíba",((W162*0.15)+(X162*0.7))*VLOOKUP(P162,'MunicípiosEstados'!$AC$2:$AD$224,2,FALSE),
  O162="Paraná",((W162*0.15)+(X162*0.7))*VLOOKUP(P162,'MunicípiosEstados'!$AE$2:$AF$400,2,FALSE),
  O162="Pernambuco",((W162*0.15)+(X162*0.7))*VLOOKUP(P162,'MunicípiosEstados'!$AG$2:$AH$186,2,FALSE),
  O162="Piauí",((W162*0.15)+(X162*0.7))*VLOOKUP(P162,'MunicípiosEstados'!$AI$2:$AJ$225,2,FALSE),
  O162="Rio Grande do Norte",((W162*0.15)+(X162*0.7))*VLOOKUP(P162,'MunicípiosEstados'!$AK$2:$AL$168,2,FALSE),
  O162="Rio Grande do Sul",((W162*0.15)+(X162*0.7))*VLOOKUP(P162,'MunicípiosEstados'!$AM$2:$AN$498,2,FALSE),
  O162="Rio de Janeiro",((W162*0.15)+(X162*0.7))*VLOOKUP(P162,'MunicípiosEstados'!$AO$2:$AP$93,2,FALSE),
  O162="Rondônia",((W162*0.15)+(X162*0.7))*VLOOKUP(P162,'MunicípiosEstados'!$AQ$2:$AR$53,2,FALSE),
  O162="Roraima",((W162*0.15)+(X162*0.7))*VLOOKUP(P162,'MunicípiosEstados'!$AS$2:$AT$16,2,FALSE),
  O162="Santa Catarina",((W162*0.15)+(X162*0.7))*VLOOKUP(P162,'MunicípiosEstados'!$AU$2:$AV$296,2,FALSE),
  O162="São Paulo",((W162*0.15)+(X162*0.7))*VLOOKUP(P162,'MunicípiosEstados'!$AW$2:$AX$646,2,FALSE),
  O162="Sergipe",((W162*0.15)+(X162*0.7))*VLOOKUP(P162,'MunicípiosEstados'!$AY$2:$AZ$76,2,FALSE),
  O162="Tocantins",((W162*0.15)+(X162*0.7))*VLOOKUP(P162,'MunicípiosEstados'!$BA$2:$BB$140,2,FALSE),
  O162="Exterior",((W162*0.15)+(X162*0.7))*VLOOKUP(P162,'MunicípiosEstados'!$BC$2:$BE$221,3,FALSE),TRUE,0
)
</f>
        <v>33994.35</v>
      </c>
      <c r="AL162" s="25">
        <f t="shared" si="3"/>
        <v>40231.95</v>
      </c>
    </row>
    <row r="163" ht="22.5" hidden="1" customHeight="1">
      <c r="A163" s="15">
        <f t="shared" si="1"/>
        <v>162</v>
      </c>
      <c r="B163" s="16">
        <v>45989.48724986111</v>
      </c>
      <c r="C163" s="17" t="s">
        <v>1139</v>
      </c>
      <c r="D163" s="27" t="s">
        <v>443</v>
      </c>
      <c r="E163" s="15" t="str">
        <f>VLOOKUP(G163,DiretoriaDepart.Coord.!$A$1:$C$72,2,FALSE)</f>
        <v>Gestão Institucional</v>
      </c>
      <c r="F163" s="15" t="str">
        <f>VLOOKUP(G163,DiretoriaDepart.Coord.!$A$1:$C$72,3,FALSE)</f>
        <v>Administração</v>
      </c>
      <c r="G163" s="17" t="s">
        <v>1140</v>
      </c>
      <c r="H163" s="15"/>
      <c r="I163" s="17" t="s">
        <v>1141</v>
      </c>
      <c r="J163" s="17" t="s">
        <v>719</v>
      </c>
      <c r="K163" s="17">
        <v>14.0</v>
      </c>
      <c r="L163" s="15"/>
      <c r="M163" s="17" t="s">
        <v>1142</v>
      </c>
      <c r="N163" s="17">
        <v>1.0</v>
      </c>
      <c r="O163" s="17" t="s">
        <v>714</v>
      </c>
      <c r="P163" s="17" t="s">
        <v>6</v>
      </c>
      <c r="Q163" s="20">
        <v>45733.333333333336</v>
      </c>
      <c r="R163" s="20">
        <v>45735.708333333336</v>
      </c>
      <c r="S163" s="17" t="s">
        <v>451</v>
      </c>
      <c r="T163" s="17" t="s">
        <v>452</v>
      </c>
      <c r="U163" s="21" t="s">
        <v>1143</v>
      </c>
      <c r="V163" s="21" t="s">
        <v>1144</v>
      </c>
      <c r="W163" s="22">
        <v>42.0</v>
      </c>
      <c r="X163" s="22">
        <v>8.0</v>
      </c>
      <c r="Y163" s="23">
        <v>0.0</v>
      </c>
      <c r="Z163" s="23">
        <v>0.0</v>
      </c>
      <c r="AA163" s="24">
        <v>0.0</v>
      </c>
      <c r="AB163" s="24">
        <v>0.0</v>
      </c>
      <c r="AC163" s="24">
        <v>1000.0</v>
      </c>
      <c r="AD163" s="23">
        <v>0.0</v>
      </c>
      <c r="AE163" s="24">
        <v>0.0</v>
      </c>
      <c r="AF163" s="17" t="s">
        <v>464</v>
      </c>
      <c r="AG163" s="17">
        <v>678.0</v>
      </c>
      <c r="AH163" s="17" t="s">
        <v>464</v>
      </c>
      <c r="AI163" s="25">
        <f>IF(AF163="Sim",INT((R163-Q163+1))*K163*VLOOKUP(P163,'Tabelas Auxiliares'!$A$1:$C$400,3,FALSE),0)</f>
        <v>950.88</v>
      </c>
      <c r="AJ163" s="25">
        <f t="shared" si="2"/>
        <v>474.6</v>
      </c>
      <c r="AK163" s="25">
        <f>IFS(
  O163="Acre",((W163*0.15)+(X163*0.7))*VLOOKUP(P163,'MunicípiosEstados'!$A$2:$B$23,2,FALSE),
  O163="Alagoas",((W163*0.15)+(X163*0.7))*VLOOKUP(P163,'MunicípiosEstados'!$C$2:$D$103,2,FALSE),
  O163="Amapá",((W163*0.15)+(X163*0.7))*VLOOKUP(P163,'MunicípiosEstados'!$E$2:$F$17,2,FALSE),
  O163="Amazonas",((W163*0.15)+(X163*0.7))*VLOOKUP(P163,'MunicípiosEstados'!$G$2:$H$63,2,FALSE),
  O163="Bahia",((W163*0.15)+(X163*0.7))*VLOOKUP(P163,'MunicípiosEstados'!$I$2:$J$418,2,FALSE),
  O163="Ceará",((W163*0.15)+(X163*0.7))*VLOOKUP(P163,'MunicípiosEstados'!$K$2:$L$185,2,FALSE),
  O163="Distrito Federal",((W163*0.15)+(X163*0.7))*VLOOKUP(P163,'MunicípiosEstados'!$M$2:$N$2,2,FALSE),
  O163="Espírito Santo",((W163*0.15)+(X163*0.7))*VLOOKUP(P163,'MunicípiosEstados'!$O$2:$P$79,2,FALSE),
  O163="Goiás",((W163*0.15)+(X163*0.7))*VLOOKUP(P163,'MunicípiosEstados'!$Q$2:$R$247,2,FALSE),
  O163="Maranhão",((W163*0.15)+(X163*0.7))*VLOOKUP(P163,'MunicípiosEstados'!$S$2:$T$218,2,FALSE),
  O163="Mato Grosso",((W163*0.15)+(X163*0.7))*VLOOKUP(P163,'MunicípiosEstados'!$U$2:$V$143,2,FALSE),
  O163="Mato Grosso do Sul",((W163*0.15)+(X163*0.7))*VLOOKUP(P163,'MunicípiosEstados'!$W$2:$X$80,2,FALSE),
  O163="Minas Gerais",((W163*0.15)+(X163*0.7))*VLOOKUP(P163,'MunicípiosEstados'!$Y$2:$Z$854,2,FALSE),
  O163="Pará",((W163*0.15)+(X163*0.7))*VLOOKUP(P163,'MunicípiosEstados'!$AA$2:$AB$145,2,FALSE),
  O163="Paraíba",((W163*0.15)+(X163*0.7))*VLOOKUP(P163,'MunicípiosEstados'!$AC$2:$AD$224,2,FALSE),
  O163="Paraná",((W163*0.15)+(X163*0.7))*VLOOKUP(P163,'MunicípiosEstados'!$AE$2:$AF$400,2,FALSE),
  O163="Pernambuco",((W163*0.15)+(X163*0.7))*VLOOKUP(P163,'MunicípiosEstados'!$AG$2:$AH$186,2,FALSE),
  O163="Piauí",((W163*0.15)+(X163*0.7))*VLOOKUP(P163,'MunicípiosEstados'!$AI$2:$AJ$225,2,FALSE),
  O163="Rio Grande do Norte",((W163*0.15)+(X163*0.7))*VLOOKUP(P163,'MunicípiosEstados'!$AK$2:$AL$168,2,FALSE),
  O163="Rio Grande do Sul",((W163*0.15)+(X163*0.7))*VLOOKUP(P163,'MunicípiosEstados'!$AM$2:$AN$498,2,FALSE),
  O163="Rio de Janeiro",((W163*0.15)+(X163*0.7))*VLOOKUP(P163,'MunicípiosEstados'!$AO$2:$AP$93,2,FALSE),
  O163="Rondônia",((W163*0.15)+(X163*0.7))*VLOOKUP(P163,'MunicípiosEstados'!$AQ$2:$AR$53,2,FALSE),
  O163="Roraima",((W163*0.15)+(X163*0.7))*VLOOKUP(P163,'MunicípiosEstados'!$AS$2:$AT$16,2,FALSE),
  O163="Santa Catarina",((W163*0.15)+(X163*0.7))*VLOOKUP(P163,'MunicípiosEstados'!$AU$2:$AV$296,2,FALSE),
  O163="São Paulo",((W163*0.15)+(X163*0.7))*VLOOKUP(P163,'MunicípiosEstados'!$AW$2:$AX$646,2,FALSE),
  O163="Sergipe",((W163*0.15)+(X163*0.7))*VLOOKUP(P163,'MunicípiosEstados'!$AY$2:$AZ$76,2,FALSE),
  O163="Tocantins",((W163*0.15)+(X163*0.7))*VLOOKUP(P163,'MunicípiosEstados'!$BA$2:$BB$140,2,FALSE),
  O163="Exterior",((W163*0.15)+(X163*0.7))*VLOOKUP(P163,'MunicípiosEstados'!$BC$2:$BE$221,3,FALSE),TRUE,0
)
</f>
        <v>4417.994</v>
      </c>
      <c r="AL163" s="25">
        <f t="shared" si="3"/>
        <v>6843.474</v>
      </c>
    </row>
    <row r="164" ht="22.5" hidden="1" customHeight="1">
      <c r="A164" s="15">
        <f t="shared" si="1"/>
        <v>163</v>
      </c>
      <c r="B164" s="16">
        <v>45989.55174268519</v>
      </c>
      <c r="C164" s="17" t="s">
        <v>887</v>
      </c>
      <c r="D164" s="27" t="s">
        <v>443</v>
      </c>
      <c r="E164" s="15" t="str">
        <f>VLOOKUP(G164,DiretoriaDepart.Coord.!$A$1:$C$72,2,FALSE)</f>
        <v>Extensão Rural</v>
      </c>
      <c r="F164" s="15" t="str">
        <f>VLOOKUP(G164,DiretoriaDepart.Coord.!$A$1:$C$72,3,FALSE)</f>
        <v>Políticas Públicas</v>
      </c>
      <c r="G164" s="17" t="s">
        <v>888</v>
      </c>
      <c r="H164" s="15"/>
      <c r="I164" s="17" t="s">
        <v>1145</v>
      </c>
      <c r="J164" s="17" t="s">
        <v>728</v>
      </c>
      <c r="K164" s="17">
        <v>75.0</v>
      </c>
      <c r="L164" s="15"/>
      <c r="M164" s="17" t="s">
        <v>1146</v>
      </c>
      <c r="N164" s="17">
        <v>5.0</v>
      </c>
      <c r="O164" s="17" t="s">
        <v>714</v>
      </c>
      <c r="P164" s="17" t="s">
        <v>6</v>
      </c>
      <c r="Q164" s="20">
        <v>45707.333333333336</v>
      </c>
      <c r="R164" s="20">
        <v>45707.708333333336</v>
      </c>
      <c r="S164" s="17" t="s">
        <v>451</v>
      </c>
      <c r="T164" s="17" t="s">
        <v>452</v>
      </c>
      <c r="U164" s="21" t="s">
        <v>1147</v>
      </c>
      <c r="V164" s="21" t="s">
        <v>1148</v>
      </c>
      <c r="W164" s="22">
        <v>225.0</v>
      </c>
      <c r="X164" s="22">
        <v>150.0</v>
      </c>
      <c r="Y164" s="23">
        <v>0.0</v>
      </c>
      <c r="Z164" s="23">
        <v>0.0</v>
      </c>
      <c r="AA164" s="24">
        <v>0.0</v>
      </c>
      <c r="AB164" s="24">
        <v>0.0</v>
      </c>
      <c r="AC164" s="24">
        <v>0.0</v>
      </c>
      <c r="AD164" s="23">
        <v>0.0</v>
      </c>
      <c r="AE164" s="24">
        <v>0.0</v>
      </c>
      <c r="AF164" s="17" t="s">
        <v>464</v>
      </c>
      <c r="AG164" s="17">
        <v>15200.0</v>
      </c>
      <c r="AH164" s="17" t="s">
        <v>451</v>
      </c>
      <c r="AI164" s="25">
        <f>IF(AF164="Sim",INT((R164-Q164+1))*K164*VLOOKUP(P164,'Tabelas Auxiliares'!$A$1:$C$400,3,FALSE),0)</f>
        <v>1698</v>
      </c>
      <c r="AJ164" s="25">
        <f t="shared" si="2"/>
        <v>10640</v>
      </c>
      <c r="AK164" s="25">
        <f>IFS(
  O164="Acre",((W164*0.15)+(X164*0.7))*VLOOKUP(P164,'MunicípiosEstados'!$A$2:$B$23,2,FALSE),
  O164="Alagoas",((W164*0.15)+(X164*0.7))*VLOOKUP(P164,'MunicípiosEstados'!$C$2:$D$103,2,FALSE),
  O164="Amapá",((W164*0.15)+(X164*0.7))*VLOOKUP(P164,'MunicípiosEstados'!$E$2:$F$17,2,FALSE),
  O164="Amazonas",((W164*0.15)+(X164*0.7))*VLOOKUP(P164,'MunicípiosEstados'!$G$2:$H$63,2,FALSE),
  O164="Bahia",((W164*0.15)+(X164*0.7))*VLOOKUP(P164,'MunicípiosEstados'!$I$2:$J$418,2,FALSE),
  O164="Ceará",((W164*0.15)+(X164*0.7))*VLOOKUP(P164,'MunicípiosEstados'!$K$2:$L$185,2,FALSE),
  O164="Distrito Federal",((W164*0.15)+(X164*0.7))*VLOOKUP(P164,'MunicípiosEstados'!$M$2:$N$2,2,FALSE),
  O164="Espírito Santo",((W164*0.15)+(X164*0.7))*VLOOKUP(P164,'MunicípiosEstados'!$O$2:$P$79,2,FALSE),
  O164="Goiás",((W164*0.15)+(X164*0.7))*VLOOKUP(P164,'MunicípiosEstados'!$Q$2:$R$247,2,FALSE),
  O164="Maranhão",((W164*0.15)+(X164*0.7))*VLOOKUP(P164,'MunicípiosEstados'!$S$2:$T$218,2,FALSE),
  O164="Mato Grosso",((W164*0.15)+(X164*0.7))*VLOOKUP(P164,'MunicípiosEstados'!$U$2:$V$143,2,FALSE),
  O164="Mato Grosso do Sul",((W164*0.15)+(X164*0.7))*VLOOKUP(P164,'MunicípiosEstados'!$W$2:$X$80,2,FALSE),
  O164="Minas Gerais",((W164*0.15)+(X164*0.7))*VLOOKUP(P164,'MunicípiosEstados'!$Y$2:$Z$854,2,FALSE),
  O164="Pará",((W164*0.15)+(X164*0.7))*VLOOKUP(P164,'MunicípiosEstados'!$AA$2:$AB$145,2,FALSE),
  O164="Paraíba",((W164*0.15)+(X164*0.7))*VLOOKUP(P164,'MunicípiosEstados'!$AC$2:$AD$224,2,FALSE),
  O164="Paraná",((W164*0.15)+(X164*0.7))*VLOOKUP(P164,'MunicípiosEstados'!$AE$2:$AF$400,2,FALSE),
  O164="Pernambuco",((W164*0.15)+(X164*0.7))*VLOOKUP(P164,'MunicípiosEstados'!$AG$2:$AH$186,2,FALSE),
  O164="Piauí",((W164*0.15)+(X164*0.7))*VLOOKUP(P164,'MunicípiosEstados'!$AI$2:$AJ$225,2,FALSE),
  O164="Rio Grande do Norte",((W164*0.15)+(X164*0.7))*VLOOKUP(P164,'MunicípiosEstados'!$AK$2:$AL$168,2,FALSE),
  O164="Rio Grande do Sul",((W164*0.15)+(X164*0.7))*VLOOKUP(P164,'MunicípiosEstados'!$AM$2:$AN$498,2,FALSE),
  O164="Rio de Janeiro",((W164*0.15)+(X164*0.7))*VLOOKUP(P164,'MunicípiosEstados'!$AO$2:$AP$93,2,FALSE),
  O164="Rondônia",((W164*0.15)+(X164*0.7))*VLOOKUP(P164,'MunicípiosEstados'!$AQ$2:$AR$53,2,FALSE),
  O164="Roraima",((W164*0.15)+(X164*0.7))*VLOOKUP(P164,'MunicípiosEstados'!$AS$2:$AT$16,2,FALSE),
  O164="Santa Catarina",((W164*0.15)+(X164*0.7))*VLOOKUP(P164,'MunicípiosEstados'!$AU$2:$AV$296,2,FALSE),
  O164="São Paulo",((W164*0.15)+(X164*0.7))*VLOOKUP(P164,'MunicípiosEstados'!$AW$2:$AX$646,2,FALSE),
  O164="Sergipe",((W164*0.15)+(X164*0.7))*VLOOKUP(P164,'MunicípiosEstados'!$AY$2:$AZ$76,2,FALSE),
  O164="Tocantins",((W164*0.15)+(X164*0.7))*VLOOKUP(P164,'MunicípiosEstados'!$BA$2:$BB$140,2,FALSE),
  O164="Exterior",((W164*0.15)+(X164*0.7))*VLOOKUP(P164,'MunicípiosEstados'!$BC$2:$BE$221,3,FALSE),TRUE,0
)
</f>
        <v>51512.325</v>
      </c>
      <c r="AL164" s="25">
        <f t="shared" si="3"/>
        <v>63850.325</v>
      </c>
    </row>
    <row r="165" ht="22.5" hidden="1" customHeight="1">
      <c r="A165" s="15">
        <f t="shared" si="1"/>
        <v>164</v>
      </c>
      <c r="B165" s="16">
        <v>45989.56486099537</v>
      </c>
      <c r="C165" s="17" t="s">
        <v>1149</v>
      </c>
      <c r="D165" s="27" t="s">
        <v>443</v>
      </c>
      <c r="E165" s="15" t="str">
        <f>VLOOKUP(G165,DiretoriaDepart.Coord.!$A$1:$C$72,2,FALSE)</f>
        <v>Pesquisa e Inovação</v>
      </c>
      <c r="F165" s="15" t="str">
        <f>VLOOKUP(G165,DiretoriaDepart.Coord.!$A$1:$C$72,3,FALSE)</f>
        <v>Inovação e Comunicação Científica</v>
      </c>
      <c r="G165" s="17" t="s">
        <v>1150</v>
      </c>
      <c r="H165" s="15"/>
      <c r="I165" s="17" t="s">
        <v>1151</v>
      </c>
      <c r="J165" s="17" t="s">
        <v>728</v>
      </c>
      <c r="K165" s="17">
        <v>4.0</v>
      </c>
      <c r="L165" s="15"/>
      <c r="M165" s="17" t="s">
        <v>720</v>
      </c>
      <c r="N165" s="17">
        <v>0.0</v>
      </c>
      <c r="O165" s="17" t="s">
        <v>714</v>
      </c>
      <c r="P165" s="17" t="s">
        <v>262</v>
      </c>
      <c r="Q165" s="20">
        <v>45746.333333333336</v>
      </c>
      <c r="R165" s="20">
        <v>45746.708333333336</v>
      </c>
      <c r="S165" s="17" t="s">
        <v>451</v>
      </c>
      <c r="T165" s="17" t="s">
        <v>452</v>
      </c>
      <c r="U165" s="21" t="s">
        <v>1152</v>
      </c>
      <c r="V165" s="21" t="s">
        <v>1153</v>
      </c>
      <c r="W165" s="22">
        <v>0.0</v>
      </c>
      <c r="X165" s="22">
        <v>0.0</v>
      </c>
      <c r="Y165" s="23">
        <v>0.0</v>
      </c>
      <c r="Z165" s="23">
        <v>0.0</v>
      </c>
      <c r="AA165" s="24">
        <v>0.0</v>
      </c>
      <c r="AB165" s="24">
        <v>0.0</v>
      </c>
      <c r="AC165" s="24">
        <v>0.0</v>
      </c>
      <c r="AD165" s="23">
        <v>0.0</v>
      </c>
      <c r="AE165" s="24">
        <v>0.0</v>
      </c>
      <c r="AF165" s="17" t="s">
        <v>451</v>
      </c>
      <c r="AG165" s="17">
        <v>0.0</v>
      </c>
      <c r="AH165" s="17" t="s">
        <v>451</v>
      </c>
      <c r="AI165" s="25">
        <f>IF(AF165="Sim",INT((R165-Q165+1))*K165*VLOOKUP(P165,'Tabelas Auxiliares'!$A$1:$C$400,3,FALSE),0)</f>
        <v>0</v>
      </c>
      <c r="AJ165" s="25">
        <f t="shared" si="2"/>
        <v>0</v>
      </c>
      <c r="AK165" s="25">
        <f>IFS(
  O165="Acre",((W165*0.15)+(X165*0.7))*VLOOKUP(P165,'MunicípiosEstados'!$A$2:$B$23,2,FALSE),
  O165="Alagoas",((W165*0.15)+(X165*0.7))*VLOOKUP(P165,'MunicípiosEstados'!$C$2:$D$103,2,FALSE),
  O165="Amapá",((W165*0.15)+(X165*0.7))*VLOOKUP(P165,'MunicípiosEstados'!$E$2:$F$17,2,FALSE),
  O165="Amazonas",((W165*0.15)+(X165*0.7))*VLOOKUP(P165,'MunicípiosEstados'!$G$2:$H$63,2,FALSE),
  O165="Bahia",((W165*0.15)+(X165*0.7))*VLOOKUP(P165,'MunicípiosEstados'!$I$2:$J$418,2,FALSE),
  O165="Ceará",((W165*0.15)+(X165*0.7))*VLOOKUP(P165,'MunicípiosEstados'!$K$2:$L$185,2,FALSE),
  O165="Distrito Federal",((W165*0.15)+(X165*0.7))*VLOOKUP(P165,'MunicípiosEstados'!$M$2:$N$2,2,FALSE),
  O165="Espírito Santo",((W165*0.15)+(X165*0.7))*VLOOKUP(P165,'MunicípiosEstados'!$O$2:$P$79,2,FALSE),
  O165="Goiás",((W165*0.15)+(X165*0.7))*VLOOKUP(P165,'MunicípiosEstados'!$Q$2:$R$247,2,FALSE),
  O165="Maranhão",((W165*0.15)+(X165*0.7))*VLOOKUP(P165,'MunicípiosEstados'!$S$2:$T$218,2,FALSE),
  O165="Mato Grosso",((W165*0.15)+(X165*0.7))*VLOOKUP(P165,'MunicípiosEstados'!$U$2:$V$143,2,FALSE),
  O165="Mato Grosso do Sul",((W165*0.15)+(X165*0.7))*VLOOKUP(P165,'MunicípiosEstados'!$W$2:$X$80,2,FALSE),
  O165="Minas Gerais",((W165*0.15)+(X165*0.7))*VLOOKUP(P165,'MunicípiosEstados'!$Y$2:$Z$854,2,FALSE),
  O165="Pará",((W165*0.15)+(X165*0.7))*VLOOKUP(P165,'MunicípiosEstados'!$AA$2:$AB$145,2,FALSE),
  O165="Paraíba",((W165*0.15)+(X165*0.7))*VLOOKUP(P165,'MunicípiosEstados'!$AC$2:$AD$224,2,FALSE),
  O165="Paraná",((W165*0.15)+(X165*0.7))*VLOOKUP(P165,'MunicípiosEstados'!$AE$2:$AF$400,2,FALSE),
  O165="Pernambuco",((W165*0.15)+(X165*0.7))*VLOOKUP(P165,'MunicípiosEstados'!$AG$2:$AH$186,2,FALSE),
  O165="Piauí",((W165*0.15)+(X165*0.7))*VLOOKUP(P165,'MunicípiosEstados'!$AI$2:$AJ$225,2,FALSE),
  O165="Rio Grande do Norte",((W165*0.15)+(X165*0.7))*VLOOKUP(P165,'MunicípiosEstados'!$AK$2:$AL$168,2,FALSE),
  O165="Rio Grande do Sul",((W165*0.15)+(X165*0.7))*VLOOKUP(P165,'MunicípiosEstados'!$AM$2:$AN$498,2,FALSE),
  O165="Rio de Janeiro",((W165*0.15)+(X165*0.7))*VLOOKUP(P165,'MunicípiosEstados'!$AO$2:$AP$93,2,FALSE),
  O165="Rondônia",((W165*0.15)+(X165*0.7))*VLOOKUP(P165,'MunicípiosEstados'!$AQ$2:$AR$53,2,FALSE),
  O165="Roraima",((W165*0.15)+(X165*0.7))*VLOOKUP(P165,'MunicípiosEstados'!$AS$2:$AT$16,2,FALSE),
  O165="Santa Catarina",((W165*0.15)+(X165*0.7))*VLOOKUP(P165,'MunicípiosEstados'!$AU$2:$AV$296,2,FALSE),
  O165="São Paulo",((W165*0.15)+(X165*0.7))*VLOOKUP(P165,'MunicípiosEstados'!$AW$2:$AX$646,2,FALSE),
  O165="Sergipe",((W165*0.15)+(X165*0.7))*VLOOKUP(P165,'MunicípiosEstados'!$AY$2:$AZ$76,2,FALSE),
  O165="Tocantins",((W165*0.15)+(X165*0.7))*VLOOKUP(P165,'MunicípiosEstados'!$BA$2:$BB$140,2,FALSE),
  O165="Exterior",((W165*0.15)+(X165*0.7))*VLOOKUP(P165,'MunicípiosEstados'!$BC$2:$BE$221,3,FALSE),TRUE,0
)
</f>
        <v>0</v>
      </c>
      <c r="AL165" s="25">
        <f t="shared" si="3"/>
        <v>0</v>
      </c>
      <c r="AN165" s="35"/>
    </row>
    <row r="166" ht="22.5" customHeight="1">
      <c r="A166" s="15">
        <f t="shared" si="1"/>
        <v>165</v>
      </c>
      <c r="B166" s="16">
        <v>45989.578160879624</v>
      </c>
      <c r="C166" s="17" t="s">
        <v>696</v>
      </c>
      <c r="D166" s="27" t="s">
        <v>443</v>
      </c>
      <c r="E166" s="15" t="str">
        <f>VLOOKUP(G166,DiretoriaDepart.Coord.!$A$1:$C$72,2,FALSE)</f>
        <v>Extensão Rural</v>
      </c>
      <c r="F166" s="15" t="str">
        <f>VLOOKUP(G166,DiretoriaDepart.Coord.!$A$1:$C$72,3,FALSE)</f>
        <v>Projetos e Cadeias Produtivas</v>
      </c>
      <c r="G166" s="17" t="s">
        <v>697</v>
      </c>
      <c r="H166" s="15"/>
      <c r="I166" s="17" t="s">
        <v>1154</v>
      </c>
      <c r="J166" s="17" t="s">
        <v>728</v>
      </c>
      <c r="K166" s="17">
        <v>30.0</v>
      </c>
      <c r="L166" s="15"/>
      <c r="M166" s="17" t="s">
        <v>1155</v>
      </c>
      <c r="N166" s="17">
        <v>10.0</v>
      </c>
      <c r="O166" s="17" t="s">
        <v>714</v>
      </c>
      <c r="P166" s="17" t="s">
        <v>198</v>
      </c>
      <c r="Q166" s="20">
        <v>45964.354166666664</v>
      </c>
      <c r="R166" s="20">
        <v>45966.708333333336</v>
      </c>
      <c r="S166" s="17" t="s">
        <v>451</v>
      </c>
      <c r="T166" s="17" t="s">
        <v>452</v>
      </c>
      <c r="U166" s="21" t="s">
        <v>1156</v>
      </c>
      <c r="V166" s="21" t="s">
        <v>1157</v>
      </c>
      <c r="W166" s="22">
        <v>180.0</v>
      </c>
      <c r="X166" s="22">
        <v>90.0</v>
      </c>
      <c r="Y166" s="23">
        <v>0.0</v>
      </c>
      <c r="Z166" s="23">
        <v>0.0</v>
      </c>
      <c r="AA166" s="24">
        <v>0.0</v>
      </c>
      <c r="AB166" s="24">
        <v>0.0</v>
      </c>
      <c r="AC166" s="24">
        <v>0.0</v>
      </c>
      <c r="AD166" s="23">
        <v>0.0</v>
      </c>
      <c r="AE166" s="24">
        <v>0.0</v>
      </c>
      <c r="AF166" s="17" t="s">
        <v>464</v>
      </c>
      <c r="AG166" s="17">
        <v>6000.0</v>
      </c>
      <c r="AH166" s="17" t="s">
        <v>464</v>
      </c>
      <c r="AI166" s="25">
        <f>IF(AF166="Sim",INT((R166-Q166+1))*K166*VLOOKUP(P166,'Tabelas Auxiliares'!$A$1:$C$400,3,FALSE),0)</f>
        <v>2037.6</v>
      </c>
      <c r="AJ166" s="25">
        <f t="shared" si="2"/>
        <v>4200</v>
      </c>
      <c r="AK166" s="25">
        <f>IFS(
  O166="Acre",((W166*0.15)+(X166*0.7))*VLOOKUP(P166,'MunicípiosEstados'!$A$2:$B$23,2,FALSE),
  O166="Alagoas",((W166*0.15)+(X166*0.7))*VLOOKUP(P166,'MunicípiosEstados'!$C$2:$D$103,2,FALSE),
  O166="Amapá",((W166*0.15)+(X166*0.7))*VLOOKUP(P166,'MunicípiosEstados'!$E$2:$F$17,2,FALSE),
  O166="Amazonas",((W166*0.15)+(X166*0.7))*VLOOKUP(P166,'MunicípiosEstados'!$G$2:$H$63,2,FALSE),
  O166="Bahia",((W166*0.15)+(X166*0.7))*VLOOKUP(P166,'MunicípiosEstados'!$I$2:$J$418,2,FALSE),
  O166="Ceará",((W166*0.15)+(X166*0.7))*VLOOKUP(P166,'MunicípiosEstados'!$K$2:$L$185,2,FALSE),
  O166="Distrito Federal",((W166*0.15)+(X166*0.7))*VLOOKUP(P166,'MunicípiosEstados'!$M$2:$N$2,2,FALSE),
  O166="Espírito Santo",((W166*0.15)+(X166*0.7))*VLOOKUP(P166,'MunicípiosEstados'!$O$2:$P$79,2,FALSE),
  O166="Goiás",((W166*0.15)+(X166*0.7))*VLOOKUP(P166,'MunicípiosEstados'!$Q$2:$R$247,2,FALSE),
  O166="Maranhão",((W166*0.15)+(X166*0.7))*VLOOKUP(P166,'MunicípiosEstados'!$S$2:$T$218,2,FALSE),
  O166="Mato Grosso",((W166*0.15)+(X166*0.7))*VLOOKUP(P166,'MunicípiosEstados'!$U$2:$V$143,2,FALSE),
  O166="Mato Grosso do Sul",((W166*0.15)+(X166*0.7))*VLOOKUP(P166,'MunicípiosEstados'!$W$2:$X$80,2,FALSE),
  O166="Minas Gerais",((W166*0.15)+(X166*0.7))*VLOOKUP(P166,'MunicípiosEstados'!$Y$2:$Z$854,2,FALSE),
  O166="Pará",((W166*0.15)+(X166*0.7))*VLOOKUP(P166,'MunicípiosEstados'!$AA$2:$AB$145,2,FALSE),
  O166="Paraíba",((W166*0.15)+(X166*0.7))*VLOOKUP(P166,'MunicípiosEstados'!$AC$2:$AD$224,2,FALSE),
  O166="Paraná",((W166*0.15)+(X166*0.7))*VLOOKUP(P166,'MunicípiosEstados'!$AE$2:$AF$400,2,FALSE),
  O166="Pernambuco",((W166*0.15)+(X166*0.7))*VLOOKUP(P166,'MunicípiosEstados'!$AG$2:$AH$186,2,FALSE),
  O166="Piauí",((W166*0.15)+(X166*0.7))*VLOOKUP(P166,'MunicípiosEstados'!$AI$2:$AJ$225,2,FALSE),
  O166="Rio Grande do Norte",((W166*0.15)+(X166*0.7))*VLOOKUP(P166,'MunicípiosEstados'!$AK$2:$AL$168,2,FALSE),
  O166="Rio Grande do Sul",((W166*0.15)+(X166*0.7))*VLOOKUP(P166,'MunicípiosEstados'!$AM$2:$AN$498,2,FALSE),
  O166="Rio de Janeiro",((W166*0.15)+(X166*0.7))*VLOOKUP(P166,'MunicípiosEstados'!$AO$2:$AP$93,2,FALSE),
  O166="Rondônia",((W166*0.15)+(X166*0.7))*VLOOKUP(P166,'MunicípiosEstados'!$AQ$2:$AR$53,2,FALSE),
  O166="Roraima",((W166*0.15)+(X166*0.7))*VLOOKUP(P166,'MunicípiosEstados'!$AS$2:$AT$16,2,FALSE),
  O166="Santa Catarina",((W166*0.15)+(X166*0.7))*VLOOKUP(P166,'MunicípiosEstados'!$AU$2:$AV$296,2,FALSE),
  O166="São Paulo",((W166*0.15)+(X166*0.7))*VLOOKUP(P166,'MunicípiosEstados'!$AW$2:$AX$646,2,FALSE),
  O166="Sergipe",((W166*0.15)+(X166*0.7))*VLOOKUP(P166,'MunicípiosEstados'!$AY$2:$AZ$76,2,FALSE),
  O166="Tocantins",((W166*0.15)+(X166*0.7))*VLOOKUP(P166,'MunicípiosEstados'!$BA$2:$BB$140,2,FALSE),
  O166="Exterior",((W166*0.15)+(X166*0.7))*VLOOKUP(P166,'MunicípiosEstados'!$BC$2:$BE$221,3,FALSE),TRUE,0
)
</f>
        <v>26149.5</v>
      </c>
      <c r="AL166" s="25">
        <f t="shared" si="3"/>
        <v>32387.1</v>
      </c>
    </row>
    <row r="167" ht="22.5" hidden="1" customHeight="1">
      <c r="A167" s="15">
        <f t="shared" si="1"/>
        <v>166</v>
      </c>
      <c r="B167" s="16">
        <v>45989.58372359954</v>
      </c>
      <c r="C167" s="17" t="s">
        <v>1149</v>
      </c>
      <c r="D167" s="27" t="s">
        <v>443</v>
      </c>
      <c r="E167" s="15" t="str">
        <f>VLOOKUP(G167,DiretoriaDepart.Coord.!$A$1:$C$72,2,FALSE)</f>
        <v>Pesquisa e Inovação</v>
      </c>
      <c r="F167" s="15" t="str">
        <f>VLOOKUP(G167,DiretoriaDepart.Coord.!$A$1:$C$72,3,FALSE)</f>
        <v>Inovação e Comunicação Científica</v>
      </c>
      <c r="G167" s="17" t="s">
        <v>1150</v>
      </c>
      <c r="H167" s="15"/>
      <c r="I167" s="17" t="s">
        <v>1158</v>
      </c>
      <c r="J167" s="17" t="s">
        <v>728</v>
      </c>
      <c r="K167" s="17">
        <v>4.0</v>
      </c>
      <c r="L167" s="15"/>
      <c r="M167" s="17" t="s">
        <v>720</v>
      </c>
      <c r="N167" s="17">
        <v>0.0</v>
      </c>
      <c r="O167" s="17" t="s">
        <v>714</v>
      </c>
      <c r="P167" s="17" t="s">
        <v>262</v>
      </c>
      <c r="Q167" s="20">
        <v>45754.333333333336</v>
      </c>
      <c r="R167" s="20">
        <v>45754.708333333336</v>
      </c>
      <c r="S167" s="17" t="s">
        <v>451</v>
      </c>
      <c r="T167" s="17" t="s">
        <v>452</v>
      </c>
      <c r="U167" s="21" t="s">
        <v>1159</v>
      </c>
      <c r="V167" s="21" t="s">
        <v>1160</v>
      </c>
      <c r="W167" s="22">
        <v>0.0</v>
      </c>
      <c r="X167" s="22">
        <v>0.0</v>
      </c>
      <c r="Y167" s="23">
        <v>0.0</v>
      </c>
      <c r="Z167" s="23">
        <v>0.0</v>
      </c>
      <c r="AA167" s="24">
        <v>0.0</v>
      </c>
      <c r="AB167" s="24">
        <v>0.0</v>
      </c>
      <c r="AC167" s="24">
        <v>0.0</v>
      </c>
      <c r="AD167" s="23">
        <v>0.0</v>
      </c>
      <c r="AE167" s="24">
        <v>0.0</v>
      </c>
      <c r="AF167" s="17" t="s">
        <v>451</v>
      </c>
      <c r="AG167" s="17">
        <v>0.0</v>
      </c>
      <c r="AH167" s="17" t="s">
        <v>451</v>
      </c>
      <c r="AI167" s="25">
        <f>IF(AF167="Sim",INT((R167-Q167+1))*K167*VLOOKUP(P167,'Tabelas Auxiliares'!$A$1:$C$400,3,FALSE),0)</f>
        <v>0</v>
      </c>
      <c r="AJ167" s="25">
        <f t="shared" si="2"/>
        <v>0</v>
      </c>
      <c r="AK167" s="25">
        <f>IFS(
  O167="Acre",((W167*0.15)+(X167*0.7))*VLOOKUP(P167,'MunicípiosEstados'!$A$2:$B$23,2,FALSE),
  O167="Alagoas",((W167*0.15)+(X167*0.7))*VLOOKUP(P167,'MunicípiosEstados'!$C$2:$D$103,2,FALSE),
  O167="Amapá",((W167*0.15)+(X167*0.7))*VLOOKUP(P167,'MunicípiosEstados'!$E$2:$F$17,2,FALSE),
  O167="Amazonas",((W167*0.15)+(X167*0.7))*VLOOKUP(P167,'MunicípiosEstados'!$G$2:$H$63,2,FALSE),
  O167="Bahia",((W167*0.15)+(X167*0.7))*VLOOKUP(P167,'MunicípiosEstados'!$I$2:$J$418,2,FALSE),
  O167="Ceará",((W167*0.15)+(X167*0.7))*VLOOKUP(P167,'MunicípiosEstados'!$K$2:$L$185,2,FALSE),
  O167="Distrito Federal",((W167*0.15)+(X167*0.7))*VLOOKUP(P167,'MunicípiosEstados'!$M$2:$N$2,2,FALSE),
  O167="Espírito Santo",((W167*0.15)+(X167*0.7))*VLOOKUP(P167,'MunicípiosEstados'!$O$2:$P$79,2,FALSE),
  O167="Goiás",((W167*0.15)+(X167*0.7))*VLOOKUP(P167,'MunicípiosEstados'!$Q$2:$R$247,2,FALSE),
  O167="Maranhão",((W167*0.15)+(X167*0.7))*VLOOKUP(P167,'MunicípiosEstados'!$S$2:$T$218,2,FALSE),
  O167="Mato Grosso",((W167*0.15)+(X167*0.7))*VLOOKUP(P167,'MunicípiosEstados'!$U$2:$V$143,2,FALSE),
  O167="Mato Grosso do Sul",((W167*0.15)+(X167*0.7))*VLOOKUP(P167,'MunicípiosEstados'!$W$2:$X$80,2,FALSE),
  O167="Minas Gerais",((W167*0.15)+(X167*0.7))*VLOOKUP(P167,'MunicípiosEstados'!$Y$2:$Z$854,2,FALSE),
  O167="Pará",((W167*0.15)+(X167*0.7))*VLOOKUP(P167,'MunicípiosEstados'!$AA$2:$AB$145,2,FALSE),
  O167="Paraíba",((W167*0.15)+(X167*0.7))*VLOOKUP(P167,'MunicípiosEstados'!$AC$2:$AD$224,2,FALSE),
  O167="Paraná",((W167*0.15)+(X167*0.7))*VLOOKUP(P167,'MunicípiosEstados'!$AE$2:$AF$400,2,FALSE),
  O167="Pernambuco",((W167*0.15)+(X167*0.7))*VLOOKUP(P167,'MunicípiosEstados'!$AG$2:$AH$186,2,FALSE),
  O167="Piauí",((W167*0.15)+(X167*0.7))*VLOOKUP(P167,'MunicípiosEstados'!$AI$2:$AJ$225,2,FALSE),
  O167="Rio Grande do Norte",((W167*0.15)+(X167*0.7))*VLOOKUP(P167,'MunicípiosEstados'!$AK$2:$AL$168,2,FALSE),
  O167="Rio Grande do Sul",((W167*0.15)+(X167*0.7))*VLOOKUP(P167,'MunicípiosEstados'!$AM$2:$AN$498,2,FALSE),
  O167="Rio de Janeiro",((W167*0.15)+(X167*0.7))*VLOOKUP(P167,'MunicípiosEstados'!$AO$2:$AP$93,2,FALSE),
  O167="Rondônia",((W167*0.15)+(X167*0.7))*VLOOKUP(P167,'MunicípiosEstados'!$AQ$2:$AR$53,2,FALSE),
  O167="Roraima",((W167*0.15)+(X167*0.7))*VLOOKUP(P167,'MunicípiosEstados'!$AS$2:$AT$16,2,FALSE),
  O167="Santa Catarina",((W167*0.15)+(X167*0.7))*VLOOKUP(P167,'MunicípiosEstados'!$AU$2:$AV$296,2,FALSE),
  O167="São Paulo",((W167*0.15)+(X167*0.7))*VLOOKUP(P167,'MunicípiosEstados'!$AW$2:$AX$646,2,FALSE),
  O167="Sergipe",((W167*0.15)+(X167*0.7))*VLOOKUP(P167,'MunicípiosEstados'!$AY$2:$AZ$76,2,FALSE),
  O167="Tocantins",((W167*0.15)+(X167*0.7))*VLOOKUP(P167,'MunicípiosEstados'!$BA$2:$BB$140,2,FALSE),
  O167="Exterior",((W167*0.15)+(X167*0.7))*VLOOKUP(P167,'MunicípiosEstados'!$BC$2:$BE$221,3,FALSE),TRUE,0
)
</f>
        <v>0</v>
      </c>
      <c r="AL167" s="25">
        <f t="shared" si="3"/>
        <v>0</v>
      </c>
      <c r="AN167" s="35"/>
    </row>
    <row r="168" ht="22.5" customHeight="1">
      <c r="A168" s="15">
        <f t="shared" si="1"/>
        <v>167</v>
      </c>
      <c r="B168" s="16">
        <v>45989.5986481713</v>
      </c>
      <c r="C168" s="17" t="s">
        <v>696</v>
      </c>
      <c r="D168" s="27" t="s">
        <v>443</v>
      </c>
      <c r="E168" s="15" t="str">
        <f>VLOOKUP(G168,DiretoriaDepart.Coord.!$A$1:$C$72,2,FALSE)</f>
        <v>Extensão Rural</v>
      </c>
      <c r="F168" s="15" t="str">
        <f>VLOOKUP(G168,DiretoriaDepart.Coord.!$A$1:$C$72,3,FALSE)</f>
        <v>Projetos e Cadeias Produtivas</v>
      </c>
      <c r="G168" s="17" t="s">
        <v>697</v>
      </c>
      <c r="H168" s="15"/>
      <c r="I168" s="17" t="s">
        <v>1161</v>
      </c>
      <c r="J168" s="17" t="s">
        <v>728</v>
      </c>
      <c r="K168" s="17">
        <v>30.0</v>
      </c>
      <c r="L168" s="15"/>
      <c r="M168" s="17" t="s">
        <v>1162</v>
      </c>
      <c r="N168" s="17">
        <v>10.0</v>
      </c>
      <c r="O168" s="17" t="s">
        <v>714</v>
      </c>
      <c r="P168" s="17" t="s">
        <v>58</v>
      </c>
      <c r="Q168" s="20">
        <v>45810.354166666664</v>
      </c>
      <c r="R168" s="20">
        <v>45812.708333333336</v>
      </c>
      <c r="S168" s="17" t="s">
        <v>464</v>
      </c>
      <c r="T168" s="17" t="s">
        <v>452</v>
      </c>
      <c r="U168" s="21" t="s">
        <v>1163</v>
      </c>
      <c r="V168" s="21" t="s">
        <v>1164</v>
      </c>
      <c r="W168" s="22">
        <v>120.0</v>
      </c>
      <c r="X168" s="22">
        <v>90.0</v>
      </c>
      <c r="Y168" s="23">
        <v>0.0</v>
      </c>
      <c r="Z168" s="23">
        <v>0.0</v>
      </c>
      <c r="AA168" s="24">
        <v>0.0</v>
      </c>
      <c r="AB168" s="24">
        <v>0.0</v>
      </c>
      <c r="AC168" s="24">
        <v>0.0</v>
      </c>
      <c r="AD168" s="23">
        <v>0.0</v>
      </c>
      <c r="AE168" s="24">
        <v>0.0</v>
      </c>
      <c r="AF168" s="17" t="s">
        <v>464</v>
      </c>
      <c r="AG168" s="17">
        <v>6000.0</v>
      </c>
      <c r="AH168" s="17" t="s">
        <v>464</v>
      </c>
      <c r="AI168" s="25">
        <f>IF(AF168="Sim",INT((R168-Q168+1))*K168*VLOOKUP(P168,'Tabelas Auxiliares'!$A$1:$C$400,3,FALSE),0)</f>
        <v>2037.6</v>
      </c>
      <c r="AJ168" s="25">
        <f t="shared" si="2"/>
        <v>4200</v>
      </c>
      <c r="AK168" s="25">
        <f>IFS(
  O168="Acre",((W168*0.15)+(X168*0.7))*VLOOKUP(P168,'MunicípiosEstados'!$A$2:$B$23,2,FALSE),
  O168="Alagoas",((W168*0.15)+(X168*0.7))*VLOOKUP(P168,'MunicípiosEstados'!$C$2:$D$103,2,FALSE),
  O168="Amapá",((W168*0.15)+(X168*0.7))*VLOOKUP(P168,'MunicípiosEstados'!$E$2:$F$17,2,FALSE),
  O168="Amazonas",((W168*0.15)+(X168*0.7))*VLOOKUP(P168,'MunicípiosEstados'!$G$2:$H$63,2,FALSE),
  O168="Bahia",((W168*0.15)+(X168*0.7))*VLOOKUP(P168,'MunicípiosEstados'!$I$2:$J$418,2,FALSE),
  O168="Ceará",((W168*0.15)+(X168*0.7))*VLOOKUP(P168,'MunicípiosEstados'!$K$2:$L$185,2,FALSE),
  O168="Distrito Federal",((W168*0.15)+(X168*0.7))*VLOOKUP(P168,'MunicípiosEstados'!$M$2:$N$2,2,FALSE),
  O168="Espírito Santo",((W168*0.15)+(X168*0.7))*VLOOKUP(P168,'MunicípiosEstados'!$O$2:$P$79,2,FALSE),
  O168="Goiás",((W168*0.15)+(X168*0.7))*VLOOKUP(P168,'MunicípiosEstados'!$Q$2:$R$247,2,FALSE),
  O168="Maranhão",((W168*0.15)+(X168*0.7))*VLOOKUP(P168,'MunicípiosEstados'!$S$2:$T$218,2,FALSE),
  O168="Mato Grosso",((W168*0.15)+(X168*0.7))*VLOOKUP(P168,'MunicípiosEstados'!$U$2:$V$143,2,FALSE),
  O168="Mato Grosso do Sul",((W168*0.15)+(X168*0.7))*VLOOKUP(P168,'MunicípiosEstados'!$W$2:$X$80,2,FALSE),
  O168="Minas Gerais",((W168*0.15)+(X168*0.7))*VLOOKUP(P168,'MunicípiosEstados'!$Y$2:$Z$854,2,FALSE),
  O168="Pará",((W168*0.15)+(X168*0.7))*VLOOKUP(P168,'MunicípiosEstados'!$AA$2:$AB$145,2,FALSE),
  O168="Paraíba",((W168*0.15)+(X168*0.7))*VLOOKUP(P168,'MunicípiosEstados'!$AC$2:$AD$224,2,FALSE),
  O168="Paraná",((W168*0.15)+(X168*0.7))*VLOOKUP(P168,'MunicípiosEstados'!$AE$2:$AF$400,2,FALSE),
  O168="Pernambuco",((W168*0.15)+(X168*0.7))*VLOOKUP(P168,'MunicípiosEstados'!$AG$2:$AH$186,2,FALSE),
  O168="Piauí",((W168*0.15)+(X168*0.7))*VLOOKUP(P168,'MunicípiosEstados'!$AI$2:$AJ$225,2,FALSE),
  O168="Rio Grande do Norte",((W168*0.15)+(X168*0.7))*VLOOKUP(P168,'MunicípiosEstados'!$AK$2:$AL$168,2,FALSE),
  O168="Rio Grande do Sul",((W168*0.15)+(X168*0.7))*VLOOKUP(P168,'MunicípiosEstados'!$AM$2:$AN$498,2,FALSE),
  O168="Rio de Janeiro",((W168*0.15)+(X168*0.7))*VLOOKUP(P168,'MunicípiosEstados'!$AO$2:$AP$93,2,FALSE),
  O168="Rondônia",((W168*0.15)+(X168*0.7))*VLOOKUP(P168,'MunicípiosEstados'!$AQ$2:$AR$53,2,FALSE),
  O168="Roraima",((W168*0.15)+(X168*0.7))*VLOOKUP(P168,'MunicípiosEstados'!$AS$2:$AT$16,2,FALSE),
  O168="Santa Catarina",((W168*0.15)+(X168*0.7))*VLOOKUP(P168,'MunicípiosEstados'!$AU$2:$AV$296,2,FALSE),
  O168="São Paulo",((W168*0.15)+(X168*0.7))*VLOOKUP(P168,'MunicípiosEstados'!$AW$2:$AX$646,2,FALSE),
  O168="Sergipe",((W168*0.15)+(X168*0.7))*VLOOKUP(P168,'MunicípiosEstados'!$AY$2:$AZ$76,2,FALSE),
  O168="Tocantins",((W168*0.15)+(X168*0.7))*VLOOKUP(P168,'MunicípiosEstados'!$BA$2:$BB$140,2,FALSE),
  O168="Exterior",((W168*0.15)+(X168*0.7))*VLOOKUP(P168,'MunicípiosEstados'!$BC$2:$BE$221,3,FALSE),TRUE,0
)
</f>
        <v>23534.55</v>
      </c>
      <c r="AL168" s="25">
        <f t="shared" si="3"/>
        <v>29772.15</v>
      </c>
    </row>
    <row r="169" ht="22.5" hidden="1" customHeight="1">
      <c r="A169" s="15">
        <f t="shared" si="1"/>
        <v>168</v>
      </c>
      <c r="B169" s="16">
        <v>45989.60331322916</v>
      </c>
      <c r="C169" s="17" t="s">
        <v>1165</v>
      </c>
      <c r="D169" s="27" t="s">
        <v>443</v>
      </c>
      <c r="E169" s="15" t="str">
        <f>VLOOKUP(G169,DiretoriaDepart.Coord.!$A$1:$C$72,2,FALSE)</f>
        <v>Extensão Rural</v>
      </c>
      <c r="F169" s="15" t="str">
        <f>VLOOKUP(G169,DiretoriaDepart.Coord.!$A$1:$C$72,3,FALSE)</f>
        <v>Sustentabilidade</v>
      </c>
      <c r="G169" s="17" t="s">
        <v>1166</v>
      </c>
      <c r="H169" s="15"/>
      <c r="I169" s="17" t="s">
        <v>1167</v>
      </c>
      <c r="J169" s="17" t="s">
        <v>728</v>
      </c>
      <c r="K169" s="17">
        <v>25.0</v>
      </c>
      <c r="L169" s="15"/>
      <c r="M169" s="17" t="s">
        <v>1168</v>
      </c>
      <c r="N169" s="17">
        <v>10.0</v>
      </c>
      <c r="O169" s="17" t="s">
        <v>714</v>
      </c>
      <c r="P169" s="17" t="s">
        <v>6</v>
      </c>
      <c r="Q169" s="20">
        <v>45789.333333333336</v>
      </c>
      <c r="R169" s="20">
        <v>45791.708333333336</v>
      </c>
      <c r="S169" s="17" t="s">
        <v>451</v>
      </c>
      <c r="T169" s="17" t="s">
        <v>452</v>
      </c>
      <c r="U169" s="21" t="s">
        <v>1169</v>
      </c>
      <c r="V169" s="21" t="s">
        <v>1170</v>
      </c>
      <c r="W169" s="22">
        <v>250.0</v>
      </c>
      <c r="X169" s="22">
        <v>100.0</v>
      </c>
      <c r="Y169" s="23">
        <v>0.0</v>
      </c>
      <c r="Z169" s="23">
        <v>500.0</v>
      </c>
      <c r="AA169" s="24">
        <v>0.0</v>
      </c>
      <c r="AB169" s="24">
        <v>0.0</v>
      </c>
      <c r="AC169" s="24">
        <v>0.0</v>
      </c>
      <c r="AD169" s="23">
        <v>0.0</v>
      </c>
      <c r="AE169" s="24">
        <v>0.0</v>
      </c>
      <c r="AF169" s="17" t="s">
        <v>464</v>
      </c>
      <c r="AG169" s="32">
        <v>2700.0</v>
      </c>
      <c r="AH169" s="17" t="s">
        <v>451</v>
      </c>
      <c r="AI169" s="25">
        <f>IF(AF169="Sim",INT((R169-Q169+1))*K169*VLOOKUP(P169,'Tabelas Auxiliares'!$A$1:$C$400,3,FALSE),0)</f>
        <v>1698</v>
      </c>
      <c r="AJ169" s="25">
        <f t="shared" si="2"/>
        <v>1890</v>
      </c>
      <c r="AK169" s="25">
        <f>IFS(
  O169="Acre",((W169*0.15)+(X169*0.7))*VLOOKUP(P169,'MunicípiosEstados'!$A$2:$B$23,2,FALSE),
  O169="Alagoas",((W169*0.15)+(X169*0.7))*VLOOKUP(P169,'MunicípiosEstados'!$C$2:$D$103,2,FALSE),
  O169="Amapá",((W169*0.15)+(X169*0.7))*VLOOKUP(P169,'MunicípiosEstados'!$E$2:$F$17,2,FALSE),
  O169="Amazonas",((W169*0.15)+(X169*0.7))*VLOOKUP(P169,'MunicípiosEstados'!$G$2:$H$63,2,FALSE),
  O169="Bahia",((W169*0.15)+(X169*0.7))*VLOOKUP(P169,'MunicípiosEstados'!$I$2:$J$418,2,FALSE),
  O169="Ceará",((W169*0.15)+(X169*0.7))*VLOOKUP(P169,'MunicípiosEstados'!$K$2:$L$185,2,FALSE),
  O169="Distrito Federal",((W169*0.15)+(X169*0.7))*VLOOKUP(P169,'MunicípiosEstados'!$M$2:$N$2,2,FALSE),
  O169="Espírito Santo",((W169*0.15)+(X169*0.7))*VLOOKUP(P169,'MunicípiosEstados'!$O$2:$P$79,2,FALSE),
  O169="Goiás",((W169*0.15)+(X169*0.7))*VLOOKUP(P169,'MunicípiosEstados'!$Q$2:$R$247,2,FALSE),
  O169="Maranhão",((W169*0.15)+(X169*0.7))*VLOOKUP(P169,'MunicípiosEstados'!$S$2:$T$218,2,FALSE),
  O169="Mato Grosso",((W169*0.15)+(X169*0.7))*VLOOKUP(P169,'MunicípiosEstados'!$U$2:$V$143,2,FALSE),
  O169="Mato Grosso do Sul",((W169*0.15)+(X169*0.7))*VLOOKUP(P169,'MunicípiosEstados'!$W$2:$X$80,2,FALSE),
  O169="Minas Gerais",((W169*0.15)+(X169*0.7))*VLOOKUP(P169,'MunicípiosEstados'!$Y$2:$Z$854,2,FALSE),
  O169="Pará",((W169*0.15)+(X169*0.7))*VLOOKUP(P169,'MunicípiosEstados'!$AA$2:$AB$145,2,FALSE),
  O169="Paraíba",((W169*0.15)+(X169*0.7))*VLOOKUP(P169,'MunicípiosEstados'!$AC$2:$AD$224,2,FALSE),
  O169="Paraná",((W169*0.15)+(X169*0.7))*VLOOKUP(P169,'MunicípiosEstados'!$AE$2:$AF$400,2,FALSE),
  O169="Pernambuco",((W169*0.15)+(X169*0.7))*VLOOKUP(P169,'MunicípiosEstados'!$AG$2:$AH$186,2,FALSE),
  O169="Piauí",((W169*0.15)+(X169*0.7))*VLOOKUP(P169,'MunicípiosEstados'!$AI$2:$AJ$225,2,FALSE),
  O169="Rio Grande do Norte",((W169*0.15)+(X169*0.7))*VLOOKUP(P169,'MunicípiosEstados'!$AK$2:$AL$168,2,FALSE),
  O169="Rio Grande do Sul",((W169*0.15)+(X169*0.7))*VLOOKUP(P169,'MunicípiosEstados'!$AM$2:$AN$498,2,FALSE),
  O169="Rio de Janeiro",((W169*0.15)+(X169*0.7))*VLOOKUP(P169,'MunicípiosEstados'!$AO$2:$AP$93,2,FALSE),
  O169="Rondônia",((W169*0.15)+(X169*0.7))*VLOOKUP(P169,'MunicípiosEstados'!$AQ$2:$AR$53,2,FALSE),
  O169="Roraima",((W169*0.15)+(X169*0.7))*VLOOKUP(P169,'MunicípiosEstados'!$AS$2:$AT$16,2,FALSE),
  O169="Santa Catarina",((W169*0.15)+(X169*0.7))*VLOOKUP(P169,'MunicípiosEstados'!$AU$2:$AV$296,2,FALSE),
  O169="São Paulo",((W169*0.15)+(X169*0.7))*VLOOKUP(P169,'MunicípiosEstados'!$AW$2:$AX$646,2,FALSE),
  O169="Sergipe",((W169*0.15)+(X169*0.7))*VLOOKUP(P169,'MunicípiosEstados'!$AY$2:$AZ$76,2,FALSE),
  O169="Tocantins",((W169*0.15)+(X169*0.7))*VLOOKUP(P169,'MunicípiosEstados'!$BA$2:$BB$140,2,FALSE),
  O169="Exterior",((W169*0.15)+(X169*0.7))*VLOOKUP(P169,'MunicípiosEstados'!$BC$2:$BE$221,3,FALSE),TRUE,0
)
</f>
        <v>39910.45</v>
      </c>
      <c r="AL169" s="25">
        <f t="shared" si="3"/>
        <v>43998.45</v>
      </c>
    </row>
    <row r="170" ht="22.5" hidden="1" customHeight="1">
      <c r="A170" s="15">
        <f t="shared" si="1"/>
        <v>169</v>
      </c>
      <c r="B170" s="16">
        <v>45989.60716480324</v>
      </c>
      <c r="C170" s="17" t="s">
        <v>1171</v>
      </c>
      <c r="D170" s="27" t="s">
        <v>443</v>
      </c>
      <c r="E170" s="15" t="str">
        <f>VLOOKUP(G170,DiretoriaDepart.Coord.!$A$1:$C$72,2,FALSE)</f>
        <v>Extensão Rural</v>
      </c>
      <c r="F170" s="15" t="str">
        <f>VLOOKUP(G170,DiretoriaDepart.Coord.!$A$1:$C$72,3,FALSE)</f>
        <v>Projetos e Cadeias Produtivas</v>
      </c>
      <c r="G170" s="17" t="s">
        <v>1172</v>
      </c>
      <c r="H170" s="15"/>
      <c r="I170" s="17" t="s">
        <v>1173</v>
      </c>
      <c r="J170" s="17" t="s">
        <v>728</v>
      </c>
      <c r="K170" s="17">
        <v>15.0</v>
      </c>
      <c r="L170" s="15"/>
      <c r="M170" s="17" t="s">
        <v>1174</v>
      </c>
      <c r="N170" s="34" t="s">
        <v>1175</v>
      </c>
      <c r="O170" s="17" t="s">
        <v>714</v>
      </c>
      <c r="P170" s="17" t="s">
        <v>18</v>
      </c>
      <c r="Q170" s="20">
        <v>45816.333333333336</v>
      </c>
      <c r="R170" s="20">
        <v>45820.708333333336</v>
      </c>
      <c r="S170" s="17" t="s">
        <v>451</v>
      </c>
      <c r="T170" s="17" t="s">
        <v>1000</v>
      </c>
      <c r="U170" s="21" t="s">
        <v>1176</v>
      </c>
      <c r="V170" s="21" t="s">
        <v>1177</v>
      </c>
      <c r="W170" s="22">
        <v>230.0</v>
      </c>
      <c r="X170" s="22">
        <v>115.0</v>
      </c>
      <c r="Y170" s="23">
        <v>0.0</v>
      </c>
      <c r="Z170" s="23">
        <v>2720.0</v>
      </c>
      <c r="AA170" s="24">
        <v>0.0</v>
      </c>
      <c r="AB170" s="24">
        <v>0.0</v>
      </c>
      <c r="AC170" s="24">
        <v>0.0</v>
      </c>
      <c r="AD170" s="23">
        <v>0.0</v>
      </c>
      <c r="AE170" s="24">
        <v>0.0</v>
      </c>
      <c r="AF170" s="17" t="s">
        <v>464</v>
      </c>
      <c r="AG170" s="17">
        <v>2690.0</v>
      </c>
      <c r="AH170" s="17" t="s">
        <v>451</v>
      </c>
      <c r="AI170" s="25">
        <f>IF(AF170="Sim",INT((R170-Q170+1))*K170*VLOOKUP(P170,'Tabelas Auxiliares'!$A$1:$C$400,3,FALSE),0)</f>
        <v>1698</v>
      </c>
      <c r="AJ170" s="25">
        <f t="shared" si="2"/>
        <v>1883</v>
      </c>
      <c r="AK170" s="25">
        <f>IFS(
  O170="Acre",((W170*0.15)+(X170*0.7))*VLOOKUP(P170,'MunicípiosEstados'!$A$2:$B$23,2,FALSE),
  O170="Alagoas",((W170*0.15)+(X170*0.7))*VLOOKUP(P170,'MunicípiosEstados'!$C$2:$D$103,2,FALSE),
  O170="Amapá",((W170*0.15)+(X170*0.7))*VLOOKUP(P170,'MunicípiosEstados'!$E$2:$F$17,2,FALSE),
  O170="Amazonas",((W170*0.15)+(X170*0.7))*VLOOKUP(P170,'MunicípiosEstados'!$G$2:$H$63,2,FALSE),
  O170="Bahia",((W170*0.15)+(X170*0.7))*VLOOKUP(P170,'MunicípiosEstados'!$I$2:$J$418,2,FALSE),
  O170="Ceará",((W170*0.15)+(X170*0.7))*VLOOKUP(P170,'MunicípiosEstados'!$K$2:$L$185,2,FALSE),
  O170="Distrito Federal",((W170*0.15)+(X170*0.7))*VLOOKUP(P170,'MunicípiosEstados'!$M$2:$N$2,2,FALSE),
  O170="Espírito Santo",((W170*0.15)+(X170*0.7))*VLOOKUP(P170,'MunicípiosEstados'!$O$2:$P$79,2,FALSE),
  O170="Goiás",((W170*0.15)+(X170*0.7))*VLOOKUP(P170,'MunicípiosEstados'!$Q$2:$R$247,2,FALSE),
  O170="Maranhão",((W170*0.15)+(X170*0.7))*VLOOKUP(P170,'MunicípiosEstados'!$S$2:$T$218,2,FALSE),
  O170="Mato Grosso",((W170*0.15)+(X170*0.7))*VLOOKUP(P170,'MunicípiosEstados'!$U$2:$V$143,2,FALSE),
  O170="Mato Grosso do Sul",((W170*0.15)+(X170*0.7))*VLOOKUP(P170,'MunicípiosEstados'!$W$2:$X$80,2,FALSE),
  O170="Minas Gerais",((W170*0.15)+(X170*0.7))*VLOOKUP(P170,'MunicípiosEstados'!$Y$2:$Z$854,2,FALSE),
  O170="Pará",((W170*0.15)+(X170*0.7))*VLOOKUP(P170,'MunicípiosEstados'!$AA$2:$AB$145,2,FALSE),
  O170="Paraíba",((W170*0.15)+(X170*0.7))*VLOOKUP(P170,'MunicípiosEstados'!$AC$2:$AD$224,2,FALSE),
  O170="Paraná",((W170*0.15)+(X170*0.7))*VLOOKUP(P170,'MunicípiosEstados'!$AE$2:$AF$400,2,FALSE),
  O170="Pernambuco",((W170*0.15)+(X170*0.7))*VLOOKUP(P170,'MunicípiosEstados'!$AG$2:$AH$186,2,FALSE),
  O170="Piauí",((W170*0.15)+(X170*0.7))*VLOOKUP(P170,'MunicípiosEstados'!$AI$2:$AJ$225,2,FALSE),
  O170="Rio Grande do Norte",((W170*0.15)+(X170*0.7))*VLOOKUP(P170,'MunicípiosEstados'!$AK$2:$AL$168,2,FALSE),
  O170="Rio Grande do Sul",((W170*0.15)+(X170*0.7))*VLOOKUP(P170,'MunicípiosEstados'!$AM$2:$AN$498,2,FALSE),
  O170="Rio de Janeiro",((W170*0.15)+(X170*0.7))*VLOOKUP(P170,'MunicípiosEstados'!$AO$2:$AP$93,2,FALSE),
  O170="Rondônia",((W170*0.15)+(X170*0.7))*VLOOKUP(P170,'MunicípiosEstados'!$AQ$2:$AR$53,2,FALSE),
  O170="Roraima",((W170*0.15)+(X170*0.7))*VLOOKUP(P170,'MunicípiosEstados'!$AS$2:$AT$16,2,FALSE),
  O170="Santa Catarina",((W170*0.15)+(X170*0.7))*VLOOKUP(P170,'MunicípiosEstados'!$AU$2:$AV$296,2,FALSE),
  O170="São Paulo",((W170*0.15)+(X170*0.7))*VLOOKUP(P170,'MunicípiosEstados'!$AW$2:$AX$646,2,FALSE),
  O170="Sergipe",((W170*0.15)+(X170*0.7))*VLOOKUP(P170,'MunicípiosEstados'!$AY$2:$AZ$76,2,FALSE),
  O170="Tocantins",((W170*0.15)+(X170*0.7))*VLOOKUP(P170,'MunicípiosEstados'!$BA$2:$BB$140,2,FALSE),
  O170="Exterior",((W170*0.15)+(X170*0.7))*VLOOKUP(P170,'MunicípiosEstados'!$BC$2:$BE$221,3,FALSE),TRUE,0
)
</f>
        <v>33413.25</v>
      </c>
      <c r="AL170" s="25">
        <f t="shared" si="3"/>
        <v>39714.25</v>
      </c>
    </row>
    <row r="171" ht="22.5" hidden="1" customHeight="1">
      <c r="A171" s="15">
        <f t="shared" si="1"/>
        <v>170</v>
      </c>
      <c r="B171" s="16">
        <v>45989.60844788194</v>
      </c>
      <c r="C171" s="17" t="s">
        <v>1178</v>
      </c>
      <c r="D171" s="27" t="s">
        <v>443</v>
      </c>
      <c r="E171" s="15" t="str">
        <f>VLOOKUP(G171,DiretoriaDepart.Coord.!$A$1:$C$72,2,FALSE)</f>
        <v>Extensão Rural</v>
      </c>
      <c r="F171" s="15" t="str">
        <f>VLOOKUP(G171,DiretoriaDepart.Coord.!$A$1:$C$72,3,FALSE)</f>
        <v>Sustentabilidade</v>
      </c>
      <c r="G171" s="17" t="s">
        <v>1166</v>
      </c>
      <c r="H171" s="15"/>
      <c r="I171" s="17" t="s">
        <v>1179</v>
      </c>
      <c r="J171" s="17" t="s">
        <v>719</v>
      </c>
      <c r="K171" s="17">
        <v>40.0</v>
      </c>
      <c r="L171" s="15"/>
      <c r="M171" s="17" t="s">
        <v>804</v>
      </c>
      <c r="N171" s="17">
        <v>0.0</v>
      </c>
      <c r="O171" s="17" t="s">
        <v>714</v>
      </c>
      <c r="P171" s="17" t="s">
        <v>6</v>
      </c>
      <c r="Q171" s="20">
        <v>45726.375</v>
      </c>
      <c r="R171" s="20">
        <v>45735.5</v>
      </c>
      <c r="S171" s="17" t="s">
        <v>451</v>
      </c>
      <c r="T171" s="17" t="s">
        <v>747</v>
      </c>
      <c r="U171" s="21" t="s">
        <v>1180</v>
      </c>
      <c r="V171" s="21" t="s">
        <v>1181</v>
      </c>
      <c r="W171" s="22">
        <v>0.0</v>
      </c>
      <c r="X171" s="22">
        <v>0.0</v>
      </c>
      <c r="Y171" s="23">
        <v>0.0</v>
      </c>
      <c r="Z171" s="23">
        <v>0.0</v>
      </c>
      <c r="AA171" s="24">
        <v>0.0</v>
      </c>
      <c r="AB171" s="24">
        <v>0.0</v>
      </c>
      <c r="AC171" s="24">
        <v>0.0</v>
      </c>
      <c r="AD171" s="23">
        <v>0.0</v>
      </c>
      <c r="AE171" s="24">
        <v>0.0</v>
      </c>
      <c r="AF171" s="17" t="s">
        <v>451</v>
      </c>
      <c r="AG171" s="17">
        <v>0.0</v>
      </c>
      <c r="AH171" s="17" t="s">
        <v>451</v>
      </c>
      <c r="AI171" s="25">
        <f>IF(AF171="Sim",INT((R171-Q171+1))*K171*VLOOKUP(P171,'Tabelas Auxiliares'!$A$1:$C$400,3,FALSE),0)</f>
        <v>0</v>
      </c>
      <c r="AJ171" s="25">
        <f t="shared" si="2"/>
        <v>0</v>
      </c>
      <c r="AK171" s="25">
        <f>IFS(
  O171="Acre",((W171*0.15)+(X171*0.7))*VLOOKUP(P171,'MunicípiosEstados'!$A$2:$B$23,2,FALSE),
  O171="Alagoas",((W171*0.15)+(X171*0.7))*VLOOKUP(P171,'MunicípiosEstados'!$C$2:$D$103,2,FALSE),
  O171="Amapá",((W171*0.15)+(X171*0.7))*VLOOKUP(P171,'MunicípiosEstados'!$E$2:$F$17,2,FALSE),
  O171="Amazonas",((W171*0.15)+(X171*0.7))*VLOOKUP(P171,'MunicípiosEstados'!$G$2:$H$63,2,FALSE),
  O171="Bahia",((W171*0.15)+(X171*0.7))*VLOOKUP(P171,'MunicípiosEstados'!$I$2:$J$418,2,FALSE),
  O171="Ceará",((W171*0.15)+(X171*0.7))*VLOOKUP(P171,'MunicípiosEstados'!$K$2:$L$185,2,FALSE),
  O171="Distrito Federal",((W171*0.15)+(X171*0.7))*VLOOKUP(P171,'MunicípiosEstados'!$M$2:$N$2,2,FALSE),
  O171="Espírito Santo",((W171*0.15)+(X171*0.7))*VLOOKUP(P171,'MunicípiosEstados'!$O$2:$P$79,2,FALSE),
  O171="Goiás",((W171*0.15)+(X171*0.7))*VLOOKUP(P171,'MunicípiosEstados'!$Q$2:$R$247,2,FALSE),
  O171="Maranhão",((W171*0.15)+(X171*0.7))*VLOOKUP(P171,'MunicípiosEstados'!$S$2:$T$218,2,FALSE),
  O171="Mato Grosso",((W171*0.15)+(X171*0.7))*VLOOKUP(P171,'MunicípiosEstados'!$U$2:$V$143,2,FALSE),
  O171="Mato Grosso do Sul",((W171*0.15)+(X171*0.7))*VLOOKUP(P171,'MunicípiosEstados'!$W$2:$X$80,2,FALSE),
  O171="Minas Gerais",((W171*0.15)+(X171*0.7))*VLOOKUP(P171,'MunicípiosEstados'!$Y$2:$Z$854,2,FALSE),
  O171="Pará",((W171*0.15)+(X171*0.7))*VLOOKUP(P171,'MunicípiosEstados'!$AA$2:$AB$145,2,FALSE),
  O171="Paraíba",((W171*0.15)+(X171*0.7))*VLOOKUP(P171,'MunicípiosEstados'!$AC$2:$AD$224,2,FALSE),
  O171="Paraná",((W171*0.15)+(X171*0.7))*VLOOKUP(P171,'MunicípiosEstados'!$AE$2:$AF$400,2,FALSE),
  O171="Pernambuco",((W171*0.15)+(X171*0.7))*VLOOKUP(P171,'MunicípiosEstados'!$AG$2:$AH$186,2,FALSE),
  O171="Piauí",((W171*0.15)+(X171*0.7))*VLOOKUP(P171,'MunicípiosEstados'!$AI$2:$AJ$225,2,FALSE),
  O171="Rio Grande do Norte",((W171*0.15)+(X171*0.7))*VLOOKUP(P171,'MunicípiosEstados'!$AK$2:$AL$168,2,FALSE),
  O171="Rio Grande do Sul",((W171*0.15)+(X171*0.7))*VLOOKUP(P171,'MunicípiosEstados'!$AM$2:$AN$498,2,FALSE),
  O171="Rio de Janeiro",((W171*0.15)+(X171*0.7))*VLOOKUP(P171,'MunicípiosEstados'!$AO$2:$AP$93,2,FALSE),
  O171="Rondônia",((W171*0.15)+(X171*0.7))*VLOOKUP(P171,'MunicípiosEstados'!$AQ$2:$AR$53,2,FALSE),
  O171="Roraima",((W171*0.15)+(X171*0.7))*VLOOKUP(P171,'MunicípiosEstados'!$AS$2:$AT$16,2,FALSE),
  O171="Santa Catarina",((W171*0.15)+(X171*0.7))*VLOOKUP(P171,'MunicípiosEstados'!$AU$2:$AV$296,2,FALSE),
  O171="São Paulo",((W171*0.15)+(X171*0.7))*VLOOKUP(P171,'MunicípiosEstados'!$AW$2:$AX$646,2,FALSE),
  O171="Sergipe",((W171*0.15)+(X171*0.7))*VLOOKUP(P171,'MunicípiosEstados'!$AY$2:$AZ$76,2,FALSE),
  O171="Tocantins",((W171*0.15)+(X171*0.7))*VLOOKUP(P171,'MunicípiosEstados'!$BA$2:$BB$140,2,FALSE),
  O171="Exterior",((W171*0.15)+(X171*0.7))*VLOOKUP(P171,'MunicípiosEstados'!$BC$2:$BE$221,3,FALSE),TRUE,0
)
</f>
        <v>0</v>
      </c>
      <c r="AL171" s="25">
        <f t="shared" si="3"/>
        <v>0</v>
      </c>
    </row>
    <row r="172" ht="22.5" customHeight="1">
      <c r="A172" s="15">
        <f t="shared" si="1"/>
        <v>171</v>
      </c>
      <c r="B172" s="16">
        <v>45989.6088865625</v>
      </c>
      <c r="C172" s="17" t="s">
        <v>696</v>
      </c>
      <c r="D172" s="27" t="s">
        <v>443</v>
      </c>
      <c r="E172" s="15" t="str">
        <f>VLOOKUP(G172,DiretoriaDepart.Coord.!$A$1:$C$72,2,FALSE)</f>
        <v>Extensão Rural</v>
      </c>
      <c r="F172" s="15" t="str">
        <f>VLOOKUP(G172,DiretoriaDepart.Coord.!$A$1:$C$72,3,FALSE)</f>
        <v>Projetos e Cadeias Produtivas</v>
      </c>
      <c r="G172" s="17" t="s">
        <v>697</v>
      </c>
      <c r="H172" s="15"/>
      <c r="I172" s="17" t="s">
        <v>1182</v>
      </c>
      <c r="J172" s="17" t="s">
        <v>728</v>
      </c>
      <c r="K172" s="17">
        <v>30.0</v>
      </c>
      <c r="L172" s="15"/>
      <c r="M172" s="17" t="s">
        <v>1183</v>
      </c>
      <c r="N172" s="17">
        <v>10.0</v>
      </c>
      <c r="O172" s="17" t="s">
        <v>714</v>
      </c>
      <c r="P172" s="17" t="s">
        <v>259</v>
      </c>
      <c r="Q172" s="20">
        <v>45887.354166666664</v>
      </c>
      <c r="R172" s="20">
        <v>45890.708333333336</v>
      </c>
      <c r="S172" s="17" t="s">
        <v>451</v>
      </c>
      <c r="T172" s="17" t="s">
        <v>452</v>
      </c>
      <c r="U172" s="21" t="s">
        <v>1184</v>
      </c>
      <c r="V172" s="21" t="s">
        <v>1185</v>
      </c>
      <c r="W172" s="22">
        <v>120.0</v>
      </c>
      <c r="X172" s="22">
        <v>90.0</v>
      </c>
      <c r="Y172" s="23">
        <v>0.0</v>
      </c>
      <c r="Z172" s="23">
        <v>0.0</v>
      </c>
      <c r="AA172" s="24">
        <v>0.0</v>
      </c>
      <c r="AB172" s="24">
        <v>0.0</v>
      </c>
      <c r="AC172" s="24">
        <v>0.0</v>
      </c>
      <c r="AD172" s="23">
        <v>0.0</v>
      </c>
      <c r="AE172" s="24">
        <v>0.0</v>
      </c>
      <c r="AF172" s="17" t="s">
        <v>464</v>
      </c>
      <c r="AG172" s="17">
        <v>6000.0</v>
      </c>
      <c r="AH172" s="17" t="s">
        <v>464</v>
      </c>
      <c r="AI172" s="25">
        <f>IF(AF172="Sim",INT((R172-Q172+1))*K172*VLOOKUP(P172,'Tabelas Auxiliares'!$A$1:$C$400,3,FALSE),0)</f>
        <v>2640</v>
      </c>
      <c r="AJ172" s="25">
        <f t="shared" si="2"/>
        <v>4200</v>
      </c>
      <c r="AK172" s="25">
        <f>IFS(
  O172="Acre",((W172*0.15)+(X172*0.7))*VLOOKUP(P172,'MunicípiosEstados'!$A$2:$B$23,2,FALSE),
  O172="Alagoas",((W172*0.15)+(X172*0.7))*VLOOKUP(P172,'MunicípiosEstados'!$C$2:$D$103,2,FALSE),
  O172="Amapá",((W172*0.15)+(X172*0.7))*VLOOKUP(P172,'MunicípiosEstados'!$E$2:$F$17,2,FALSE),
  O172="Amazonas",((W172*0.15)+(X172*0.7))*VLOOKUP(P172,'MunicípiosEstados'!$G$2:$H$63,2,FALSE),
  O172="Bahia",((W172*0.15)+(X172*0.7))*VLOOKUP(P172,'MunicípiosEstados'!$I$2:$J$418,2,FALSE),
  O172="Ceará",((W172*0.15)+(X172*0.7))*VLOOKUP(P172,'MunicípiosEstados'!$K$2:$L$185,2,FALSE),
  O172="Distrito Federal",((W172*0.15)+(X172*0.7))*VLOOKUP(P172,'MunicípiosEstados'!$M$2:$N$2,2,FALSE),
  O172="Espírito Santo",((W172*0.15)+(X172*0.7))*VLOOKUP(P172,'MunicípiosEstados'!$O$2:$P$79,2,FALSE),
  O172="Goiás",((W172*0.15)+(X172*0.7))*VLOOKUP(P172,'MunicípiosEstados'!$Q$2:$R$247,2,FALSE),
  O172="Maranhão",((W172*0.15)+(X172*0.7))*VLOOKUP(P172,'MunicípiosEstados'!$S$2:$T$218,2,FALSE),
  O172="Mato Grosso",((W172*0.15)+(X172*0.7))*VLOOKUP(P172,'MunicípiosEstados'!$U$2:$V$143,2,FALSE),
  O172="Mato Grosso do Sul",((W172*0.15)+(X172*0.7))*VLOOKUP(P172,'MunicípiosEstados'!$W$2:$X$80,2,FALSE),
  O172="Minas Gerais",((W172*0.15)+(X172*0.7))*VLOOKUP(P172,'MunicípiosEstados'!$Y$2:$Z$854,2,FALSE),
  O172="Pará",((W172*0.15)+(X172*0.7))*VLOOKUP(P172,'MunicípiosEstados'!$AA$2:$AB$145,2,FALSE),
  O172="Paraíba",((W172*0.15)+(X172*0.7))*VLOOKUP(P172,'MunicípiosEstados'!$AC$2:$AD$224,2,FALSE),
  O172="Paraná",((W172*0.15)+(X172*0.7))*VLOOKUP(P172,'MunicípiosEstados'!$AE$2:$AF$400,2,FALSE),
  O172="Pernambuco",((W172*0.15)+(X172*0.7))*VLOOKUP(P172,'MunicípiosEstados'!$AG$2:$AH$186,2,FALSE),
  O172="Piauí",((W172*0.15)+(X172*0.7))*VLOOKUP(P172,'MunicípiosEstados'!$AI$2:$AJ$225,2,FALSE),
  O172="Rio Grande do Norte",((W172*0.15)+(X172*0.7))*VLOOKUP(P172,'MunicípiosEstados'!$AK$2:$AL$168,2,FALSE),
  O172="Rio Grande do Sul",((W172*0.15)+(X172*0.7))*VLOOKUP(P172,'MunicípiosEstados'!$AM$2:$AN$498,2,FALSE),
  O172="Rio de Janeiro",((W172*0.15)+(X172*0.7))*VLOOKUP(P172,'MunicípiosEstados'!$AO$2:$AP$93,2,FALSE),
  O172="Rondônia",((W172*0.15)+(X172*0.7))*VLOOKUP(P172,'MunicípiosEstados'!$AQ$2:$AR$53,2,FALSE),
  O172="Roraima",((W172*0.15)+(X172*0.7))*VLOOKUP(P172,'MunicípiosEstados'!$AS$2:$AT$16,2,FALSE),
  O172="Santa Catarina",((W172*0.15)+(X172*0.7))*VLOOKUP(P172,'MunicípiosEstados'!$AU$2:$AV$296,2,FALSE),
  O172="São Paulo",((W172*0.15)+(X172*0.7))*VLOOKUP(P172,'MunicípiosEstados'!$AW$2:$AX$646,2,FALSE),
  O172="Sergipe",((W172*0.15)+(X172*0.7))*VLOOKUP(P172,'MunicípiosEstados'!$AY$2:$AZ$76,2,FALSE),
  O172="Tocantins",((W172*0.15)+(X172*0.7))*VLOOKUP(P172,'MunicípiosEstados'!$BA$2:$BB$140,2,FALSE),
  O172="Exterior",((W172*0.15)+(X172*0.7))*VLOOKUP(P172,'MunicípiosEstados'!$BC$2:$BE$221,3,FALSE),TRUE,0
)
</f>
        <v>23534.55</v>
      </c>
      <c r="AL172" s="25">
        <f t="shared" si="3"/>
        <v>30374.55</v>
      </c>
    </row>
    <row r="173" ht="22.5" hidden="1" customHeight="1">
      <c r="A173" s="15">
        <f t="shared" si="1"/>
        <v>172</v>
      </c>
      <c r="B173" s="16">
        <v>45989.61377109954</v>
      </c>
      <c r="C173" s="17" t="s">
        <v>1165</v>
      </c>
      <c r="D173" s="27" t="s">
        <v>443</v>
      </c>
      <c r="E173" s="15" t="str">
        <f>VLOOKUP(G173,DiretoriaDepart.Coord.!$A$1:$C$72,2,FALSE)</f>
        <v>Extensão Rural</v>
      </c>
      <c r="F173" s="15" t="str">
        <f>VLOOKUP(G173,DiretoriaDepart.Coord.!$A$1:$C$72,3,FALSE)</f>
        <v>Sustentabilidade</v>
      </c>
      <c r="G173" s="17" t="s">
        <v>1166</v>
      </c>
      <c r="H173" s="15"/>
      <c r="I173" s="17" t="s">
        <v>1186</v>
      </c>
      <c r="J173" s="17" t="s">
        <v>728</v>
      </c>
      <c r="K173" s="17">
        <v>40.0</v>
      </c>
      <c r="L173" s="15"/>
      <c r="M173" s="17" t="s">
        <v>1187</v>
      </c>
      <c r="N173" s="17">
        <v>20.0</v>
      </c>
      <c r="O173" s="17" t="s">
        <v>714</v>
      </c>
      <c r="P173" s="17" t="s">
        <v>6</v>
      </c>
      <c r="Q173" s="20">
        <v>45817.354166666664</v>
      </c>
      <c r="R173" s="20">
        <v>45834.5</v>
      </c>
      <c r="S173" s="17" t="s">
        <v>451</v>
      </c>
      <c r="T173" s="17" t="s">
        <v>1000</v>
      </c>
      <c r="U173" s="21" t="s">
        <v>1188</v>
      </c>
      <c r="V173" s="21" t="s">
        <v>1189</v>
      </c>
      <c r="W173" s="22">
        <v>160.0</v>
      </c>
      <c r="X173" s="22">
        <v>80.0</v>
      </c>
      <c r="Y173" s="23">
        <v>0.0</v>
      </c>
      <c r="Z173" s="23">
        <v>800.0</v>
      </c>
      <c r="AA173" s="24">
        <v>0.0</v>
      </c>
      <c r="AB173" s="24">
        <v>0.0</v>
      </c>
      <c r="AC173" s="24">
        <v>0.0</v>
      </c>
      <c r="AD173" s="23">
        <v>0.0</v>
      </c>
      <c r="AE173" s="24">
        <v>0.0</v>
      </c>
      <c r="AF173" s="17" t="s">
        <v>464</v>
      </c>
      <c r="AG173" s="32">
        <v>4000.0</v>
      </c>
      <c r="AH173" s="17" t="s">
        <v>451</v>
      </c>
      <c r="AI173" s="25">
        <f>IF(AF173="Sim",INT((R173-Q173+1))*K173*VLOOKUP(P173,'Tabelas Auxiliares'!$A$1:$C$400,3,FALSE),0)</f>
        <v>16300.8</v>
      </c>
      <c r="AJ173" s="25">
        <f t="shared" si="2"/>
        <v>2800</v>
      </c>
      <c r="AK173" s="25">
        <f>IFS(
  O173="Acre",((W173*0.15)+(X173*0.7))*VLOOKUP(P173,'MunicípiosEstados'!$A$2:$B$23,2,FALSE),
  O173="Alagoas",((W173*0.15)+(X173*0.7))*VLOOKUP(P173,'MunicípiosEstados'!$C$2:$D$103,2,FALSE),
  O173="Amapá",((W173*0.15)+(X173*0.7))*VLOOKUP(P173,'MunicípiosEstados'!$E$2:$F$17,2,FALSE),
  O173="Amazonas",((W173*0.15)+(X173*0.7))*VLOOKUP(P173,'MunicípiosEstados'!$G$2:$H$63,2,FALSE),
  O173="Bahia",((W173*0.15)+(X173*0.7))*VLOOKUP(P173,'MunicípiosEstados'!$I$2:$J$418,2,FALSE),
  O173="Ceará",((W173*0.15)+(X173*0.7))*VLOOKUP(P173,'MunicípiosEstados'!$K$2:$L$185,2,FALSE),
  O173="Distrito Federal",((W173*0.15)+(X173*0.7))*VLOOKUP(P173,'MunicípiosEstados'!$M$2:$N$2,2,FALSE),
  O173="Espírito Santo",((W173*0.15)+(X173*0.7))*VLOOKUP(P173,'MunicípiosEstados'!$O$2:$P$79,2,FALSE),
  O173="Goiás",((W173*0.15)+(X173*0.7))*VLOOKUP(P173,'MunicípiosEstados'!$Q$2:$R$247,2,FALSE),
  O173="Maranhão",((W173*0.15)+(X173*0.7))*VLOOKUP(P173,'MunicípiosEstados'!$S$2:$T$218,2,FALSE),
  O173="Mato Grosso",((W173*0.15)+(X173*0.7))*VLOOKUP(P173,'MunicípiosEstados'!$U$2:$V$143,2,FALSE),
  O173="Mato Grosso do Sul",((W173*0.15)+(X173*0.7))*VLOOKUP(P173,'MunicípiosEstados'!$W$2:$X$80,2,FALSE),
  O173="Minas Gerais",((W173*0.15)+(X173*0.7))*VLOOKUP(P173,'MunicípiosEstados'!$Y$2:$Z$854,2,FALSE),
  O173="Pará",((W173*0.15)+(X173*0.7))*VLOOKUP(P173,'MunicípiosEstados'!$AA$2:$AB$145,2,FALSE),
  O173="Paraíba",((W173*0.15)+(X173*0.7))*VLOOKUP(P173,'MunicípiosEstados'!$AC$2:$AD$224,2,FALSE),
  O173="Paraná",((W173*0.15)+(X173*0.7))*VLOOKUP(P173,'MunicípiosEstados'!$AE$2:$AF$400,2,FALSE),
  O173="Pernambuco",((W173*0.15)+(X173*0.7))*VLOOKUP(P173,'MunicípiosEstados'!$AG$2:$AH$186,2,FALSE),
  O173="Piauí",((W173*0.15)+(X173*0.7))*VLOOKUP(P173,'MunicípiosEstados'!$AI$2:$AJ$225,2,FALSE),
  O173="Rio Grande do Norte",((W173*0.15)+(X173*0.7))*VLOOKUP(P173,'MunicípiosEstados'!$AK$2:$AL$168,2,FALSE),
  O173="Rio Grande do Sul",((W173*0.15)+(X173*0.7))*VLOOKUP(P173,'MunicípiosEstados'!$AM$2:$AN$498,2,FALSE),
  O173="Rio de Janeiro",((W173*0.15)+(X173*0.7))*VLOOKUP(P173,'MunicípiosEstados'!$AO$2:$AP$93,2,FALSE),
  O173="Rondônia",((W173*0.15)+(X173*0.7))*VLOOKUP(P173,'MunicípiosEstados'!$AQ$2:$AR$53,2,FALSE),
  O173="Roraima",((W173*0.15)+(X173*0.7))*VLOOKUP(P173,'MunicípiosEstados'!$AS$2:$AT$16,2,FALSE),
  O173="Santa Catarina",((W173*0.15)+(X173*0.7))*VLOOKUP(P173,'MunicípiosEstados'!$AU$2:$AV$296,2,FALSE),
  O173="São Paulo",((W173*0.15)+(X173*0.7))*VLOOKUP(P173,'MunicípiosEstados'!$AW$2:$AX$646,2,FALSE),
  O173="Sergipe",((W173*0.15)+(X173*0.7))*VLOOKUP(P173,'MunicípiosEstados'!$AY$2:$AZ$76,2,FALSE),
  O173="Tocantins",((W173*0.15)+(X173*0.7))*VLOOKUP(P173,'MunicípiosEstados'!$BA$2:$BB$140,2,FALSE),
  O173="Exterior",((W173*0.15)+(X173*0.7))*VLOOKUP(P173,'MunicípiosEstados'!$BC$2:$BE$221,3,FALSE),TRUE,0
)
</f>
        <v>29700.8</v>
      </c>
      <c r="AL173" s="25">
        <f t="shared" si="3"/>
        <v>49601.6</v>
      </c>
    </row>
    <row r="174" ht="22.5" hidden="1" customHeight="1">
      <c r="A174" s="15">
        <f t="shared" si="1"/>
        <v>173</v>
      </c>
      <c r="B174" s="16">
        <v>45989.61859331018</v>
      </c>
      <c r="C174" s="17" t="s">
        <v>1178</v>
      </c>
      <c r="D174" s="27" t="s">
        <v>443</v>
      </c>
      <c r="E174" s="15" t="str">
        <f>VLOOKUP(G174,DiretoriaDepart.Coord.!$A$1:$C$72,2,FALSE)</f>
        <v>Extensão Rural</v>
      </c>
      <c r="F174" s="15" t="str">
        <f>VLOOKUP(G174,DiretoriaDepart.Coord.!$A$1:$C$72,3,FALSE)</f>
        <v>Sustentabilidade</v>
      </c>
      <c r="G174" s="17" t="s">
        <v>1166</v>
      </c>
      <c r="H174" s="15"/>
      <c r="I174" s="17" t="s">
        <v>1190</v>
      </c>
      <c r="J174" s="17" t="s">
        <v>728</v>
      </c>
      <c r="K174" s="17">
        <v>15.0</v>
      </c>
      <c r="L174" s="15"/>
      <c r="M174" s="17" t="s">
        <v>1191</v>
      </c>
      <c r="N174" s="17">
        <v>5.0</v>
      </c>
      <c r="O174" s="17" t="s">
        <v>714</v>
      </c>
      <c r="P174" s="17" t="s">
        <v>12</v>
      </c>
      <c r="Q174" s="20">
        <v>45915.333333333336</v>
      </c>
      <c r="R174" s="20">
        <v>45917.708333333336</v>
      </c>
      <c r="S174" s="17" t="s">
        <v>451</v>
      </c>
      <c r="T174" s="17" t="s">
        <v>452</v>
      </c>
      <c r="U174" s="21" t="s">
        <v>1192</v>
      </c>
      <c r="V174" s="21" t="s">
        <v>1193</v>
      </c>
      <c r="W174" s="22">
        <v>75.0</v>
      </c>
      <c r="X174" s="22">
        <v>60.0</v>
      </c>
      <c r="Y174" s="23">
        <v>0.0</v>
      </c>
      <c r="Z174" s="23">
        <v>0.0</v>
      </c>
      <c r="AA174" s="24">
        <v>0.0</v>
      </c>
      <c r="AB174" s="24">
        <v>0.0</v>
      </c>
      <c r="AC174" s="24">
        <v>0.0</v>
      </c>
      <c r="AD174" s="23">
        <v>0.0</v>
      </c>
      <c r="AE174" s="24">
        <v>0.0</v>
      </c>
      <c r="AF174" s="17" t="s">
        <v>464</v>
      </c>
      <c r="AG174" s="32">
        <v>2400.0</v>
      </c>
      <c r="AH174" s="17" t="s">
        <v>451</v>
      </c>
      <c r="AI174" s="25">
        <f>IF(AF174="Sim",INT((R174-Q174+1))*K174*VLOOKUP(P174,'Tabelas Auxiliares'!$A$1:$C$400,3,FALSE),0)</f>
        <v>1018.8</v>
      </c>
      <c r="AJ174" s="25">
        <f t="shared" si="2"/>
        <v>1680</v>
      </c>
      <c r="AK174" s="25">
        <f>IFS(
  O174="Acre",((W174*0.15)+(X174*0.7))*VLOOKUP(P174,'MunicípiosEstados'!$A$2:$B$23,2,FALSE),
  O174="Alagoas",((W174*0.15)+(X174*0.7))*VLOOKUP(P174,'MunicípiosEstados'!$C$2:$D$103,2,FALSE),
  O174="Amapá",((W174*0.15)+(X174*0.7))*VLOOKUP(P174,'MunicípiosEstados'!$E$2:$F$17,2,FALSE),
  O174="Amazonas",((W174*0.15)+(X174*0.7))*VLOOKUP(P174,'MunicípiosEstados'!$G$2:$H$63,2,FALSE),
  O174="Bahia",((W174*0.15)+(X174*0.7))*VLOOKUP(P174,'MunicípiosEstados'!$I$2:$J$418,2,FALSE),
  O174="Ceará",((W174*0.15)+(X174*0.7))*VLOOKUP(P174,'MunicípiosEstados'!$K$2:$L$185,2,FALSE),
  O174="Distrito Federal",((W174*0.15)+(X174*0.7))*VLOOKUP(P174,'MunicípiosEstados'!$M$2:$N$2,2,FALSE),
  O174="Espírito Santo",((W174*0.15)+(X174*0.7))*VLOOKUP(P174,'MunicípiosEstados'!$O$2:$P$79,2,FALSE),
  O174="Goiás",((W174*0.15)+(X174*0.7))*VLOOKUP(P174,'MunicípiosEstados'!$Q$2:$R$247,2,FALSE),
  O174="Maranhão",((W174*0.15)+(X174*0.7))*VLOOKUP(P174,'MunicípiosEstados'!$S$2:$T$218,2,FALSE),
  O174="Mato Grosso",((W174*0.15)+(X174*0.7))*VLOOKUP(P174,'MunicípiosEstados'!$U$2:$V$143,2,FALSE),
  O174="Mato Grosso do Sul",((W174*0.15)+(X174*0.7))*VLOOKUP(P174,'MunicípiosEstados'!$W$2:$X$80,2,FALSE),
  O174="Minas Gerais",((W174*0.15)+(X174*0.7))*VLOOKUP(P174,'MunicípiosEstados'!$Y$2:$Z$854,2,FALSE),
  O174="Pará",((W174*0.15)+(X174*0.7))*VLOOKUP(P174,'MunicípiosEstados'!$AA$2:$AB$145,2,FALSE),
  O174="Paraíba",((W174*0.15)+(X174*0.7))*VLOOKUP(P174,'MunicípiosEstados'!$AC$2:$AD$224,2,FALSE),
  O174="Paraná",((W174*0.15)+(X174*0.7))*VLOOKUP(P174,'MunicípiosEstados'!$AE$2:$AF$400,2,FALSE),
  O174="Pernambuco",((W174*0.15)+(X174*0.7))*VLOOKUP(P174,'MunicípiosEstados'!$AG$2:$AH$186,2,FALSE),
  O174="Piauí",((W174*0.15)+(X174*0.7))*VLOOKUP(P174,'MunicípiosEstados'!$AI$2:$AJ$225,2,FALSE),
  O174="Rio Grande do Norte",((W174*0.15)+(X174*0.7))*VLOOKUP(P174,'MunicípiosEstados'!$AK$2:$AL$168,2,FALSE),
  O174="Rio Grande do Sul",((W174*0.15)+(X174*0.7))*VLOOKUP(P174,'MunicípiosEstados'!$AM$2:$AN$498,2,FALSE),
  O174="Rio de Janeiro",((W174*0.15)+(X174*0.7))*VLOOKUP(P174,'MunicípiosEstados'!$AO$2:$AP$93,2,FALSE),
  O174="Rondônia",((W174*0.15)+(X174*0.7))*VLOOKUP(P174,'MunicípiosEstados'!$AQ$2:$AR$53,2,FALSE),
  O174="Roraima",((W174*0.15)+(X174*0.7))*VLOOKUP(P174,'MunicípiosEstados'!$AS$2:$AT$16,2,FALSE),
  O174="Santa Catarina",((W174*0.15)+(X174*0.7))*VLOOKUP(P174,'MunicípiosEstados'!$AU$2:$AV$296,2,FALSE),
  O174="São Paulo",((W174*0.15)+(X174*0.7))*VLOOKUP(P174,'MunicípiosEstados'!$AW$2:$AX$646,2,FALSE),
  O174="Sergipe",((W174*0.15)+(X174*0.7))*VLOOKUP(P174,'MunicípiosEstados'!$AY$2:$AZ$76,2,FALSE),
  O174="Tocantins",((W174*0.15)+(X174*0.7))*VLOOKUP(P174,'MunicípiosEstados'!$BA$2:$BB$140,2,FALSE),
  O174="Exterior",((W174*0.15)+(X174*0.7))*VLOOKUP(P174,'MunicípiosEstados'!$BC$2:$BE$221,3,FALSE),TRUE,0
)
</f>
        <v>15471.7875</v>
      </c>
      <c r="AL174" s="25">
        <f t="shared" si="3"/>
        <v>18170.5875</v>
      </c>
    </row>
    <row r="175" ht="22.5" hidden="1" customHeight="1">
      <c r="A175" s="15">
        <f t="shared" si="1"/>
        <v>174</v>
      </c>
      <c r="B175" s="16">
        <v>45989.623970243054</v>
      </c>
      <c r="C175" s="17" t="s">
        <v>1165</v>
      </c>
      <c r="D175" s="27" t="s">
        <v>443</v>
      </c>
      <c r="E175" s="15" t="str">
        <f>VLOOKUP(G175,DiretoriaDepart.Coord.!$A$1:$C$72,2,FALSE)</f>
        <v>Extensão Rural</v>
      </c>
      <c r="F175" s="15" t="str">
        <f>VLOOKUP(G175,DiretoriaDepart.Coord.!$A$1:$C$72,3,FALSE)</f>
        <v>Sustentabilidade</v>
      </c>
      <c r="G175" s="17" t="s">
        <v>1166</v>
      </c>
      <c r="H175" s="15"/>
      <c r="I175" s="17" t="s">
        <v>1194</v>
      </c>
      <c r="J175" s="17" t="s">
        <v>728</v>
      </c>
      <c r="K175" s="17">
        <v>25.0</v>
      </c>
      <c r="L175" s="15"/>
      <c r="M175" s="17" t="s">
        <v>1195</v>
      </c>
      <c r="N175" s="17">
        <v>10.0</v>
      </c>
      <c r="O175" s="17" t="s">
        <v>714</v>
      </c>
      <c r="P175" s="17" t="s">
        <v>6</v>
      </c>
      <c r="Q175" s="20">
        <v>45950.333333333336</v>
      </c>
      <c r="R175" s="20">
        <v>45952.708333333336</v>
      </c>
      <c r="S175" s="17" t="s">
        <v>451</v>
      </c>
      <c r="T175" s="17" t="s">
        <v>452</v>
      </c>
      <c r="U175" s="21" t="s">
        <v>1196</v>
      </c>
      <c r="V175" s="21" t="s">
        <v>1197</v>
      </c>
      <c r="W175" s="22">
        <v>125.0</v>
      </c>
      <c r="X175" s="22">
        <v>100.0</v>
      </c>
      <c r="Y175" s="23">
        <v>0.0</v>
      </c>
      <c r="Z175" s="23">
        <v>800.0</v>
      </c>
      <c r="AA175" s="24">
        <v>0.0</v>
      </c>
      <c r="AB175" s="24">
        <v>0.0</v>
      </c>
      <c r="AC175" s="24">
        <v>0.0</v>
      </c>
      <c r="AD175" s="23">
        <v>0.0</v>
      </c>
      <c r="AE175" s="24">
        <v>0.0</v>
      </c>
      <c r="AF175" s="17" t="s">
        <v>464</v>
      </c>
      <c r="AG175" s="32">
        <v>3600.0</v>
      </c>
      <c r="AH175" s="17" t="s">
        <v>451</v>
      </c>
      <c r="AI175" s="25">
        <f>IF(AF175="Sim",INT((R175-Q175+1))*K175*VLOOKUP(P175,'Tabelas Auxiliares'!$A$1:$C$400,3,FALSE),0)</f>
        <v>1698</v>
      </c>
      <c r="AJ175" s="25">
        <f t="shared" si="2"/>
        <v>2520</v>
      </c>
      <c r="AK175" s="25">
        <f>IFS(
  O175="Acre",((W175*0.15)+(X175*0.7))*VLOOKUP(P175,'MunicípiosEstados'!$A$2:$B$23,2,FALSE),
  O175="Alagoas",((W175*0.15)+(X175*0.7))*VLOOKUP(P175,'MunicípiosEstados'!$C$2:$D$103,2,FALSE),
  O175="Amapá",((W175*0.15)+(X175*0.7))*VLOOKUP(P175,'MunicípiosEstados'!$E$2:$F$17,2,FALSE),
  O175="Amazonas",((W175*0.15)+(X175*0.7))*VLOOKUP(P175,'MunicípiosEstados'!$G$2:$H$63,2,FALSE),
  O175="Bahia",((W175*0.15)+(X175*0.7))*VLOOKUP(P175,'MunicípiosEstados'!$I$2:$J$418,2,FALSE),
  O175="Ceará",((W175*0.15)+(X175*0.7))*VLOOKUP(P175,'MunicípiosEstados'!$K$2:$L$185,2,FALSE),
  O175="Distrito Federal",((W175*0.15)+(X175*0.7))*VLOOKUP(P175,'MunicípiosEstados'!$M$2:$N$2,2,FALSE),
  O175="Espírito Santo",((W175*0.15)+(X175*0.7))*VLOOKUP(P175,'MunicípiosEstados'!$O$2:$P$79,2,FALSE),
  O175="Goiás",((W175*0.15)+(X175*0.7))*VLOOKUP(P175,'MunicípiosEstados'!$Q$2:$R$247,2,FALSE),
  O175="Maranhão",((W175*0.15)+(X175*0.7))*VLOOKUP(P175,'MunicípiosEstados'!$S$2:$T$218,2,FALSE),
  O175="Mato Grosso",((W175*0.15)+(X175*0.7))*VLOOKUP(P175,'MunicípiosEstados'!$U$2:$V$143,2,FALSE),
  O175="Mato Grosso do Sul",((W175*0.15)+(X175*0.7))*VLOOKUP(P175,'MunicípiosEstados'!$W$2:$X$80,2,FALSE),
  O175="Minas Gerais",((W175*0.15)+(X175*0.7))*VLOOKUP(P175,'MunicípiosEstados'!$Y$2:$Z$854,2,FALSE),
  O175="Pará",((W175*0.15)+(X175*0.7))*VLOOKUP(P175,'MunicípiosEstados'!$AA$2:$AB$145,2,FALSE),
  O175="Paraíba",((W175*0.15)+(X175*0.7))*VLOOKUP(P175,'MunicípiosEstados'!$AC$2:$AD$224,2,FALSE),
  O175="Paraná",((W175*0.15)+(X175*0.7))*VLOOKUP(P175,'MunicípiosEstados'!$AE$2:$AF$400,2,FALSE),
  O175="Pernambuco",((W175*0.15)+(X175*0.7))*VLOOKUP(P175,'MunicípiosEstados'!$AG$2:$AH$186,2,FALSE),
  O175="Piauí",((W175*0.15)+(X175*0.7))*VLOOKUP(P175,'MunicípiosEstados'!$AI$2:$AJ$225,2,FALSE),
  O175="Rio Grande do Norte",((W175*0.15)+(X175*0.7))*VLOOKUP(P175,'MunicípiosEstados'!$AK$2:$AL$168,2,FALSE),
  O175="Rio Grande do Sul",((W175*0.15)+(X175*0.7))*VLOOKUP(P175,'MunicípiosEstados'!$AM$2:$AN$498,2,FALSE),
  O175="Rio de Janeiro",((W175*0.15)+(X175*0.7))*VLOOKUP(P175,'MunicípiosEstados'!$AO$2:$AP$93,2,FALSE),
  O175="Rondônia",((W175*0.15)+(X175*0.7))*VLOOKUP(P175,'MunicípiosEstados'!$AQ$2:$AR$53,2,FALSE),
  O175="Roraima",((W175*0.15)+(X175*0.7))*VLOOKUP(P175,'MunicípiosEstados'!$AS$2:$AT$16,2,FALSE),
  O175="Santa Catarina",((W175*0.15)+(X175*0.7))*VLOOKUP(P175,'MunicípiosEstados'!$AU$2:$AV$296,2,FALSE),
  O175="São Paulo",((W175*0.15)+(X175*0.7))*VLOOKUP(P175,'MunicípiosEstados'!$AW$2:$AX$646,2,FALSE),
  O175="Sergipe",((W175*0.15)+(X175*0.7))*VLOOKUP(P175,'MunicípiosEstados'!$AY$2:$AZ$76,2,FALSE),
  O175="Tocantins",((W175*0.15)+(X175*0.7))*VLOOKUP(P175,'MunicípiosEstados'!$BA$2:$BB$140,2,FALSE),
  O175="Exterior",((W175*0.15)+(X175*0.7))*VLOOKUP(P175,'MunicípiosEstados'!$BC$2:$BE$221,3,FALSE),TRUE,0
)
</f>
        <v>32949.325</v>
      </c>
      <c r="AL175" s="25">
        <f t="shared" si="3"/>
        <v>37967.325</v>
      </c>
    </row>
    <row r="176" ht="22.5" hidden="1" customHeight="1">
      <c r="A176" s="15">
        <f t="shared" si="1"/>
        <v>175</v>
      </c>
      <c r="B176" s="16">
        <v>45989.6256534375</v>
      </c>
      <c r="C176" s="17" t="s">
        <v>1139</v>
      </c>
      <c r="D176" s="27" t="s">
        <v>443</v>
      </c>
      <c r="E176" s="15" t="str">
        <f>VLOOKUP(G176,DiretoriaDepart.Coord.!$A$1:$C$72,2,FALSE)</f>
        <v>Gestão Institucional</v>
      </c>
      <c r="F176" s="15" t="str">
        <f>VLOOKUP(G176,DiretoriaDepart.Coord.!$A$1:$C$72,3,FALSE)</f>
        <v>Administração</v>
      </c>
      <c r="G176" s="17" t="s">
        <v>1140</v>
      </c>
      <c r="H176" s="15"/>
      <c r="I176" s="17" t="s">
        <v>1198</v>
      </c>
      <c r="J176" s="17" t="s">
        <v>719</v>
      </c>
      <c r="K176" s="17">
        <v>7.0</v>
      </c>
      <c r="L176" s="15"/>
      <c r="M176" s="17" t="s">
        <v>1199</v>
      </c>
      <c r="N176" s="17">
        <v>1.0</v>
      </c>
      <c r="O176" s="17" t="s">
        <v>714</v>
      </c>
      <c r="P176" s="17" t="s">
        <v>237</v>
      </c>
      <c r="Q176" s="20">
        <v>45755.333333333336</v>
      </c>
      <c r="R176" s="20">
        <v>45755.708333333336</v>
      </c>
      <c r="S176" s="17" t="s">
        <v>451</v>
      </c>
      <c r="T176" s="17" t="s">
        <v>452</v>
      </c>
      <c r="U176" s="21" t="s">
        <v>1200</v>
      </c>
      <c r="V176" s="21" t="s">
        <v>1201</v>
      </c>
      <c r="W176" s="22">
        <v>8.0</v>
      </c>
      <c r="X176" s="22">
        <v>2.0</v>
      </c>
      <c r="Y176" s="23">
        <v>0.0</v>
      </c>
      <c r="Z176" s="23">
        <v>0.0</v>
      </c>
      <c r="AA176" s="24">
        <v>0.0</v>
      </c>
      <c r="AB176" s="24">
        <v>200.0</v>
      </c>
      <c r="AC176" s="24">
        <v>200.0</v>
      </c>
      <c r="AD176" s="23">
        <v>0.0</v>
      </c>
      <c r="AE176" s="24">
        <v>0.0</v>
      </c>
      <c r="AF176" s="17" t="s">
        <v>464</v>
      </c>
      <c r="AG176" s="17">
        <v>150.0</v>
      </c>
      <c r="AH176" s="17" t="s">
        <v>464</v>
      </c>
      <c r="AI176" s="25">
        <f>IF(AF176="Sim",INT((R176-Q176+1))*K176*VLOOKUP(P176,'Tabelas Auxiliares'!$A$1:$C$400,3,FALSE),0)</f>
        <v>144.41</v>
      </c>
      <c r="AJ176" s="25">
        <f t="shared" si="2"/>
        <v>105</v>
      </c>
      <c r="AK176" s="25">
        <f>IFS(
  O176="Acre",((W176*0.15)+(X176*0.7))*VLOOKUP(P176,'MunicípiosEstados'!$A$2:$B$23,2,FALSE),
  O176="Alagoas",((W176*0.15)+(X176*0.7))*VLOOKUP(P176,'MunicípiosEstados'!$C$2:$D$103,2,FALSE),
  O176="Amapá",((W176*0.15)+(X176*0.7))*VLOOKUP(P176,'MunicípiosEstados'!$E$2:$F$17,2,FALSE),
  O176="Amazonas",((W176*0.15)+(X176*0.7))*VLOOKUP(P176,'MunicípiosEstados'!$G$2:$H$63,2,FALSE),
  O176="Bahia",((W176*0.15)+(X176*0.7))*VLOOKUP(P176,'MunicípiosEstados'!$I$2:$J$418,2,FALSE),
  O176="Ceará",((W176*0.15)+(X176*0.7))*VLOOKUP(P176,'MunicípiosEstados'!$K$2:$L$185,2,FALSE),
  O176="Distrito Federal",((W176*0.15)+(X176*0.7))*VLOOKUP(P176,'MunicípiosEstados'!$M$2:$N$2,2,FALSE),
  O176="Espírito Santo",((W176*0.15)+(X176*0.7))*VLOOKUP(P176,'MunicípiosEstados'!$O$2:$P$79,2,FALSE),
  O176="Goiás",((W176*0.15)+(X176*0.7))*VLOOKUP(P176,'MunicípiosEstados'!$Q$2:$R$247,2,FALSE),
  O176="Maranhão",((W176*0.15)+(X176*0.7))*VLOOKUP(P176,'MunicípiosEstados'!$S$2:$T$218,2,FALSE),
  O176="Mato Grosso",((W176*0.15)+(X176*0.7))*VLOOKUP(P176,'MunicípiosEstados'!$U$2:$V$143,2,FALSE),
  O176="Mato Grosso do Sul",((W176*0.15)+(X176*0.7))*VLOOKUP(P176,'MunicípiosEstados'!$W$2:$X$80,2,FALSE),
  O176="Minas Gerais",((W176*0.15)+(X176*0.7))*VLOOKUP(P176,'MunicípiosEstados'!$Y$2:$Z$854,2,FALSE),
  O176="Pará",((W176*0.15)+(X176*0.7))*VLOOKUP(P176,'MunicípiosEstados'!$AA$2:$AB$145,2,FALSE),
  O176="Paraíba",((W176*0.15)+(X176*0.7))*VLOOKUP(P176,'MunicípiosEstados'!$AC$2:$AD$224,2,FALSE),
  O176="Paraná",((W176*0.15)+(X176*0.7))*VLOOKUP(P176,'MunicípiosEstados'!$AE$2:$AF$400,2,FALSE),
  O176="Pernambuco",((W176*0.15)+(X176*0.7))*VLOOKUP(P176,'MunicípiosEstados'!$AG$2:$AH$186,2,FALSE),
  O176="Piauí",((W176*0.15)+(X176*0.7))*VLOOKUP(P176,'MunicípiosEstados'!$AI$2:$AJ$225,2,FALSE),
  O176="Rio Grande do Norte",((W176*0.15)+(X176*0.7))*VLOOKUP(P176,'MunicípiosEstados'!$AK$2:$AL$168,2,FALSE),
  O176="Rio Grande do Sul",((W176*0.15)+(X176*0.7))*VLOOKUP(P176,'MunicípiosEstados'!$AM$2:$AN$498,2,FALSE),
  O176="Rio de Janeiro",((W176*0.15)+(X176*0.7))*VLOOKUP(P176,'MunicípiosEstados'!$AO$2:$AP$93,2,FALSE),
  O176="Rondônia",((W176*0.15)+(X176*0.7))*VLOOKUP(P176,'MunicípiosEstados'!$AQ$2:$AR$53,2,FALSE),
  O176="Roraima",((W176*0.15)+(X176*0.7))*VLOOKUP(P176,'MunicípiosEstados'!$AS$2:$AT$16,2,FALSE),
  O176="Santa Catarina",((W176*0.15)+(X176*0.7))*VLOOKUP(P176,'MunicípiosEstados'!$AU$2:$AV$296,2,FALSE),
  O176="São Paulo",((W176*0.15)+(X176*0.7))*VLOOKUP(P176,'MunicípiosEstados'!$AW$2:$AX$646,2,FALSE),
  O176="Sergipe",((W176*0.15)+(X176*0.7))*VLOOKUP(P176,'MunicípiosEstados'!$AY$2:$AZ$76,2,FALSE),
  O176="Tocantins",((W176*0.15)+(X176*0.7))*VLOOKUP(P176,'MunicípiosEstados'!$BA$2:$BB$140,2,FALSE),
  O176="Exterior",((W176*0.15)+(X176*0.7))*VLOOKUP(P176,'MunicípiosEstados'!$BC$2:$BE$221,3,FALSE),TRUE,0
)
</f>
        <v>755.43</v>
      </c>
      <c r="AL176" s="25">
        <f t="shared" si="3"/>
        <v>1404.84</v>
      </c>
    </row>
    <row r="177" ht="22.5" customHeight="1">
      <c r="A177" s="15">
        <f t="shared" si="1"/>
        <v>176</v>
      </c>
      <c r="B177" s="16">
        <v>45989.627659351856</v>
      </c>
      <c r="C177" s="17" t="s">
        <v>696</v>
      </c>
      <c r="D177" s="27" t="s">
        <v>443</v>
      </c>
      <c r="E177" s="15" t="str">
        <f>VLOOKUP(G177,DiretoriaDepart.Coord.!$A$1:$C$72,2,FALSE)</f>
        <v>Extensão Rural</v>
      </c>
      <c r="F177" s="15" t="str">
        <f>VLOOKUP(G177,DiretoriaDepart.Coord.!$A$1:$C$72,3,FALSE)</f>
        <v>Projetos e Cadeias Produtivas</v>
      </c>
      <c r="G177" s="17" t="s">
        <v>697</v>
      </c>
      <c r="H177" s="15"/>
      <c r="I177" s="17" t="s">
        <v>1202</v>
      </c>
      <c r="J177" s="17" t="s">
        <v>728</v>
      </c>
      <c r="K177" s="17">
        <v>30.0</v>
      </c>
      <c r="L177" s="15"/>
      <c r="M177" s="17" t="s">
        <v>1203</v>
      </c>
      <c r="N177" s="17">
        <v>10.0</v>
      </c>
      <c r="O177" s="17" t="s">
        <v>714</v>
      </c>
      <c r="P177" s="17" t="s">
        <v>88</v>
      </c>
      <c r="Q177" s="20">
        <v>45817.354166666664</v>
      </c>
      <c r="R177" s="20">
        <v>45819.708333333336</v>
      </c>
      <c r="S177" s="17" t="s">
        <v>451</v>
      </c>
      <c r="T177" s="17" t="s">
        <v>452</v>
      </c>
      <c r="U177" s="21" t="s">
        <v>1204</v>
      </c>
      <c r="V177" s="21" t="s">
        <v>1205</v>
      </c>
      <c r="W177" s="22">
        <v>120.0</v>
      </c>
      <c r="X177" s="22">
        <v>90.0</v>
      </c>
      <c r="Y177" s="23">
        <v>0.0</v>
      </c>
      <c r="Z177" s="23">
        <v>0.0</v>
      </c>
      <c r="AA177" s="24">
        <v>0.0</v>
      </c>
      <c r="AB177" s="24">
        <v>0.0</v>
      </c>
      <c r="AC177" s="24">
        <v>0.0</v>
      </c>
      <c r="AD177" s="23">
        <v>0.0</v>
      </c>
      <c r="AE177" s="24">
        <v>0.0</v>
      </c>
      <c r="AF177" s="17" t="s">
        <v>464</v>
      </c>
      <c r="AG177" s="17">
        <v>6000.0</v>
      </c>
      <c r="AH177" s="17" t="s">
        <v>464</v>
      </c>
      <c r="AI177" s="25">
        <f>IF(AF177="Sim",INT((R177-Q177+1))*K177*VLOOKUP(P177,'Tabelas Auxiliares'!$A$1:$C$400,3,FALSE),0)</f>
        <v>1942.2</v>
      </c>
      <c r="AJ177" s="25">
        <f t="shared" si="2"/>
        <v>4200</v>
      </c>
      <c r="AK177" s="25">
        <f>IFS(
  O177="Acre",((W177*0.15)+(X177*0.7))*VLOOKUP(P177,'MunicípiosEstados'!$A$2:$B$23,2,FALSE),
  O177="Alagoas",((W177*0.15)+(X177*0.7))*VLOOKUP(P177,'MunicípiosEstados'!$C$2:$D$103,2,FALSE),
  O177="Amapá",((W177*0.15)+(X177*0.7))*VLOOKUP(P177,'MunicípiosEstados'!$E$2:$F$17,2,FALSE),
  O177="Amazonas",((W177*0.15)+(X177*0.7))*VLOOKUP(P177,'MunicípiosEstados'!$G$2:$H$63,2,FALSE),
  O177="Bahia",((W177*0.15)+(X177*0.7))*VLOOKUP(P177,'MunicípiosEstados'!$I$2:$J$418,2,FALSE),
  O177="Ceará",((W177*0.15)+(X177*0.7))*VLOOKUP(P177,'MunicípiosEstados'!$K$2:$L$185,2,FALSE),
  O177="Distrito Federal",((W177*0.15)+(X177*0.7))*VLOOKUP(P177,'MunicípiosEstados'!$M$2:$N$2,2,FALSE),
  O177="Espírito Santo",((W177*0.15)+(X177*0.7))*VLOOKUP(P177,'MunicípiosEstados'!$O$2:$P$79,2,FALSE),
  O177="Goiás",((W177*0.15)+(X177*0.7))*VLOOKUP(P177,'MunicípiosEstados'!$Q$2:$R$247,2,FALSE),
  O177="Maranhão",((W177*0.15)+(X177*0.7))*VLOOKUP(P177,'MunicípiosEstados'!$S$2:$T$218,2,FALSE),
  O177="Mato Grosso",((W177*0.15)+(X177*0.7))*VLOOKUP(P177,'MunicípiosEstados'!$U$2:$V$143,2,FALSE),
  O177="Mato Grosso do Sul",((W177*0.15)+(X177*0.7))*VLOOKUP(P177,'MunicípiosEstados'!$W$2:$X$80,2,FALSE),
  O177="Minas Gerais",((W177*0.15)+(X177*0.7))*VLOOKUP(P177,'MunicípiosEstados'!$Y$2:$Z$854,2,FALSE),
  O177="Pará",((W177*0.15)+(X177*0.7))*VLOOKUP(P177,'MunicípiosEstados'!$AA$2:$AB$145,2,FALSE),
  O177="Paraíba",((W177*0.15)+(X177*0.7))*VLOOKUP(P177,'MunicípiosEstados'!$AC$2:$AD$224,2,FALSE),
  O177="Paraná",((W177*0.15)+(X177*0.7))*VLOOKUP(P177,'MunicípiosEstados'!$AE$2:$AF$400,2,FALSE),
  O177="Pernambuco",((W177*0.15)+(X177*0.7))*VLOOKUP(P177,'MunicípiosEstados'!$AG$2:$AH$186,2,FALSE),
  O177="Piauí",((W177*0.15)+(X177*0.7))*VLOOKUP(P177,'MunicípiosEstados'!$AI$2:$AJ$225,2,FALSE),
  O177="Rio Grande do Norte",((W177*0.15)+(X177*0.7))*VLOOKUP(P177,'MunicípiosEstados'!$AK$2:$AL$168,2,FALSE),
  O177="Rio Grande do Sul",((W177*0.15)+(X177*0.7))*VLOOKUP(P177,'MunicípiosEstados'!$AM$2:$AN$498,2,FALSE),
  O177="Rio de Janeiro",((W177*0.15)+(X177*0.7))*VLOOKUP(P177,'MunicípiosEstados'!$AO$2:$AP$93,2,FALSE),
  O177="Rondônia",((W177*0.15)+(X177*0.7))*VLOOKUP(P177,'MunicípiosEstados'!$AQ$2:$AR$53,2,FALSE),
  O177="Roraima",((W177*0.15)+(X177*0.7))*VLOOKUP(P177,'MunicípiosEstados'!$AS$2:$AT$16,2,FALSE),
  O177="Santa Catarina",((W177*0.15)+(X177*0.7))*VLOOKUP(P177,'MunicípiosEstados'!$AU$2:$AV$296,2,FALSE),
  O177="São Paulo",((W177*0.15)+(X177*0.7))*VLOOKUP(P177,'MunicípiosEstados'!$AW$2:$AX$646,2,FALSE),
  O177="Sergipe",((W177*0.15)+(X177*0.7))*VLOOKUP(P177,'MunicípiosEstados'!$AY$2:$AZ$76,2,FALSE),
  O177="Tocantins",((W177*0.15)+(X177*0.7))*VLOOKUP(P177,'MunicípiosEstados'!$BA$2:$BB$140,2,FALSE),
  O177="Exterior",((W177*0.15)+(X177*0.7))*VLOOKUP(P177,'MunicípiosEstados'!$BC$2:$BE$221,3,FALSE),TRUE,0
)
</f>
        <v>23534.55</v>
      </c>
      <c r="AL177" s="25">
        <f t="shared" si="3"/>
        <v>29676.75</v>
      </c>
    </row>
    <row r="178" ht="22.5" hidden="1" customHeight="1">
      <c r="A178" s="15">
        <f t="shared" si="1"/>
        <v>177</v>
      </c>
      <c r="B178" s="16">
        <v>45989.63458755787</v>
      </c>
      <c r="C178" s="17" t="s">
        <v>1139</v>
      </c>
      <c r="D178" s="27" t="s">
        <v>443</v>
      </c>
      <c r="E178" s="15" t="str">
        <f>VLOOKUP(G178,DiretoriaDepart.Coord.!$A$1:$C$72,2,FALSE)</f>
        <v>Gestão Institucional</v>
      </c>
      <c r="F178" s="15" t="str">
        <f>VLOOKUP(G178,DiretoriaDepart.Coord.!$A$1:$C$72,3,FALSE)</f>
        <v>Finanças</v>
      </c>
      <c r="G178" s="17" t="s">
        <v>1206</v>
      </c>
      <c r="H178" s="15"/>
      <c r="I178" s="17" t="s">
        <v>1207</v>
      </c>
      <c r="J178" s="17" t="s">
        <v>719</v>
      </c>
      <c r="K178" s="17">
        <v>8.0</v>
      </c>
      <c r="L178" s="15"/>
      <c r="M178" s="17" t="s">
        <v>1208</v>
      </c>
      <c r="N178" s="17">
        <v>1.0</v>
      </c>
      <c r="O178" s="17" t="s">
        <v>714</v>
      </c>
      <c r="P178" s="17" t="s">
        <v>28</v>
      </c>
      <c r="Q178" s="20">
        <v>45776.333333333336</v>
      </c>
      <c r="R178" s="20">
        <v>45777.708333333336</v>
      </c>
      <c r="S178" s="17" t="s">
        <v>451</v>
      </c>
      <c r="T178" s="17" t="s">
        <v>452</v>
      </c>
      <c r="U178" s="21" t="s">
        <v>1209</v>
      </c>
      <c r="V178" s="21" t="s">
        <v>1210</v>
      </c>
      <c r="W178" s="22">
        <v>12.0</v>
      </c>
      <c r="X178" s="22">
        <v>4.0</v>
      </c>
      <c r="Y178" s="23">
        <v>0.0</v>
      </c>
      <c r="Z178" s="23">
        <v>0.0</v>
      </c>
      <c r="AA178" s="24">
        <v>0.0</v>
      </c>
      <c r="AB178" s="24">
        <v>400.0</v>
      </c>
      <c r="AC178" s="24">
        <v>300.0</v>
      </c>
      <c r="AD178" s="23">
        <v>0.0</v>
      </c>
      <c r="AE178" s="24">
        <v>0.0</v>
      </c>
      <c r="AF178" s="17" t="s">
        <v>464</v>
      </c>
      <c r="AG178" s="17">
        <v>178.0</v>
      </c>
      <c r="AH178" s="17" t="s">
        <v>464</v>
      </c>
      <c r="AI178" s="25">
        <f>IF(AF178="Sim",INT((R178-Q178+1))*K178*VLOOKUP(P178,'Tabelas Auxiliares'!$A$1:$C$400,3,FALSE),0)</f>
        <v>330.08</v>
      </c>
      <c r="AJ178" s="25">
        <f t="shared" si="2"/>
        <v>124.6</v>
      </c>
      <c r="AK178" s="25">
        <f>IFS(
  O178="Acre",((W178*0.15)+(X178*0.7))*VLOOKUP(P178,'MunicípiosEstados'!$A$2:$B$23,2,FALSE),
  O178="Alagoas",((W178*0.15)+(X178*0.7))*VLOOKUP(P178,'MunicípiosEstados'!$C$2:$D$103,2,FALSE),
  O178="Amapá",((W178*0.15)+(X178*0.7))*VLOOKUP(P178,'MunicípiosEstados'!$E$2:$F$17,2,FALSE),
  O178="Amazonas",((W178*0.15)+(X178*0.7))*VLOOKUP(P178,'MunicípiosEstados'!$G$2:$H$63,2,FALSE),
  O178="Bahia",((W178*0.15)+(X178*0.7))*VLOOKUP(P178,'MunicípiosEstados'!$I$2:$J$418,2,FALSE),
  O178="Ceará",((W178*0.15)+(X178*0.7))*VLOOKUP(P178,'MunicípiosEstados'!$K$2:$L$185,2,FALSE),
  O178="Distrito Federal",((W178*0.15)+(X178*0.7))*VLOOKUP(P178,'MunicípiosEstados'!$M$2:$N$2,2,FALSE),
  O178="Espírito Santo",((W178*0.15)+(X178*0.7))*VLOOKUP(P178,'MunicípiosEstados'!$O$2:$P$79,2,FALSE),
  O178="Goiás",((W178*0.15)+(X178*0.7))*VLOOKUP(P178,'MunicípiosEstados'!$Q$2:$R$247,2,FALSE),
  O178="Maranhão",((W178*0.15)+(X178*0.7))*VLOOKUP(P178,'MunicípiosEstados'!$S$2:$T$218,2,FALSE),
  O178="Mato Grosso",((W178*0.15)+(X178*0.7))*VLOOKUP(P178,'MunicípiosEstados'!$U$2:$V$143,2,FALSE),
  O178="Mato Grosso do Sul",((W178*0.15)+(X178*0.7))*VLOOKUP(P178,'MunicípiosEstados'!$W$2:$X$80,2,FALSE),
  O178="Minas Gerais",((W178*0.15)+(X178*0.7))*VLOOKUP(P178,'MunicípiosEstados'!$Y$2:$Z$854,2,FALSE),
  O178="Pará",((W178*0.15)+(X178*0.7))*VLOOKUP(P178,'MunicípiosEstados'!$AA$2:$AB$145,2,FALSE),
  O178="Paraíba",((W178*0.15)+(X178*0.7))*VLOOKUP(P178,'MunicípiosEstados'!$AC$2:$AD$224,2,FALSE),
  O178="Paraná",((W178*0.15)+(X178*0.7))*VLOOKUP(P178,'MunicípiosEstados'!$AE$2:$AF$400,2,FALSE),
  O178="Pernambuco",((W178*0.15)+(X178*0.7))*VLOOKUP(P178,'MunicípiosEstados'!$AG$2:$AH$186,2,FALSE),
  O178="Piauí",((W178*0.15)+(X178*0.7))*VLOOKUP(P178,'MunicípiosEstados'!$AI$2:$AJ$225,2,FALSE),
  O178="Rio Grande do Norte",((W178*0.15)+(X178*0.7))*VLOOKUP(P178,'MunicípiosEstados'!$AK$2:$AL$168,2,FALSE),
  O178="Rio Grande do Sul",((W178*0.15)+(X178*0.7))*VLOOKUP(P178,'MunicípiosEstados'!$AM$2:$AN$498,2,FALSE),
  O178="Rio de Janeiro",((W178*0.15)+(X178*0.7))*VLOOKUP(P178,'MunicípiosEstados'!$AO$2:$AP$93,2,FALSE),
  O178="Rondônia",((W178*0.15)+(X178*0.7))*VLOOKUP(P178,'MunicípiosEstados'!$AQ$2:$AR$53,2,FALSE),
  O178="Roraima",((W178*0.15)+(X178*0.7))*VLOOKUP(P178,'MunicípiosEstados'!$AS$2:$AT$16,2,FALSE),
  O178="Santa Catarina",((W178*0.15)+(X178*0.7))*VLOOKUP(P178,'MunicípiosEstados'!$AU$2:$AV$296,2,FALSE),
  O178="São Paulo",((W178*0.15)+(X178*0.7))*VLOOKUP(P178,'MunicípiosEstados'!$AW$2:$AX$646,2,FALSE),
  O178="Sergipe",((W178*0.15)+(X178*0.7))*VLOOKUP(P178,'MunicípiosEstados'!$AY$2:$AZ$76,2,FALSE),
  O178="Tocantins",((W178*0.15)+(X178*0.7))*VLOOKUP(P178,'MunicípiosEstados'!$BA$2:$BB$140,2,FALSE),
  O178="Exterior",((W178*0.15)+(X178*0.7))*VLOOKUP(P178,'MunicípiosEstados'!$BC$2:$BE$221,3,FALSE),TRUE,0
)
</f>
        <v>1336.53</v>
      </c>
      <c r="AL178" s="25">
        <f t="shared" si="3"/>
        <v>2491.21</v>
      </c>
    </row>
    <row r="179" ht="22.5" customHeight="1">
      <c r="A179" s="15">
        <f t="shared" si="1"/>
        <v>178</v>
      </c>
      <c r="B179" s="16">
        <v>45989.64466063658</v>
      </c>
      <c r="C179" s="17" t="s">
        <v>696</v>
      </c>
      <c r="D179" s="27" t="s">
        <v>443</v>
      </c>
      <c r="E179" s="15" t="str">
        <f>VLOOKUP(G179,DiretoriaDepart.Coord.!$A$1:$C$72,2,FALSE)</f>
        <v>Extensão Rural</v>
      </c>
      <c r="F179" s="15" t="str">
        <f>VLOOKUP(G179,DiretoriaDepart.Coord.!$A$1:$C$72,3,FALSE)</f>
        <v>Projetos e Cadeias Produtivas</v>
      </c>
      <c r="G179" s="17" t="s">
        <v>697</v>
      </c>
      <c r="H179" s="15"/>
      <c r="I179" s="17" t="s">
        <v>1211</v>
      </c>
      <c r="J179" s="17" t="s">
        <v>728</v>
      </c>
      <c r="K179" s="17">
        <v>30.0</v>
      </c>
      <c r="L179" s="15"/>
      <c r="M179" s="17" t="s">
        <v>925</v>
      </c>
      <c r="N179" s="17">
        <v>10.0</v>
      </c>
      <c r="O179" s="17" t="s">
        <v>714</v>
      </c>
      <c r="P179" s="17" t="s">
        <v>1212</v>
      </c>
      <c r="Q179" s="20">
        <v>45894.354166666664</v>
      </c>
      <c r="R179" s="20">
        <v>45896.708333333336</v>
      </c>
      <c r="S179" s="17" t="s">
        <v>451</v>
      </c>
      <c r="T179" s="17" t="s">
        <v>452</v>
      </c>
      <c r="U179" s="21" t="s">
        <v>1213</v>
      </c>
      <c r="V179" s="21" t="s">
        <v>1214</v>
      </c>
      <c r="W179" s="22">
        <v>120.0</v>
      </c>
      <c r="X179" s="22">
        <v>0.0</v>
      </c>
      <c r="Y179" s="23">
        <v>0.0</v>
      </c>
      <c r="Z179" s="23">
        <v>0.0</v>
      </c>
      <c r="AA179" s="24">
        <v>0.0</v>
      </c>
      <c r="AB179" s="24">
        <v>0.0</v>
      </c>
      <c r="AC179" s="24">
        <v>0.0</v>
      </c>
      <c r="AD179" s="23">
        <v>0.0</v>
      </c>
      <c r="AE179" s="24">
        <v>0.0</v>
      </c>
      <c r="AF179" s="17" t="s">
        <v>464</v>
      </c>
      <c r="AG179" s="17">
        <v>6000.0</v>
      </c>
      <c r="AH179" s="17" t="s">
        <v>464</v>
      </c>
      <c r="AI179" s="25">
        <f>IF(AF179="Sim",INT((R179-Q179+1))*K179*VLOOKUP(P179,'Tabelas Auxiliares'!$A$1:$C$400,3,FALSE),0)</f>
        <v>2037.6</v>
      </c>
      <c r="AJ179" s="25">
        <f t="shared" si="2"/>
        <v>4200</v>
      </c>
      <c r="AK179" s="25">
        <f>IFS(
  O179="Acre",((W179*0.15)+(X179*0.7))*VLOOKUP(P179,'MunicípiosEstados'!$A$2:$B$23,2,FALSE),
  O179="Alagoas",((W179*0.15)+(X179*0.7))*VLOOKUP(P179,'MunicípiosEstados'!$C$2:$D$103,2,FALSE),
  O179="Amapá",((W179*0.15)+(X179*0.7))*VLOOKUP(P179,'MunicípiosEstados'!$E$2:$F$17,2,FALSE),
  O179="Amazonas",((W179*0.15)+(X179*0.7))*VLOOKUP(P179,'MunicípiosEstados'!$G$2:$H$63,2,FALSE),
  O179="Bahia",((W179*0.15)+(X179*0.7))*VLOOKUP(P179,'MunicípiosEstados'!$I$2:$J$418,2,FALSE),
  O179="Ceará",((W179*0.15)+(X179*0.7))*VLOOKUP(P179,'MunicípiosEstados'!$K$2:$L$185,2,FALSE),
  O179="Distrito Federal",((W179*0.15)+(X179*0.7))*VLOOKUP(P179,'MunicípiosEstados'!$M$2:$N$2,2,FALSE),
  O179="Espírito Santo",((W179*0.15)+(X179*0.7))*VLOOKUP(P179,'MunicípiosEstados'!$O$2:$P$79,2,FALSE),
  O179="Goiás",((W179*0.15)+(X179*0.7))*VLOOKUP(P179,'MunicípiosEstados'!$Q$2:$R$247,2,FALSE),
  O179="Maranhão",((W179*0.15)+(X179*0.7))*VLOOKUP(P179,'MunicípiosEstados'!$S$2:$T$218,2,FALSE),
  O179="Mato Grosso",((W179*0.15)+(X179*0.7))*VLOOKUP(P179,'MunicípiosEstados'!$U$2:$V$143,2,FALSE),
  O179="Mato Grosso do Sul",((W179*0.15)+(X179*0.7))*VLOOKUP(P179,'MunicípiosEstados'!$W$2:$X$80,2,FALSE),
  O179="Minas Gerais",((W179*0.15)+(X179*0.7))*VLOOKUP(P179,'MunicípiosEstados'!$Y$2:$Z$854,2,FALSE),
  O179="Pará",((W179*0.15)+(X179*0.7))*VLOOKUP(P179,'MunicípiosEstados'!$AA$2:$AB$145,2,FALSE),
  O179="Paraíba",((W179*0.15)+(X179*0.7))*VLOOKUP(P179,'MunicípiosEstados'!$AC$2:$AD$224,2,FALSE),
  O179="Paraná",((W179*0.15)+(X179*0.7))*VLOOKUP(P179,'MunicípiosEstados'!$AE$2:$AF$400,2,FALSE),
  O179="Pernambuco",((W179*0.15)+(X179*0.7))*VLOOKUP(P179,'MunicípiosEstados'!$AG$2:$AH$186,2,FALSE),
  O179="Piauí",((W179*0.15)+(X179*0.7))*VLOOKUP(P179,'MunicípiosEstados'!$AI$2:$AJ$225,2,FALSE),
  O179="Rio Grande do Norte",((W179*0.15)+(X179*0.7))*VLOOKUP(P179,'MunicípiosEstados'!$AK$2:$AL$168,2,FALSE),
  O179="Rio Grande do Sul",((W179*0.15)+(X179*0.7))*VLOOKUP(P179,'MunicípiosEstados'!$AM$2:$AN$498,2,FALSE),
  O179="Rio de Janeiro",((W179*0.15)+(X179*0.7))*VLOOKUP(P179,'MunicípiosEstados'!$AO$2:$AP$93,2,FALSE),
  O179="Rondônia",((W179*0.15)+(X179*0.7))*VLOOKUP(P179,'MunicípiosEstados'!$AQ$2:$AR$53,2,FALSE),
  O179="Roraima",((W179*0.15)+(X179*0.7))*VLOOKUP(P179,'MunicípiosEstados'!$AS$2:$AT$16,2,FALSE),
  O179="Santa Catarina",((W179*0.15)+(X179*0.7))*VLOOKUP(P179,'MunicípiosEstados'!$AU$2:$AV$296,2,FALSE),
  O179="São Paulo",((W179*0.15)+(X179*0.7))*VLOOKUP(P179,'MunicípiosEstados'!$AW$2:$AX$646,2,FALSE),
  O179="Sergipe",((W179*0.15)+(X179*0.7))*VLOOKUP(P179,'MunicípiosEstados'!$AY$2:$AZ$76,2,FALSE),
  O179="Tocantins",((W179*0.15)+(X179*0.7))*VLOOKUP(P179,'MunicípiosEstados'!$BA$2:$BB$140,2,FALSE),
  O179="Exterior",((W179*0.15)+(X179*0.7))*VLOOKUP(P179,'MunicípiosEstados'!$BC$2:$BE$221,3,FALSE),TRUE,0
)
</f>
        <v>5229.9</v>
      </c>
      <c r="AL179" s="25">
        <f t="shared" si="3"/>
        <v>11467.5</v>
      </c>
    </row>
    <row r="180" ht="22.5" hidden="1" customHeight="1">
      <c r="A180" s="15">
        <f t="shared" si="1"/>
        <v>179</v>
      </c>
      <c r="B180" s="16">
        <v>45989.6447281713</v>
      </c>
      <c r="C180" s="17" t="s">
        <v>1139</v>
      </c>
      <c r="D180" s="27" t="s">
        <v>443</v>
      </c>
      <c r="E180" s="15" t="str">
        <f>VLOOKUP(G180,DiretoriaDepart.Coord.!$A$1:$C$72,2,FALSE)</f>
        <v>Gestão Institucional</v>
      </c>
      <c r="F180" s="15" t="str">
        <f>VLOOKUP(G180,DiretoriaDepart.Coord.!$A$1:$C$72,3,FALSE)</f>
        <v>Administração</v>
      </c>
      <c r="G180" s="17" t="s">
        <v>881</v>
      </c>
      <c r="H180" s="15"/>
      <c r="I180" s="17" t="s">
        <v>1215</v>
      </c>
      <c r="J180" s="17" t="s">
        <v>719</v>
      </c>
      <c r="K180" s="17">
        <v>10.0</v>
      </c>
      <c r="L180" s="15"/>
      <c r="M180" s="17" t="s">
        <v>763</v>
      </c>
      <c r="N180" s="17">
        <v>0.0</v>
      </c>
      <c r="O180" s="17" t="s">
        <v>714</v>
      </c>
      <c r="P180" s="17" t="s">
        <v>274</v>
      </c>
      <c r="Q180" s="20">
        <v>45790.333333333336</v>
      </c>
      <c r="R180" s="20">
        <v>45790.708333333336</v>
      </c>
      <c r="S180" s="17" t="s">
        <v>451</v>
      </c>
      <c r="T180" s="17" t="s">
        <v>452</v>
      </c>
      <c r="U180" s="21" t="s">
        <v>1216</v>
      </c>
      <c r="V180" s="21" t="s">
        <v>1217</v>
      </c>
      <c r="W180" s="22">
        <v>12.0</v>
      </c>
      <c r="X180" s="22">
        <v>3.0</v>
      </c>
      <c r="Y180" s="23">
        <v>0.0</v>
      </c>
      <c r="Z180" s="23">
        <v>0.0</v>
      </c>
      <c r="AA180" s="24">
        <v>0.0</v>
      </c>
      <c r="AB180" s="24">
        <v>0.0</v>
      </c>
      <c r="AC180" s="24">
        <v>0.0</v>
      </c>
      <c r="AD180" s="23">
        <v>0.0</v>
      </c>
      <c r="AE180" s="24">
        <v>0.0</v>
      </c>
      <c r="AF180" s="17" t="s">
        <v>464</v>
      </c>
      <c r="AG180" s="17">
        <v>214.0</v>
      </c>
      <c r="AH180" s="17" t="s">
        <v>464</v>
      </c>
      <c r="AI180" s="25">
        <f>IF(AF180="Sim",INT((R180-Q180+1))*K180*VLOOKUP(P180,'Tabelas Auxiliares'!$A$1:$C$400,3,FALSE),0)</f>
        <v>226.4</v>
      </c>
      <c r="AJ180" s="25">
        <f t="shared" si="2"/>
        <v>149.8</v>
      </c>
      <c r="AK180" s="25">
        <f>IFS(
  O180="Acre",((W180*0.15)+(X180*0.7))*VLOOKUP(P180,'MunicípiosEstados'!$A$2:$B$23,2,FALSE),
  O180="Alagoas",((W180*0.15)+(X180*0.7))*VLOOKUP(P180,'MunicípiosEstados'!$C$2:$D$103,2,FALSE),
  O180="Amapá",((W180*0.15)+(X180*0.7))*VLOOKUP(P180,'MunicípiosEstados'!$E$2:$F$17,2,FALSE),
  O180="Amazonas",((W180*0.15)+(X180*0.7))*VLOOKUP(P180,'MunicípiosEstados'!$G$2:$H$63,2,FALSE),
  O180="Bahia",((W180*0.15)+(X180*0.7))*VLOOKUP(P180,'MunicípiosEstados'!$I$2:$J$418,2,FALSE),
  O180="Ceará",((W180*0.15)+(X180*0.7))*VLOOKUP(P180,'MunicípiosEstados'!$K$2:$L$185,2,FALSE),
  O180="Distrito Federal",((W180*0.15)+(X180*0.7))*VLOOKUP(P180,'MunicípiosEstados'!$M$2:$N$2,2,FALSE),
  O180="Espírito Santo",((W180*0.15)+(X180*0.7))*VLOOKUP(P180,'MunicípiosEstados'!$O$2:$P$79,2,FALSE),
  O180="Goiás",((W180*0.15)+(X180*0.7))*VLOOKUP(P180,'MunicípiosEstados'!$Q$2:$R$247,2,FALSE),
  O180="Maranhão",((W180*0.15)+(X180*0.7))*VLOOKUP(P180,'MunicípiosEstados'!$S$2:$T$218,2,FALSE),
  O180="Mato Grosso",((W180*0.15)+(X180*0.7))*VLOOKUP(P180,'MunicípiosEstados'!$U$2:$V$143,2,FALSE),
  O180="Mato Grosso do Sul",((W180*0.15)+(X180*0.7))*VLOOKUP(P180,'MunicípiosEstados'!$W$2:$X$80,2,FALSE),
  O180="Minas Gerais",((W180*0.15)+(X180*0.7))*VLOOKUP(P180,'MunicípiosEstados'!$Y$2:$Z$854,2,FALSE),
  O180="Pará",((W180*0.15)+(X180*0.7))*VLOOKUP(P180,'MunicípiosEstados'!$AA$2:$AB$145,2,FALSE),
  O180="Paraíba",((W180*0.15)+(X180*0.7))*VLOOKUP(P180,'MunicípiosEstados'!$AC$2:$AD$224,2,FALSE),
  O180="Paraná",((W180*0.15)+(X180*0.7))*VLOOKUP(P180,'MunicípiosEstados'!$AE$2:$AF$400,2,FALSE),
  O180="Pernambuco",((W180*0.15)+(X180*0.7))*VLOOKUP(P180,'MunicípiosEstados'!$AG$2:$AH$186,2,FALSE),
  O180="Piauí",((W180*0.15)+(X180*0.7))*VLOOKUP(P180,'MunicípiosEstados'!$AI$2:$AJ$225,2,FALSE),
  O180="Rio Grande do Norte",((W180*0.15)+(X180*0.7))*VLOOKUP(P180,'MunicípiosEstados'!$AK$2:$AL$168,2,FALSE),
  O180="Rio Grande do Sul",((W180*0.15)+(X180*0.7))*VLOOKUP(P180,'MunicípiosEstados'!$AM$2:$AN$498,2,FALSE),
  O180="Rio de Janeiro",((W180*0.15)+(X180*0.7))*VLOOKUP(P180,'MunicípiosEstados'!$AO$2:$AP$93,2,FALSE),
  O180="Rondônia",((W180*0.15)+(X180*0.7))*VLOOKUP(P180,'MunicípiosEstados'!$AQ$2:$AR$53,2,FALSE),
  O180="Roraima",((W180*0.15)+(X180*0.7))*VLOOKUP(P180,'MunicípiosEstados'!$AS$2:$AT$16,2,FALSE),
  O180="Santa Catarina",((W180*0.15)+(X180*0.7))*VLOOKUP(P180,'MunicípiosEstados'!$AU$2:$AV$296,2,FALSE),
  O180="São Paulo",((W180*0.15)+(X180*0.7))*VLOOKUP(P180,'MunicípiosEstados'!$AW$2:$AX$646,2,FALSE),
  O180="Sergipe",((W180*0.15)+(X180*0.7))*VLOOKUP(P180,'MunicípiosEstados'!$AY$2:$AZ$76,2,FALSE),
  O180="Tocantins",((W180*0.15)+(X180*0.7))*VLOOKUP(P180,'MunicípiosEstados'!$BA$2:$BB$140,2,FALSE),
  O180="Exterior",((W180*0.15)+(X180*0.7))*VLOOKUP(P180,'MunicípiosEstados'!$BC$2:$BE$221,3,FALSE),TRUE,0
)
</f>
        <v>1133.145</v>
      </c>
      <c r="AL180" s="25">
        <f t="shared" si="3"/>
        <v>1509.345</v>
      </c>
    </row>
    <row r="181" ht="22.5" hidden="1" customHeight="1">
      <c r="A181" s="15">
        <f t="shared" si="1"/>
        <v>180</v>
      </c>
      <c r="B181" s="16">
        <v>45989.6647137963</v>
      </c>
      <c r="C181" s="17" t="s">
        <v>1139</v>
      </c>
      <c r="D181" s="27" t="s">
        <v>443</v>
      </c>
      <c r="E181" s="15" t="str">
        <f>VLOOKUP(G181,DiretoriaDepart.Coord.!$A$1:$C$72,2,FALSE)</f>
        <v>Gestão Institucional</v>
      </c>
      <c r="F181" s="15" t="str">
        <f>VLOOKUP(G181,DiretoriaDepart.Coord.!$A$1:$C$72,3,FALSE)</f>
        <v>Administração</v>
      </c>
      <c r="G181" s="17" t="s">
        <v>881</v>
      </c>
      <c r="H181" s="15"/>
      <c r="I181" s="17" t="s">
        <v>1218</v>
      </c>
      <c r="J181" s="17" t="s">
        <v>728</v>
      </c>
      <c r="K181" s="17">
        <v>10.0</v>
      </c>
      <c r="L181" s="15"/>
      <c r="M181" s="17" t="s">
        <v>1199</v>
      </c>
      <c r="N181" s="17">
        <v>1.0</v>
      </c>
      <c r="O181" s="17" t="s">
        <v>714</v>
      </c>
      <c r="P181" s="17" t="s">
        <v>6</v>
      </c>
      <c r="Q181" s="20">
        <v>45805.333333333336</v>
      </c>
      <c r="R181" s="20">
        <v>45805.708333333336</v>
      </c>
      <c r="S181" s="17" t="s">
        <v>451</v>
      </c>
      <c r="T181" s="17" t="s">
        <v>452</v>
      </c>
      <c r="U181" s="21" t="s">
        <v>1219</v>
      </c>
      <c r="V181" s="21" t="s">
        <v>1220</v>
      </c>
      <c r="W181" s="22">
        <v>11.0</v>
      </c>
      <c r="X181" s="22">
        <v>2.0</v>
      </c>
      <c r="Y181" s="23">
        <v>0.0</v>
      </c>
      <c r="Z181" s="23">
        <v>0.0</v>
      </c>
      <c r="AA181" s="24">
        <v>0.0</v>
      </c>
      <c r="AB181" s="24">
        <v>0.0</v>
      </c>
      <c r="AC181" s="24">
        <v>0.0</v>
      </c>
      <c r="AD181" s="23">
        <v>0.0</v>
      </c>
      <c r="AE181" s="24">
        <v>0.0</v>
      </c>
      <c r="AF181" s="17" t="s">
        <v>464</v>
      </c>
      <c r="AG181" s="17">
        <v>382.0</v>
      </c>
      <c r="AH181" s="17" t="s">
        <v>464</v>
      </c>
      <c r="AI181" s="25">
        <f>IF(AF181="Sim",INT((R181-Q181+1))*K181*VLOOKUP(P181,'Tabelas Auxiliares'!$A$1:$C$400,3,FALSE),0)</f>
        <v>226.4</v>
      </c>
      <c r="AJ181" s="25">
        <f t="shared" si="2"/>
        <v>267.4</v>
      </c>
      <c r="AK181" s="25">
        <f>IFS(
  O181="Acre",((W181*0.15)+(X181*0.7))*VLOOKUP(P181,'MunicípiosEstados'!$A$2:$B$23,2,FALSE),
  O181="Alagoas",((W181*0.15)+(X181*0.7))*VLOOKUP(P181,'MunicípiosEstados'!$C$2:$D$103,2,FALSE),
  O181="Amapá",((W181*0.15)+(X181*0.7))*VLOOKUP(P181,'MunicípiosEstados'!$E$2:$F$17,2,FALSE),
  O181="Amazonas",((W181*0.15)+(X181*0.7))*VLOOKUP(P181,'MunicípiosEstados'!$G$2:$H$63,2,FALSE),
  O181="Bahia",((W181*0.15)+(X181*0.7))*VLOOKUP(P181,'MunicípiosEstados'!$I$2:$J$418,2,FALSE),
  O181="Ceará",((W181*0.15)+(X181*0.7))*VLOOKUP(P181,'MunicípiosEstados'!$K$2:$L$185,2,FALSE),
  O181="Distrito Federal",((W181*0.15)+(X181*0.7))*VLOOKUP(P181,'MunicípiosEstados'!$M$2:$N$2,2,FALSE),
  O181="Espírito Santo",((W181*0.15)+(X181*0.7))*VLOOKUP(P181,'MunicípiosEstados'!$O$2:$P$79,2,FALSE),
  O181="Goiás",((W181*0.15)+(X181*0.7))*VLOOKUP(P181,'MunicípiosEstados'!$Q$2:$R$247,2,FALSE),
  O181="Maranhão",((W181*0.15)+(X181*0.7))*VLOOKUP(P181,'MunicípiosEstados'!$S$2:$T$218,2,FALSE),
  O181="Mato Grosso",((W181*0.15)+(X181*0.7))*VLOOKUP(P181,'MunicípiosEstados'!$U$2:$V$143,2,FALSE),
  O181="Mato Grosso do Sul",((W181*0.15)+(X181*0.7))*VLOOKUP(P181,'MunicípiosEstados'!$W$2:$X$80,2,FALSE),
  O181="Minas Gerais",((W181*0.15)+(X181*0.7))*VLOOKUP(P181,'MunicípiosEstados'!$Y$2:$Z$854,2,FALSE),
  O181="Pará",((W181*0.15)+(X181*0.7))*VLOOKUP(P181,'MunicípiosEstados'!$AA$2:$AB$145,2,FALSE),
  O181="Paraíba",((W181*0.15)+(X181*0.7))*VLOOKUP(P181,'MunicípiosEstados'!$AC$2:$AD$224,2,FALSE),
  O181="Paraná",((W181*0.15)+(X181*0.7))*VLOOKUP(P181,'MunicípiosEstados'!$AE$2:$AF$400,2,FALSE),
  O181="Pernambuco",((W181*0.15)+(X181*0.7))*VLOOKUP(P181,'MunicípiosEstados'!$AG$2:$AH$186,2,FALSE),
  O181="Piauí",((W181*0.15)+(X181*0.7))*VLOOKUP(P181,'MunicípiosEstados'!$AI$2:$AJ$225,2,FALSE),
  O181="Rio Grande do Norte",((W181*0.15)+(X181*0.7))*VLOOKUP(P181,'MunicípiosEstados'!$AK$2:$AL$168,2,FALSE),
  O181="Rio Grande do Sul",((W181*0.15)+(X181*0.7))*VLOOKUP(P181,'MunicípiosEstados'!$AM$2:$AN$498,2,FALSE),
  O181="Rio de Janeiro",((W181*0.15)+(X181*0.7))*VLOOKUP(P181,'MunicípiosEstados'!$AO$2:$AP$93,2,FALSE),
  O181="Rondônia",((W181*0.15)+(X181*0.7))*VLOOKUP(P181,'MunicípiosEstados'!$AQ$2:$AR$53,2,FALSE),
  O181="Roraima",((W181*0.15)+(X181*0.7))*VLOOKUP(P181,'MunicípiosEstados'!$AS$2:$AT$16,2,FALSE),
  O181="Santa Catarina",((W181*0.15)+(X181*0.7))*VLOOKUP(P181,'MunicípiosEstados'!$AU$2:$AV$296,2,FALSE),
  O181="São Paulo",((W181*0.15)+(X181*0.7))*VLOOKUP(P181,'MunicípiosEstados'!$AW$2:$AX$646,2,FALSE),
  O181="Sergipe",((W181*0.15)+(X181*0.7))*VLOOKUP(P181,'MunicípiosEstados'!$AY$2:$AZ$76,2,FALSE),
  O181="Tocantins",((W181*0.15)+(X181*0.7))*VLOOKUP(P181,'MunicípiosEstados'!$BA$2:$BB$140,2,FALSE),
  O181="Exterior",((W181*0.15)+(X181*0.7))*VLOOKUP(P181,'MunicípiosEstados'!$BC$2:$BE$221,3,FALSE),TRUE,0
)
</f>
        <v>1132.343</v>
      </c>
      <c r="AL181" s="25">
        <f t="shared" si="3"/>
        <v>1626.143</v>
      </c>
    </row>
    <row r="182" ht="22.5" hidden="1" customHeight="1">
      <c r="A182" s="15">
        <f t="shared" si="1"/>
        <v>181</v>
      </c>
      <c r="B182" s="16">
        <v>45989.672599247686</v>
      </c>
      <c r="C182" s="17" t="s">
        <v>1139</v>
      </c>
      <c r="D182" s="27" t="s">
        <v>443</v>
      </c>
      <c r="E182" s="15" t="str">
        <f>VLOOKUP(G182,DiretoriaDepart.Coord.!$A$1:$C$72,2,FALSE)</f>
        <v>Gestão Institucional</v>
      </c>
      <c r="F182" s="15" t="str">
        <f>VLOOKUP(G182,DiretoriaDepart.Coord.!$A$1:$C$72,3,FALSE)</f>
        <v>Administração</v>
      </c>
      <c r="G182" s="17" t="s">
        <v>881</v>
      </c>
      <c r="H182" s="15"/>
      <c r="I182" s="17" t="s">
        <v>1221</v>
      </c>
      <c r="J182" s="17" t="s">
        <v>728</v>
      </c>
      <c r="K182" s="17">
        <v>10.0</v>
      </c>
      <c r="L182" s="15"/>
      <c r="M182" s="17" t="s">
        <v>1199</v>
      </c>
      <c r="N182" s="17">
        <v>6.0</v>
      </c>
      <c r="O182" s="17" t="s">
        <v>714</v>
      </c>
      <c r="P182" s="17" t="s">
        <v>6</v>
      </c>
      <c r="Q182" s="20">
        <v>45806.333333333336</v>
      </c>
      <c r="R182" s="20">
        <v>45805.708333333336</v>
      </c>
      <c r="S182" s="17" t="s">
        <v>451</v>
      </c>
      <c r="T182" s="17" t="s">
        <v>452</v>
      </c>
      <c r="U182" s="21" t="s">
        <v>1222</v>
      </c>
      <c r="V182" s="21" t="s">
        <v>1223</v>
      </c>
      <c r="W182" s="22">
        <v>9.0</v>
      </c>
      <c r="X182" s="22">
        <v>3.0</v>
      </c>
      <c r="Y182" s="23">
        <v>0.0</v>
      </c>
      <c r="Z182" s="23">
        <v>0.0</v>
      </c>
      <c r="AA182" s="24">
        <v>0.0</v>
      </c>
      <c r="AB182" s="24">
        <v>0.0</v>
      </c>
      <c r="AC182" s="24">
        <v>0.0</v>
      </c>
      <c r="AD182" s="23">
        <v>0.0</v>
      </c>
      <c r="AE182" s="24">
        <v>0.0</v>
      </c>
      <c r="AF182" s="17" t="s">
        <v>464</v>
      </c>
      <c r="AG182" s="17">
        <v>240.0</v>
      </c>
      <c r="AH182" s="17" t="s">
        <v>464</v>
      </c>
      <c r="AI182" s="25">
        <f>IF(AF182="Sim",INT((R182-Q182+1))*K182*VLOOKUP(P182,'Tabelas Auxiliares'!$A$1:$C$400,3,FALSE),0)</f>
        <v>0</v>
      </c>
      <c r="AJ182" s="25">
        <f t="shared" si="2"/>
        <v>168</v>
      </c>
      <c r="AK182" s="25">
        <f>IFS(
  O182="Acre",((W182*0.15)+(X182*0.7))*VLOOKUP(P182,'MunicípiosEstados'!$A$2:$B$23,2,FALSE),
  O182="Alagoas",((W182*0.15)+(X182*0.7))*VLOOKUP(P182,'MunicípiosEstados'!$C$2:$D$103,2,FALSE),
  O182="Amapá",((W182*0.15)+(X182*0.7))*VLOOKUP(P182,'MunicípiosEstados'!$E$2:$F$17,2,FALSE),
  O182="Amazonas",((W182*0.15)+(X182*0.7))*VLOOKUP(P182,'MunicípiosEstados'!$G$2:$H$63,2,FALSE),
  O182="Bahia",((W182*0.15)+(X182*0.7))*VLOOKUP(P182,'MunicípiosEstados'!$I$2:$J$418,2,FALSE),
  O182="Ceará",((W182*0.15)+(X182*0.7))*VLOOKUP(P182,'MunicípiosEstados'!$K$2:$L$185,2,FALSE),
  O182="Distrito Federal",((W182*0.15)+(X182*0.7))*VLOOKUP(P182,'MunicípiosEstados'!$M$2:$N$2,2,FALSE),
  O182="Espírito Santo",((W182*0.15)+(X182*0.7))*VLOOKUP(P182,'MunicípiosEstados'!$O$2:$P$79,2,FALSE),
  O182="Goiás",((W182*0.15)+(X182*0.7))*VLOOKUP(P182,'MunicípiosEstados'!$Q$2:$R$247,2,FALSE),
  O182="Maranhão",((W182*0.15)+(X182*0.7))*VLOOKUP(P182,'MunicípiosEstados'!$S$2:$T$218,2,FALSE),
  O182="Mato Grosso",((W182*0.15)+(X182*0.7))*VLOOKUP(P182,'MunicípiosEstados'!$U$2:$V$143,2,FALSE),
  O182="Mato Grosso do Sul",((W182*0.15)+(X182*0.7))*VLOOKUP(P182,'MunicípiosEstados'!$W$2:$X$80,2,FALSE),
  O182="Minas Gerais",((W182*0.15)+(X182*0.7))*VLOOKUP(P182,'MunicípiosEstados'!$Y$2:$Z$854,2,FALSE),
  O182="Pará",((W182*0.15)+(X182*0.7))*VLOOKUP(P182,'MunicípiosEstados'!$AA$2:$AB$145,2,FALSE),
  O182="Paraíba",((W182*0.15)+(X182*0.7))*VLOOKUP(P182,'MunicípiosEstados'!$AC$2:$AD$224,2,FALSE),
  O182="Paraná",((W182*0.15)+(X182*0.7))*VLOOKUP(P182,'MunicípiosEstados'!$AE$2:$AF$400,2,FALSE),
  O182="Pernambuco",((W182*0.15)+(X182*0.7))*VLOOKUP(P182,'MunicípiosEstados'!$AG$2:$AH$186,2,FALSE),
  O182="Piauí",((W182*0.15)+(X182*0.7))*VLOOKUP(P182,'MunicípiosEstados'!$AI$2:$AJ$225,2,FALSE),
  O182="Rio Grande do Norte",((W182*0.15)+(X182*0.7))*VLOOKUP(P182,'MunicípiosEstados'!$AK$2:$AL$168,2,FALSE),
  O182="Rio Grande do Sul",((W182*0.15)+(X182*0.7))*VLOOKUP(P182,'MunicípiosEstados'!$AM$2:$AN$498,2,FALSE),
  O182="Rio de Janeiro",((W182*0.15)+(X182*0.7))*VLOOKUP(P182,'MunicípiosEstados'!$AO$2:$AP$93,2,FALSE),
  O182="Rondônia",((W182*0.15)+(X182*0.7))*VLOOKUP(P182,'MunicípiosEstados'!$AQ$2:$AR$53,2,FALSE),
  O182="Roraima",((W182*0.15)+(X182*0.7))*VLOOKUP(P182,'MunicípiosEstados'!$AS$2:$AT$16,2,FALSE),
  O182="Santa Catarina",((W182*0.15)+(X182*0.7))*VLOOKUP(P182,'MunicípiosEstados'!$AU$2:$AV$296,2,FALSE),
  O182="São Paulo",((W182*0.15)+(X182*0.7))*VLOOKUP(P182,'MunicípiosEstados'!$AW$2:$AX$646,2,FALSE),
  O182="Sergipe",((W182*0.15)+(X182*0.7))*VLOOKUP(P182,'MunicípiosEstados'!$AY$2:$AZ$76,2,FALSE),
  O182="Tocantins",((W182*0.15)+(X182*0.7))*VLOOKUP(P182,'MunicípiosEstados'!$BA$2:$BB$140,2,FALSE),
  O182="Exterior",((W182*0.15)+(X182*0.7))*VLOOKUP(P182,'MunicípiosEstados'!$BC$2:$BE$221,3,FALSE),TRUE,0
)
</f>
        <v>1280.847</v>
      </c>
      <c r="AL182" s="25">
        <f t="shared" si="3"/>
        <v>1448.847</v>
      </c>
    </row>
    <row r="183" ht="22.5" hidden="1" customHeight="1">
      <c r="A183" s="15">
        <f t="shared" si="1"/>
        <v>182</v>
      </c>
      <c r="B183" s="16">
        <v>45989.68027466435</v>
      </c>
      <c r="C183" s="17" t="s">
        <v>1041</v>
      </c>
      <c r="D183" s="27" t="s">
        <v>443</v>
      </c>
      <c r="E183" s="15" t="str">
        <f>VLOOKUP(G183,DiretoriaDepart.Coord.!$A$1:$C$72,2,FALSE)</f>
        <v>Pesquisa e Inovação</v>
      </c>
      <c r="F183" s="15" t="str">
        <f>VLOOKUP(G183,DiretoriaDepart.Coord.!$A$1:$C$72,3,FALSE)</f>
        <v>Inovação e Comunicação Científica</v>
      </c>
      <c r="G183" s="17" t="s">
        <v>477</v>
      </c>
      <c r="H183" s="15"/>
      <c r="I183" s="17" t="s">
        <v>1224</v>
      </c>
      <c r="J183" s="17" t="s">
        <v>728</v>
      </c>
      <c r="K183" s="17">
        <v>50.0</v>
      </c>
      <c r="L183" s="15"/>
      <c r="M183" s="17" t="s">
        <v>1199</v>
      </c>
      <c r="N183" s="17">
        <v>0.0</v>
      </c>
      <c r="O183" s="17" t="s">
        <v>714</v>
      </c>
      <c r="P183" s="17" t="s">
        <v>18</v>
      </c>
      <c r="Q183" s="20">
        <v>45718.333333333336</v>
      </c>
      <c r="R183" s="20">
        <v>45719.708333333336</v>
      </c>
      <c r="S183" s="17" t="s">
        <v>451</v>
      </c>
      <c r="T183" s="17" t="s">
        <v>747</v>
      </c>
      <c r="U183" s="21" t="s">
        <v>1225</v>
      </c>
      <c r="V183" s="21" t="s">
        <v>1226</v>
      </c>
      <c r="W183" s="22">
        <v>0.0</v>
      </c>
      <c r="X183" s="22">
        <v>0.0</v>
      </c>
      <c r="Y183" s="23">
        <v>0.0</v>
      </c>
      <c r="Z183" s="23">
        <v>0.0</v>
      </c>
      <c r="AA183" s="24">
        <v>0.0</v>
      </c>
      <c r="AB183" s="24">
        <v>0.0</v>
      </c>
      <c r="AC183" s="24">
        <v>0.0</v>
      </c>
      <c r="AD183" s="23">
        <v>0.0</v>
      </c>
      <c r="AE183" s="24">
        <v>0.0</v>
      </c>
      <c r="AF183" s="17" t="s">
        <v>451</v>
      </c>
      <c r="AG183" s="17">
        <v>0.0</v>
      </c>
      <c r="AH183" s="17" t="s">
        <v>451</v>
      </c>
      <c r="AI183" s="25">
        <f>IF(AF183="Sim",INT((R183-Q183+1))*K183*VLOOKUP(P183,'Tabelas Auxiliares'!$A$1:$C$400,3,FALSE),0)</f>
        <v>0</v>
      </c>
      <c r="AJ183" s="25">
        <f t="shared" si="2"/>
        <v>0</v>
      </c>
      <c r="AK183" s="25">
        <f>IFS(
  O183="Acre",((W183*0.15)+(X183*0.7))*VLOOKUP(P183,'MunicípiosEstados'!$A$2:$B$23,2,FALSE),
  O183="Alagoas",((W183*0.15)+(X183*0.7))*VLOOKUP(P183,'MunicípiosEstados'!$C$2:$D$103,2,FALSE),
  O183="Amapá",((W183*0.15)+(X183*0.7))*VLOOKUP(P183,'MunicípiosEstados'!$E$2:$F$17,2,FALSE),
  O183="Amazonas",((W183*0.15)+(X183*0.7))*VLOOKUP(P183,'MunicípiosEstados'!$G$2:$H$63,2,FALSE),
  O183="Bahia",((W183*0.15)+(X183*0.7))*VLOOKUP(P183,'MunicípiosEstados'!$I$2:$J$418,2,FALSE),
  O183="Ceará",((W183*0.15)+(X183*0.7))*VLOOKUP(P183,'MunicípiosEstados'!$K$2:$L$185,2,FALSE),
  O183="Distrito Federal",((W183*0.15)+(X183*0.7))*VLOOKUP(P183,'MunicípiosEstados'!$M$2:$N$2,2,FALSE),
  O183="Espírito Santo",((W183*0.15)+(X183*0.7))*VLOOKUP(P183,'MunicípiosEstados'!$O$2:$P$79,2,FALSE),
  O183="Goiás",((W183*0.15)+(X183*0.7))*VLOOKUP(P183,'MunicípiosEstados'!$Q$2:$R$247,2,FALSE),
  O183="Maranhão",((W183*0.15)+(X183*0.7))*VLOOKUP(P183,'MunicípiosEstados'!$S$2:$T$218,2,FALSE),
  O183="Mato Grosso",((W183*0.15)+(X183*0.7))*VLOOKUP(P183,'MunicípiosEstados'!$U$2:$V$143,2,FALSE),
  O183="Mato Grosso do Sul",((W183*0.15)+(X183*0.7))*VLOOKUP(P183,'MunicípiosEstados'!$W$2:$X$80,2,FALSE),
  O183="Minas Gerais",((W183*0.15)+(X183*0.7))*VLOOKUP(P183,'MunicípiosEstados'!$Y$2:$Z$854,2,FALSE),
  O183="Pará",((W183*0.15)+(X183*0.7))*VLOOKUP(P183,'MunicípiosEstados'!$AA$2:$AB$145,2,FALSE),
  O183="Paraíba",((W183*0.15)+(X183*0.7))*VLOOKUP(P183,'MunicípiosEstados'!$AC$2:$AD$224,2,FALSE),
  O183="Paraná",((W183*0.15)+(X183*0.7))*VLOOKUP(P183,'MunicípiosEstados'!$AE$2:$AF$400,2,FALSE),
  O183="Pernambuco",((W183*0.15)+(X183*0.7))*VLOOKUP(P183,'MunicípiosEstados'!$AG$2:$AH$186,2,FALSE),
  O183="Piauí",((W183*0.15)+(X183*0.7))*VLOOKUP(P183,'MunicípiosEstados'!$AI$2:$AJ$225,2,FALSE),
  O183="Rio Grande do Norte",((W183*0.15)+(X183*0.7))*VLOOKUP(P183,'MunicípiosEstados'!$AK$2:$AL$168,2,FALSE),
  O183="Rio Grande do Sul",((W183*0.15)+(X183*0.7))*VLOOKUP(P183,'MunicípiosEstados'!$AM$2:$AN$498,2,FALSE),
  O183="Rio de Janeiro",((W183*0.15)+(X183*0.7))*VLOOKUP(P183,'MunicípiosEstados'!$AO$2:$AP$93,2,FALSE),
  O183="Rondônia",((W183*0.15)+(X183*0.7))*VLOOKUP(P183,'MunicípiosEstados'!$AQ$2:$AR$53,2,FALSE),
  O183="Roraima",((W183*0.15)+(X183*0.7))*VLOOKUP(P183,'MunicípiosEstados'!$AS$2:$AT$16,2,FALSE),
  O183="Santa Catarina",((W183*0.15)+(X183*0.7))*VLOOKUP(P183,'MunicípiosEstados'!$AU$2:$AV$296,2,FALSE),
  O183="São Paulo",((W183*0.15)+(X183*0.7))*VLOOKUP(P183,'MunicípiosEstados'!$AW$2:$AX$646,2,FALSE),
  O183="Sergipe",((W183*0.15)+(X183*0.7))*VLOOKUP(P183,'MunicípiosEstados'!$AY$2:$AZ$76,2,FALSE),
  O183="Tocantins",((W183*0.15)+(X183*0.7))*VLOOKUP(P183,'MunicípiosEstados'!$BA$2:$BB$140,2,FALSE),
  O183="Exterior",((W183*0.15)+(X183*0.7))*VLOOKUP(P183,'MunicípiosEstados'!$BC$2:$BE$221,3,FALSE),TRUE,0
)
</f>
        <v>0</v>
      </c>
      <c r="AL183" s="25">
        <f t="shared" si="3"/>
        <v>0</v>
      </c>
      <c r="AN183" s="35"/>
    </row>
    <row r="184" ht="22.5" hidden="1" customHeight="1">
      <c r="A184" s="15">
        <f t="shared" si="1"/>
        <v>183</v>
      </c>
      <c r="B184" s="16">
        <v>45989.68302703704</v>
      </c>
      <c r="C184" s="17" t="s">
        <v>1010</v>
      </c>
      <c r="D184" s="27" t="s">
        <v>443</v>
      </c>
      <c r="E184" s="15" t="str">
        <f>VLOOKUP(G184,DiretoriaDepart.Coord.!$A$1:$C$72,2,FALSE)</f>
        <v>Extensão Rural</v>
      </c>
      <c r="F184" s="15" t="str">
        <f>VLOOKUP(G184,DiretoriaDepart.Coord.!$A$1:$C$72,3,FALSE)</f>
        <v>Políticas Públicas</v>
      </c>
      <c r="G184" s="17" t="s">
        <v>1011</v>
      </c>
      <c r="H184" s="15"/>
      <c r="I184" s="17" t="s">
        <v>1227</v>
      </c>
      <c r="J184" s="17" t="s">
        <v>719</v>
      </c>
      <c r="K184" s="17">
        <v>17.0</v>
      </c>
      <c r="L184" s="15"/>
      <c r="M184" s="17" t="s">
        <v>451</v>
      </c>
      <c r="N184" s="17">
        <v>0.0</v>
      </c>
      <c r="O184" s="17" t="s">
        <v>714</v>
      </c>
      <c r="P184" s="17" t="s">
        <v>6</v>
      </c>
      <c r="Q184" s="20">
        <v>45698.333333333336</v>
      </c>
      <c r="R184" s="20">
        <v>45699.708333333336</v>
      </c>
      <c r="S184" s="17" t="s">
        <v>451</v>
      </c>
      <c r="T184" s="17" t="s">
        <v>452</v>
      </c>
      <c r="U184" s="21" t="s">
        <v>1228</v>
      </c>
      <c r="V184" s="21" t="s">
        <v>1229</v>
      </c>
      <c r="W184" s="22">
        <v>72.0</v>
      </c>
      <c r="X184" s="22">
        <v>36.0</v>
      </c>
      <c r="Y184" s="23">
        <v>0.0</v>
      </c>
      <c r="Z184" s="23">
        <v>0.0</v>
      </c>
      <c r="AA184" s="24">
        <v>0.0</v>
      </c>
      <c r="AB184" s="24">
        <v>0.0</v>
      </c>
      <c r="AC184" s="24">
        <v>0.0</v>
      </c>
      <c r="AD184" s="23">
        <v>0.0</v>
      </c>
      <c r="AE184" s="24">
        <v>0.0</v>
      </c>
      <c r="AF184" s="17" t="s">
        <v>464</v>
      </c>
      <c r="AG184" s="32">
        <v>6686.0</v>
      </c>
      <c r="AH184" s="17" t="s">
        <v>451</v>
      </c>
      <c r="AI184" s="25">
        <f>IF(AF184="Sim",INT((R184-Q184+1))*K184*VLOOKUP(P184,'Tabelas Auxiliares'!$A$1:$C$400,3,FALSE),0)</f>
        <v>769.76</v>
      </c>
      <c r="AJ184" s="25">
        <f t="shared" si="2"/>
        <v>4680.2</v>
      </c>
      <c r="AK184" s="25">
        <f>IFS(
  O184="Acre",((W184*0.15)+(X184*0.7))*VLOOKUP(P184,'MunicípiosEstados'!$A$2:$B$23,2,FALSE),
  O184="Alagoas",((W184*0.15)+(X184*0.7))*VLOOKUP(P184,'MunicípiosEstados'!$C$2:$D$103,2,FALSE),
  O184="Amapá",((W184*0.15)+(X184*0.7))*VLOOKUP(P184,'MunicípiosEstados'!$E$2:$F$17,2,FALSE),
  O184="Amazonas",((W184*0.15)+(X184*0.7))*VLOOKUP(P184,'MunicípiosEstados'!$G$2:$H$63,2,FALSE),
  O184="Bahia",((W184*0.15)+(X184*0.7))*VLOOKUP(P184,'MunicípiosEstados'!$I$2:$J$418,2,FALSE),
  O184="Ceará",((W184*0.15)+(X184*0.7))*VLOOKUP(P184,'MunicípiosEstados'!$K$2:$L$185,2,FALSE),
  O184="Distrito Federal",((W184*0.15)+(X184*0.7))*VLOOKUP(P184,'MunicípiosEstados'!$M$2:$N$2,2,FALSE),
  O184="Espírito Santo",((W184*0.15)+(X184*0.7))*VLOOKUP(P184,'MunicípiosEstados'!$O$2:$P$79,2,FALSE),
  O184="Goiás",((W184*0.15)+(X184*0.7))*VLOOKUP(P184,'MunicípiosEstados'!$Q$2:$R$247,2,FALSE),
  O184="Maranhão",((W184*0.15)+(X184*0.7))*VLOOKUP(P184,'MunicípiosEstados'!$S$2:$T$218,2,FALSE),
  O184="Mato Grosso",((W184*0.15)+(X184*0.7))*VLOOKUP(P184,'MunicípiosEstados'!$U$2:$V$143,2,FALSE),
  O184="Mato Grosso do Sul",((W184*0.15)+(X184*0.7))*VLOOKUP(P184,'MunicípiosEstados'!$W$2:$X$80,2,FALSE),
  O184="Minas Gerais",((W184*0.15)+(X184*0.7))*VLOOKUP(P184,'MunicípiosEstados'!$Y$2:$Z$854,2,FALSE),
  O184="Pará",((W184*0.15)+(X184*0.7))*VLOOKUP(P184,'MunicípiosEstados'!$AA$2:$AB$145,2,FALSE),
  O184="Paraíba",((W184*0.15)+(X184*0.7))*VLOOKUP(P184,'MunicípiosEstados'!$AC$2:$AD$224,2,FALSE),
  O184="Paraná",((W184*0.15)+(X184*0.7))*VLOOKUP(P184,'MunicípiosEstados'!$AE$2:$AF$400,2,FALSE),
  O184="Pernambuco",((W184*0.15)+(X184*0.7))*VLOOKUP(P184,'MunicípiosEstados'!$AG$2:$AH$186,2,FALSE),
  O184="Piauí",((W184*0.15)+(X184*0.7))*VLOOKUP(P184,'MunicípiosEstados'!$AI$2:$AJ$225,2,FALSE),
  O184="Rio Grande do Norte",((W184*0.15)+(X184*0.7))*VLOOKUP(P184,'MunicípiosEstados'!$AK$2:$AL$168,2,FALSE),
  O184="Rio Grande do Sul",((W184*0.15)+(X184*0.7))*VLOOKUP(P184,'MunicípiosEstados'!$AM$2:$AN$498,2,FALSE),
  O184="Rio de Janeiro",((W184*0.15)+(X184*0.7))*VLOOKUP(P184,'MunicípiosEstados'!$AO$2:$AP$93,2,FALSE),
  O184="Rondônia",((W184*0.15)+(X184*0.7))*VLOOKUP(P184,'MunicípiosEstados'!$AQ$2:$AR$53,2,FALSE),
  O184="Roraima",((W184*0.15)+(X184*0.7))*VLOOKUP(P184,'MunicípiosEstados'!$AS$2:$AT$16,2,FALSE),
  O184="Santa Catarina",((W184*0.15)+(X184*0.7))*VLOOKUP(P184,'MunicípiosEstados'!$AU$2:$AV$296,2,FALSE),
  O184="São Paulo",((W184*0.15)+(X184*0.7))*VLOOKUP(P184,'MunicípiosEstados'!$AW$2:$AX$646,2,FALSE),
  O184="Sergipe",((W184*0.15)+(X184*0.7))*VLOOKUP(P184,'MunicípiosEstados'!$AY$2:$AZ$76,2,FALSE),
  O184="Tocantins",((W184*0.15)+(X184*0.7))*VLOOKUP(P184,'MunicípiosEstados'!$BA$2:$BB$140,2,FALSE),
  O184="Exterior",((W184*0.15)+(X184*0.7))*VLOOKUP(P184,'MunicípiosEstados'!$BC$2:$BE$221,3,FALSE),TRUE,0
)
</f>
        <v>13365.36</v>
      </c>
      <c r="AL184" s="25">
        <f t="shared" si="3"/>
        <v>18815.32</v>
      </c>
    </row>
    <row r="185" ht="22.5" hidden="1" customHeight="1">
      <c r="A185" s="15">
        <f t="shared" si="1"/>
        <v>184</v>
      </c>
      <c r="B185" s="16">
        <v>45989.685229236115</v>
      </c>
      <c r="C185" s="17" t="s">
        <v>1139</v>
      </c>
      <c r="D185" s="27" t="s">
        <v>443</v>
      </c>
      <c r="E185" s="15" t="str">
        <f>VLOOKUP(G185,DiretoriaDepart.Coord.!$A$1:$C$72,2,FALSE)</f>
        <v>Gestão Institucional</v>
      </c>
      <c r="F185" s="15" t="str">
        <f>VLOOKUP(G185,DiretoriaDepart.Coord.!$A$1:$C$72,3,FALSE)</f>
        <v>Administração</v>
      </c>
      <c r="G185" s="17" t="s">
        <v>881</v>
      </c>
      <c r="H185" s="15"/>
      <c r="I185" s="17" t="s">
        <v>1230</v>
      </c>
      <c r="J185" s="17" t="s">
        <v>728</v>
      </c>
      <c r="K185" s="17">
        <v>7.0</v>
      </c>
      <c r="L185" s="15"/>
      <c r="M185" s="17" t="s">
        <v>763</v>
      </c>
      <c r="N185" s="17">
        <v>0.0</v>
      </c>
      <c r="O185" s="17" t="s">
        <v>714</v>
      </c>
      <c r="P185" s="17" t="s">
        <v>6</v>
      </c>
      <c r="Q185" s="20">
        <v>45817.333333333336</v>
      </c>
      <c r="R185" s="20">
        <v>45817.708333333336</v>
      </c>
      <c r="S185" s="17" t="s">
        <v>451</v>
      </c>
      <c r="T185" s="17" t="s">
        <v>452</v>
      </c>
      <c r="U185" s="21" t="s">
        <v>1231</v>
      </c>
      <c r="V185" s="21" t="s">
        <v>1232</v>
      </c>
      <c r="W185" s="22">
        <v>9.0</v>
      </c>
      <c r="X185" s="22">
        <v>3.0</v>
      </c>
      <c r="Y185" s="23">
        <v>0.0</v>
      </c>
      <c r="Z185" s="23">
        <v>0.0</v>
      </c>
      <c r="AA185" s="24">
        <v>0.0</v>
      </c>
      <c r="AB185" s="24">
        <v>0.0</v>
      </c>
      <c r="AC185" s="24">
        <v>0.0</v>
      </c>
      <c r="AD185" s="23">
        <v>0.0</v>
      </c>
      <c r="AE185" s="24">
        <v>0.0</v>
      </c>
      <c r="AF185" s="17" t="s">
        <v>464</v>
      </c>
      <c r="AG185" s="17">
        <v>820.0</v>
      </c>
      <c r="AH185" s="17" t="s">
        <v>451</v>
      </c>
      <c r="AI185" s="25">
        <f>IF(AF185="Sim",INT((R185-Q185+1))*K185*VLOOKUP(P185,'Tabelas Auxiliares'!$A$1:$C$400,3,FALSE),0)</f>
        <v>158.48</v>
      </c>
      <c r="AJ185" s="25">
        <f t="shared" si="2"/>
        <v>574</v>
      </c>
      <c r="AK185" s="25">
        <f>IFS(
  O185="Acre",((W185*0.15)+(X185*0.7))*VLOOKUP(P185,'MunicípiosEstados'!$A$2:$B$23,2,FALSE),
  O185="Alagoas",((W185*0.15)+(X185*0.7))*VLOOKUP(P185,'MunicípiosEstados'!$C$2:$D$103,2,FALSE),
  O185="Amapá",((W185*0.15)+(X185*0.7))*VLOOKUP(P185,'MunicípiosEstados'!$E$2:$F$17,2,FALSE),
  O185="Amazonas",((W185*0.15)+(X185*0.7))*VLOOKUP(P185,'MunicípiosEstados'!$G$2:$H$63,2,FALSE),
  O185="Bahia",((W185*0.15)+(X185*0.7))*VLOOKUP(P185,'MunicípiosEstados'!$I$2:$J$418,2,FALSE),
  O185="Ceará",((W185*0.15)+(X185*0.7))*VLOOKUP(P185,'MunicípiosEstados'!$K$2:$L$185,2,FALSE),
  O185="Distrito Federal",((W185*0.15)+(X185*0.7))*VLOOKUP(P185,'MunicípiosEstados'!$M$2:$N$2,2,FALSE),
  O185="Espírito Santo",((W185*0.15)+(X185*0.7))*VLOOKUP(P185,'MunicípiosEstados'!$O$2:$P$79,2,FALSE),
  O185="Goiás",((W185*0.15)+(X185*0.7))*VLOOKUP(P185,'MunicípiosEstados'!$Q$2:$R$247,2,FALSE),
  O185="Maranhão",((W185*0.15)+(X185*0.7))*VLOOKUP(P185,'MunicípiosEstados'!$S$2:$T$218,2,FALSE),
  O185="Mato Grosso",((W185*0.15)+(X185*0.7))*VLOOKUP(P185,'MunicípiosEstados'!$U$2:$V$143,2,FALSE),
  O185="Mato Grosso do Sul",((W185*0.15)+(X185*0.7))*VLOOKUP(P185,'MunicípiosEstados'!$W$2:$X$80,2,FALSE),
  O185="Minas Gerais",((W185*0.15)+(X185*0.7))*VLOOKUP(P185,'MunicípiosEstados'!$Y$2:$Z$854,2,FALSE),
  O185="Pará",((W185*0.15)+(X185*0.7))*VLOOKUP(P185,'MunicípiosEstados'!$AA$2:$AB$145,2,FALSE),
  O185="Paraíba",((W185*0.15)+(X185*0.7))*VLOOKUP(P185,'MunicípiosEstados'!$AC$2:$AD$224,2,FALSE),
  O185="Paraná",((W185*0.15)+(X185*0.7))*VLOOKUP(P185,'MunicípiosEstados'!$AE$2:$AF$400,2,FALSE),
  O185="Pernambuco",((W185*0.15)+(X185*0.7))*VLOOKUP(P185,'MunicípiosEstados'!$AG$2:$AH$186,2,FALSE),
  O185="Piauí",((W185*0.15)+(X185*0.7))*VLOOKUP(P185,'MunicípiosEstados'!$AI$2:$AJ$225,2,FALSE),
  O185="Rio Grande do Norte",((W185*0.15)+(X185*0.7))*VLOOKUP(P185,'MunicípiosEstados'!$AK$2:$AL$168,2,FALSE),
  O185="Rio Grande do Sul",((W185*0.15)+(X185*0.7))*VLOOKUP(P185,'MunicípiosEstados'!$AM$2:$AN$498,2,FALSE),
  O185="Rio de Janeiro",((W185*0.15)+(X185*0.7))*VLOOKUP(P185,'MunicípiosEstados'!$AO$2:$AP$93,2,FALSE),
  O185="Rondônia",((W185*0.15)+(X185*0.7))*VLOOKUP(P185,'MunicípiosEstados'!$AQ$2:$AR$53,2,FALSE),
  O185="Roraima",((W185*0.15)+(X185*0.7))*VLOOKUP(P185,'MunicípiosEstados'!$AS$2:$AT$16,2,FALSE),
  O185="Santa Catarina",((W185*0.15)+(X185*0.7))*VLOOKUP(P185,'MunicípiosEstados'!$AU$2:$AV$296,2,FALSE),
  O185="São Paulo",((W185*0.15)+(X185*0.7))*VLOOKUP(P185,'MunicípiosEstados'!$AW$2:$AX$646,2,FALSE),
  O185="Sergipe",((W185*0.15)+(X185*0.7))*VLOOKUP(P185,'MunicípiosEstados'!$AY$2:$AZ$76,2,FALSE),
  O185="Tocantins",((W185*0.15)+(X185*0.7))*VLOOKUP(P185,'MunicípiosEstados'!$BA$2:$BB$140,2,FALSE),
  O185="Exterior",((W185*0.15)+(X185*0.7))*VLOOKUP(P185,'MunicípiosEstados'!$BC$2:$BE$221,3,FALSE),TRUE,0
)
</f>
        <v>1280.847</v>
      </c>
      <c r="AL185" s="25">
        <f t="shared" si="3"/>
        <v>2013.327</v>
      </c>
    </row>
    <row r="186" ht="22.5" hidden="1" customHeight="1">
      <c r="A186" s="15">
        <f t="shared" si="1"/>
        <v>185</v>
      </c>
      <c r="B186" s="16">
        <v>45989.690867129626</v>
      </c>
      <c r="C186" s="17" t="s">
        <v>887</v>
      </c>
      <c r="D186" s="27" t="s">
        <v>443</v>
      </c>
      <c r="E186" s="15" t="str">
        <f>VLOOKUP(G186,DiretoriaDepart.Coord.!$A$1:$C$72,2,FALSE)</f>
        <v>Extensão Rural</v>
      </c>
      <c r="F186" s="15" t="str">
        <f>VLOOKUP(G186,DiretoriaDepart.Coord.!$A$1:$C$72,3,FALSE)</f>
        <v>Políticas Públicas</v>
      </c>
      <c r="G186" s="17" t="s">
        <v>888</v>
      </c>
      <c r="H186" s="15"/>
      <c r="I186" s="17" t="s">
        <v>1233</v>
      </c>
      <c r="J186" s="17" t="s">
        <v>719</v>
      </c>
      <c r="K186" s="17">
        <v>52.0</v>
      </c>
      <c r="L186" s="15"/>
      <c r="M186" s="17" t="s">
        <v>1234</v>
      </c>
      <c r="N186" s="17">
        <v>20.0</v>
      </c>
      <c r="O186" s="17" t="s">
        <v>714</v>
      </c>
      <c r="P186" s="17" t="s">
        <v>6</v>
      </c>
      <c r="Q186" s="20">
        <v>45726.333333333336</v>
      </c>
      <c r="R186" s="20">
        <v>45729.708333333336</v>
      </c>
      <c r="S186" s="17" t="s">
        <v>451</v>
      </c>
      <c r="T186" s="17" t="s">
        <v>452</v>
      </c>
      <c r="U186" s="21" t="s">
        <v>1235</v>
      </c>
      <c r="V186" s="21" t="s">
        <v>1236</v>
      </c>
      <c r="W186" s="22">
        <v>342.0</v>
      </c>
      <c r="X186" s="22">
        <v>171.0</v>
      </c>
      <c r="Y186" s="23">
        <v>0.0</v>
      </c>
      <c r="Z186" s="23">
        <v>0.0</v>
      </c>
      <c r="AA186" s="24">
        <v>0.0</v>
      </c>
      <c r="AB186" s="24">
        <v>0.0</v>
      </c>
      <c r="AC186" s="24">
        <v>0.0</v>
      </c>
      <c r="AD186" s="23">
        <v>0.0</v>
      </c>
      <c r="AE186" s="24">
        <v>0.0</v>
      </c>
      <c r="AF186" s="17" t="s">
        <v>464</v>
      </c>
      <c r="AG186" s="17">
        <v>3540.0</v>
      </c>
      <c r="AH186" s="17" t="s">
        <v>451</v>
      </c>
      <c r="AI186" s="25">
        <f>IF(AF186="Sim",INT((R186-Q186+1))*K186*VLOOKUP(P186,'Tabelas Auxiliares'!$A$1:$C$400,3,FALSE),0)</f>
        <v>4709.12</v>
      </c>
      <c r="AJ186" s="25">
        <f t="shared" si="2"/>
        <v>2478</v>
      </c>
      <c r="AK186" s="25">
        <f>IFS(
  O186="Acre",((W186*0.15)+(X186*0.7))*VLOOKUP(P186,'MunicípiosEstados'!$A$2:$B$23,2,FALSE),
  O186="Alagoas",((W186*0.15)+(X186*0.7))*VLOOKUP(P186,'MunicípiosEstados'!$C$2:$D$103,2,FALSE),
  O186="Amapá",((W186*0.15)+(X186*0.7))*VLOOKUP(P186,'MunicípiosEstados'!$E$2:$F$17,2,FALSE),
  O186="Amazonas",((W186*0.15)+(X186*0.7))*VLOOKUP(P186,'MunicípiosEstados'!$G$2:$H$63,2,FALSE),
  O186="Bahia",((W186*0.15)+(X186*0.7))*VLOOKUP(P186,'MunicípiosEstados'!$I$2:$J$418,2,FALSE),
  O186="Ceará",((W186*0.15)+(X186*0.7))*VLOOKUP(P186,'MunicípiosEstados'!$K$2:$L$185,2,FALSE),
  O186="Distrito Federal",((W186*0.15)+(X186*0.7))*VLOOKUP(P186,'MunicípiosEstados'!$M$2:$N$2,2,FALSE),
  O186="Espírito Santo",((W186*0.15)+(X186*0.7))*VLOOKUP(P186,'MunicípiosEstados'!$O$2:$P$79,2,FALSE),
  O186="Goiás",((W186*0.15)+(X186*0.7))*VLOOKUP(P186,'MunicípiosEstados'!$Q$2:$R$247,2,FALSE),
  O186="Maranhão",((W186*0.15)+(X186*0.7))*VLOOKUP(P186,'MunicípiosEstados'!$S$2:$T$218,2,FALSE),
  O186="Mato Grosso",((W186*0.15)+(X186*0.7))*VLOOKUP(P186,'MunicípiosEstados'!$U$2:$V$143,2,FALSE),
  O186="Mato Grosso do Sul",((W186*0.15)+(X186*0.7))*VLOOKUP(P186,'MunicípiosEstados'!$W$2:$X$80,2,FALSE),
  O186="Minas Gerais",((W186*0.15)+(X186*0.7))*VLOOKUP(P186,'MunicípiosEstados'!$Y$2:$Z$854,2,FALSE),
  O186="Pará",((W186*0.15)+(X186*0.7))*VLOOKUP(P186,'MunicípiosEstados'!$AA$2:$AB$145,2,FALSE),
  O186="Paraíba",((W186*0.15)+(X186*0.7))*VLOOKUP(P186,'MunicípiosEstados'!$AC$2:$AD$224,2,FALSE),
  O186="Paraná",((W186*0.15)+(X186*0.7))*VLOOKUP(P186,'MunicípiosEstados'!$AE$2:$AF$400,2,FALSE),
  O186="Pernambuco",((W186*0.15)+(X186*0.7))*VLOOKUP(P186,'MunicípiosEstados'!$AG$2:$AH$186,2,FALSE),
  O186="Piauí",((W186*0.15)+(X186*0.7))*VLOOKUP(P186,'MunicípiosEstados'!$AI$2:$AJ$225,2,FALSE),
  O186="Rio Grande do Norte",((W186*0.15)+(X186*0.7))*VLOOKUP(P186,'MunicípiosEstados'!$AK$2:$AL$168,2,FALSE),
  O186="Rio Grande do Sul",((W186*0.15)+(X186*0.7))*VLOOKUP(P186,'MunicípiosEstados'!$AM$2:$AN$498,2,FALSE),
  O186="Rio de Janeiro",((W186*0.15)+(X186*0.7))*VLOOKUP(P186,'MunicípiosEstados'!$AO$2:$AP$93,2,FALSE),
  O186="Rondônia",((W186*0.15)+(X186*0.7))*VLOOKUP(P186,'MunicípiosEstados'!$AQ$2:$AR$53,2,FALSE),
  O186="Roraima",((W186*0.15)+(X186*0.7))*VLOOKUP(P186,'MunicípiosEstados'!$AS$2:$AT$16,2,FALSE),
  O186="Santa Catarina",((W186*0.15)+(X186*0.7))*VLOOKUP(P186,'MunicípiosEstados'!$AU$2:$AV$296,2,FALSE),
  O186="São Paulo",((W186*0.15)+(X186*0.7))*VLOOKUP(P186,'MunicípiosEstados'!$AW$2:$AX$646,2,FALSE),
  O186="Sergipe",((W186*0.15)+(X186*0.7))*VLOOKUP(P186,'MunicípiosEstados'!$AY$2:$AZ$76,2,FALSE),
  O186="Tocantins",((W186*0.15)+(X186*0.7))*VLOOKUP(P186,'MunicípiosEstados'!$BA$2:$BB$140,2,FALSE),
  O186="Exterior",((W186*0.15)+(X186*0.7))*VLOOKUP(P186,'MunicípiosEstados'!$BC$2:$BE$221,3,FALSE),TRUE,0
)
</f>
        <v>63485.46</v>
      </c>
      <c r="AL186" s="25">
        <f t="shared" si="3"/>
        <v>70672.58</v>
      </c>
    </row>
    <row r="187" ht="22.5" hidden="1" customHeight="1">
      <c r="A187" s="15">
        <f t="shared" si="1"/>
        <v>186</v>
      </c>
      <c r="B187" s="16">
        <v>45989.693379930555</v>
      </c>
      <c r="C187" s="17" t="s">
        <v>1139</v>
      </c>
      <c r="D187" s="27" t="s">
        <v>443</v>
      </c>
      <c r="E187" s="15" t="str">
        <f>VLOOKUP(G187,DiretoriaDepart.Coord.!$A$1:$C$72,2,FALSE)</f>
        <v>Gestão Institucional</v>
      </c>
      <c r="F187" s="15" t="str">
        <f>VLOOKUP(G187,DiretoriaDepart.Coord.!$A$1:$C$72,3,FALSE)</f>
        <v>Recursos Humanos</v>
      </c>
      <c r="G187" s="17" t="s">
        <v>1237</v>
      </c>
      <c r="H187" s="15"/>
      <c r="I187" s="17" t="s">
        <v>1238</v>
      </c>
      <c r="J187" s="17" t="s">
        <v>728</v>
      </c>
      <c r="K187" s="17">
        <v>8.0</v>
      </c>
      <c r="L187" s="15"/>
      <c r="M187" s="17" t="s">
        <v>1199</v>
      </c>
      <c r="N187" s="17">
        <v>1.0</v>
      </c>
      <c r="O187" s="17" t="s">
        <v>714</v>
      </c>
      <c r="P187" s="17" t="s">
        <v>6</v>
      </c>
      <c r="Q187" s="20">
        <v>45825.333333333336</v>
      </c>
      <c r="R187" s="20">
        <v>45825.708333333336</v>
      </c>
      <c r="S187" s="17" t="s">
        <v>451</v>
      </c>
      <c r="T187" s="17" t="s">
        <v>452</v>
      </c>
      <c r="U187" s="21" t="s">
        <v>1239</v>
      </c>
      <c r="V187" s="21" t="s">
        <v>1240</v>
      </c>
      <c r="W187" s="22">
        <v>9.0</v>
      </c>
      <c r="X187" s="22">
        <v>2.0</v>
      </c>
      <c r="Y187" s="23">
        <v>0.0</v>
      </c>
      <c r="Z187" s="23">
        <v>0.0</v>
      </c>
      <c r="AA187" s="24">
        <v>0.0</v>
      </c>
      <c r="AB187" s="24">
        <v>0.0</v>
      </c>
      <c r="AC187" s="24">
        <v>0.0</v>
      </c>
      <c r="AD187" s="23">
        <v>0.0</v>
      </c>
      <c r="AE187" s="24">
        <v>0.0</v>
      </c>
      <c r="AF187" s="17" t="s">
        <v>464</v>
      </c>
      <c r="AG187" s="17">
        <v>738.0</v>
      </c>
      <c r="AH187" s="17" t="s">
        <v>464</v>
      </c>
      <c r="AI187" s="25">
        <f>IF(AF187="Sim",INT((R187-Q187+1))*K187*VLOOKUP(P187,'Tabelas Auxiliares'!$A$1:$C$400,3,FALSE),0)</f>
        <v>181.12</v>
      </c>
      <c r="AJ187" s="25">
        <f t="shared" si="2"/>
        <v>516.6</v>
      </c>
      <c r="AK187" s="25">
        <f>IFS(
  O187="Acre",((W187*0.15)+(X187*0.7))*VLOOKUP(P187,'MunicípiosEstados'!$A$2:$B$23,2,FALSE),
  O187="Alagoas",((W187*0.15)+(X187*0.7))*VLOOKUP(P187,'MunicípiosEstados'!$C$2:$D$103,2,FALSE),
  O187="Amapá",((W187*0.15)+(X187*0.7))*VLOOKUP(P187,'MunicípiosEstados'!$E$2:$F$17,2,FALSE),
  O187="Amazonas",((W187*0.15)+(X187*0.7))*VLOOKUP(P187,'MunicípiosEstados'!$G$2:$H$63,2,FALSE),
  O187="Bahia",((W187*0.15)+(X187*0.7))*VLOOKUP(P187,'MunicípiosEstados'!$I$2:$J$418,2,FALSE),
  O187="Ceará",((W187*0.15)+(X187*0.7))*VLOOKUP(P187,'MunicípiosEstados'!$K$2:$L$185,2,FALSE),
  O187="Distrito Federal",((W187*0.15)+(X187*0.7))*VLOOKUP(P187,'MunicípiosEstados'!$M$2:$N$2,2,FALSE),
  O187="Espírito Santo",((W187*0.15)+(X187*0.7))*VLOOKUP(P187,'MunicípiosEstados'!$O$2:$P$79,2,FALSE),
  O187="Goiás",((W187*0.15)+(X187*0.7))*VLOOKUP(P187,'MunicípiosEstados'!$Q$2:$R$247,2,FALSE),
  O187="Maranhão",((W187*0.15)+(X187*0.7))*VLOOKUP(P187,'MunicípiosEstados'!$S$2:$T$218,2,FALSE),
  O187="Mato Grosso",((W187*0.15)+(X187*0.7))*VLOOKUP(P187,'MunicípiosEstados'!$U$2:$V$143,2,FALSE),
  O187="Mato Grosso do Sul",((W187*0.15)+(X187*0.7))*VLOOKUP(P187,'MunicípiosEstados'!$W$2:$X$80,2,FALSE),
  O187="Minas Gerais",((W187*0.15)+(X187*0.7))*VLOOKUP(P187,'MunicípiosEstados'!$Y$2:$Z$854,2,FALSE),
  O187="Pará",((W187*0.15)+(X187*0.7))*VLOOKUP(P187,'MunicípiosEstados'!$AA$2:$AB$145,2,FALSE),
  O187="Paraíba",((W187*0.15)+(X187*0.7))*VLOOKUP(P187,'MunicípiosEstados'!$AC$2:$AD$224,2,FALSE),
  O187="Paraná",((W187*0.15)+(X187*0.7))*VLOOKUP(P187,'MunicípiosEstados'!$AE$2:$AF$400,2,FALSE),
  O187="Pernambuco",((W187*0.15)+(X187*0.7))*VLOOKUP(P187,'MunicípiosEstados'!$AG$2:$AH$186,2,FALSE),
  O187="Piauí",((W187*0.15)+(X187*0.7))*VLOOKUP(P187,'MunicípiosEstados'!$AI$2:$AJ$225,2,FALSE),
  O187="Rio Grande do Norte",((W187*0.15)+(X187*0.7))*VLOOKUP(P187,'MunicípiosEstados'!$AK$2:$AL$168,2,FALSE),
  O187="Rio Grande do Sul",((W187*0.15)+(X187*0.7))*VLOOKUP(P187,'MunicípiosEstados'!$AM$2:$AN$498,2,FALSE),
  O187="Rio de Janeiro",((W187*0.15)+(X187*0.7))*VLOOKUP(P187,'MunicípiosEstados'!$AO$2:$AP$93,2,FALSE),
  O187="Rondônia",((W187*0.15)+(X187*0.7))*VLOOKUP(P187,'MunicípiosEstados'!$AQ$2:$AR$53,2,FALSE),
  O187="Roraima",((W187*0.15)+(X187*0.7))*VLOOKUP(P187,'MunicípiosEstados'!$AS$2:$AT$16,2,FALSE),
  O187="Santa Catarina",((W187*0.15)+(X187*0.7))*VLOOKUP(P187,'MunicípiosEstados'!$AU$2:$AV$296,2,FALSE),
  O187="São Paulo",((W187*0.15)+(X187*0.7))*VLOOKUP(P187,'MunicípiosEstados'!$AW$2:$AX$646,2,FALSE),
  O187="Sergipe",((W187*0.15)+(X187*0.7))*VLOOKUP(P187,'MunicípiosEstados'!$AY$2:$AZ$76,2,FALSE),
  O187="Tocantins",((W187*0.15)+(X187*0.7))*VLOOKUP(P187,'MunicípiosEstados'!$BA$2:$BB$140,2,FALSE),
  O187="Exterior",((W187*0.15)+(X187*0.7))*VLOOKUP(P187,'MunicípiosEstados'!$BC$2:$BE$221,3,FALSE),TRUE,0
)
</f>
        <v>1020.965</v>
      </c>
      <c r="AL187" s="25">
        <f t="shared" si="3"/>
        <v>1718.685</v>
      </c>
    </row>
    <row r="188" ht="22.5" hidden="1" customHeight="1">
      <c r="A188" s="15">
        <f t="shared" si="1"/>
        <v>187</v>
      </c>
      <c r="B188" s="16">
        <v>45989.69520239583</v>
      </c>
      <c r="C188" s="17" t="s">
        <v>887</v>
      </c>
      <c r="D188" s="27" t="s">
        <v>443</v>
      </c>
      <c r="E188" s="15" t="str">
        <f>VLOOKUP(G188,DiretoriaDepart.Coord.!$A$1:$C$72,2,FALSE)</f>
        <v>Extensão Rural</v>
      </c>
      <c r="F188" s="15" t="str">
        <f>VLOOKUP(G188,DiretoriaDepart.Coord.!$A$1:$C$72,3,FALSE)</f>
        <v>Políticas Públicas</v>
      </c>
      <c r="G188" s="17" t="s">
        <v>888</v>
      </c>
      <c r="H188" s="15"/>
      <c r="I188" s="17" t="s">
        <v>1241</v>
      </c>
      <c r="J188" s="17" t="s">
        <v>719</v>
      </c>
      <c r="K188" s="17">
        <v>80.0</v>
      </c>
      <c r="L188" s="15"/>
      <c r="M188" s="17" t="s">
        <v>1234</v>
      </c>
      <c r="N188" s="17">
        <v>20.0</v>
      </c>
      <c r="O188" s="17" t="s">
        <v>714</v>
      </c>
      <c r="P188" s="17" t="s">
        <v>18</v>
      </c>
      <c r="Q188" s="20">
        <v>45733.333333333336</v>
      </c>
      <c r="R188" s="20">
        <v>45735.708333333336</v>
      </c>
      <c r="S188" s="17" t="s">
        <v>451</v>
      </c>
      <c r="T188" s="17" t="s">
        <v>452</v>
      </c>
      <c r="U188" s="21" t="s">
        <v>1235</v>
      </c>
      <c r="V188" s="21" t="s">
        <v>1236</v>
      </c>
      <c r="W188" s="22">
        <v>624.0</v>
      </c>
      <c r="X188" s="22">
        <v>312.0</v>
      </c>
      <c r="Y188" s="23">
        <v>0.0</v>
      </c>
      <c r="Z188" s="23">
        <v>0.0</v>
      </c>
      <c r="AA188" s="24">
        <v>0.0</v>
      </c>
      <c r="AB188" s="24">
        <v>0.0</v>
      </c>
      <c r="AC188" s="24">
        <v>0.0</v>
      </c>
      <c r="AD188" s="23">
        <v>0.0</v>
      </c>
      <c r="AE188" s="24">
        <v>0.0</v>
      </c>
      <c r="AF188" s="17" t="s">
        <v>464</v>
      </c>
      <c r="AG188" s="17">
        <v>6448.0</v>
      </c>
      <c r="AH188" s="17" t="s">
        <v>451</v>
      </c>
      <c r="AI188" s="25">
        <f>IF(AF188="Sim",INT((R188-Q188+1))*K188*VLOOKUP(P188,'Tabelas Auxiliares'!$A$1:$C$400,3,FALSE),0)</f>
        <v>5433.6</v>
      </c>
      <c r="AJ188" s="25">
        <f t="shared" si="2"/>
        <v>4513.6</v>
      </c>
      <c r="AK188" s="25">
        <f>IFS(
  O188="Acre",((W188*0.15)+(X188*0.7))*VLOOKUP(P188,'MunicípiosEstados'!$A$2:$B$23,2,FALSE),
  O188="Alagoas",((W188*0.15)+(X188*0.7))*VLOOKUP(P188,'MunicípiosEstados'!$C$2:$D$103,2,FALSE),
  O188="Amapá",((W188*0.15)+(X188*0.7))*VLOOKUP(P188,'MunicípiosEstados'!$E$2:$F$17,2,FALSE),
  O188="Amazonas",((W188*0.15)+(X188*0.7))*VLOOKUP(P188,'MunicípiosEstados'!$G$2:$H$63,2,FALSE),
  O188="Bahia",((W188*0.15)+(X188*0.7))*VLOOKUP(P188,'MunicípiosEstados'!$I$2:$J$418,2,FALSE),
  O188="Ceará",((W188*0.15)+(X188*0.7))*VLOOKUP(P188,'MunicípiosEstados'!$K$2:$L$185,2,FALSE),
  O188="Distrito Federal",((W188*0.15)+(X188*0.7))*VLOOKUP(P188,'MunicípiosEstados'!$M$2:$N$2,2,FALSE),
  O188="Espírito Santo",((W188*0.15)+(X188*0.7))*VLOOKUP(P188,'MunicípiosEstados'!$O$2:$P$79,2,FALSE),
  O188="Goiás",((W188*0.15)+(X188*0.7))*VLOOKUP(P188,'MunicípiosEstados'!$Q$2:$R$247,2,FALSE),
  O188="Maranhão",((W188*0.15)+(X188*0.7))*VLOOKUP(P188,'MunicípiosEstados'!$S$2:$T$218,2,FALSE),
  O188="Mato Grosso",((W188*0.15)+(X188*0.7))*VLOOKUP(P188,'MunicípiosEstados'!$U$2:$V$143,2,FALSE),
  O188="Mato Grosso do Sul",((W188*0.15)+(X188*0.7))*VLOOKUP(P188,'MunicípiosEstados'!$W$2:$X$80,2,FALSE),
  O188="Minas Gerais",((W188*0.15)+(X188*0.7))*VLOOKUP(P188,'MunicípiosEstados'!$Y$2:$Z$854,2,FALSE),
  O188="Pará",((W188*0.15)+(X188*0.7))*VLOOKUP(P188,'MunicípiosEstados'!$AA$2:$AB$145,2,FALSE),
  O188="Paraíba",((W188*0.15)+(X188*0.7))*VLOOKUP(P188,'MunicípiosEstados'!$AC$2:$AD$224,2,FALSE),
  O188="Paraná",((W188*0.15)+(X188*0.7))*VLOOKUP(P188,'MunicípiosEstados'!$AE$2:$AF$400,2,FALSE),
  O188="Pernambuco",((W188*0.15)+(X188*0.7))*VLOOKUP(P188,'MunicípiosEstados'!$AG$2:$AH$186,2,FALSE),
  O188="Piauí",((W188*0.15)+(X188*0.7))*VLOOKUP(P188,'MunicípiosEstados'!$AI$2:$AJ$225,2,FALSE),
  O188="Rio Grande do Norte",((W188*0.15)+(X188*0.7))*VLOOKUP(P188,'MunicípiosEstados'!$AK$2:$AL$168,2,FALSE),
  O188="Rio Grande do Sul",((W188*0.15)+(X188*0.7))*VLOOKUP(P188,'MunicípiosEstados'!$AM$2:$AN$498,2,FALSE),
  O188="Rio de Janeiro",((W188*0.15)+(X188*0.7))*VLOOKUP(P188,'MunicípiosEstados'!$AO$2:$AP$93,2,FALSE),
  O188="Rondônia",((W188*0.15)+(X188*0.7))*VLOOKUP(P188,'MunicípiosEstados'!$AQ$2:$AR$53,2,FALSE),
  O188="Roraima",((W188*0.15)+(X188*0.7))*VLOOKUP(P188,'MunicípiosEstados'!$AS$2:$AT$16,2,FALSE),
  O188="Santa Catarina",((W188*0.15)+(X188*0.7))*VLOOKUP(P188,'MunicípiosEstados'!$AU$2:$AV$296,2,FALSE),
  O188="São Paulo",((W188*0.15)+(X188*0.7))*VLOOKUP(P188,'MunicípiosEstados'!$AW$2:$AX$646,2,FALSE),
  O188="Sergipe",((W188*0.15)+(X188*0.7))*VLOOKUP(P188,'MunicípiosEstados'!$AY$2:$AZ$76,2,FALSE),
  O188="Tocantins",((W188*0.15)+(X188*0.7))*VLOOKUP(P188,'MunicípiosEstados'!$BA$2:$BB$140,2,FALSE),
  O188="Exterior",((W188*0.15)+(X188*0.7))*VLOOKUP(P188,'MunicípiosEstados'!$BC$2:$BE$221,3,FALSE),TRUE,0
)
</f>
        <v>90651.6</v>
      </c>
      <c r="AL188" s="25">
        <f t="shared" si="3"/>
        <v>100598.8</v>
      </c>
    </row>
    <row r="189" ht="22.5" hidden="1" customHeight="1">
      <c r="A189" s="15">
        <f t="shared" si="1"/>
        <v>188</v>
      </c>
      <c r="B189" s="16">
        <v>45989.695843611116</v>
      </c>
      <c r="C189" s="17" t="s">
        <v>1010</v>
      </c>
      <c r="D189" s="27" t="s">
        <v>443</v>
      </c>
      <c r="E189" s="15" t="str">
        <f>VLOOKUP(G189,DiretoriaDepart.Coord.!$A$1:$C$72,2,FALSE)</f>
        <v>Extensão Rural</v>
      </c>
      <c r="F189" s="15" t="str">
        <f>VLOOKUP(G189,DiretoriaDepart.Coord.!$A$1:$C$72,3,FALSE)</f>
        <v>Políticas Públicas</v>
      </c>
      <c r="G189" s="17" t="s">
        <v>1011</v>
      </c>
      <c r="H189" s="15"/>
      <c r="I189" s="19" t="s">
        <v>1242</v>
      </c>
      <c r="J189" s="17" t="s">
        <v>719</v>
      </c>
      <c r="K189" s="17">
        <v>17.0</v>
      </c>
      <c r="L189" s="15"/>
      <c r="M189" s="17" t="s">
        <v>451</v>
      </c>
      <c r="N189" s="17">
        <v>0.0</v>
      </c>
      <c r="O189" s="17" t="s">
        <v>714</v>
      </c>
      <c r="P189" s="17" t="s">
        <v>6</v>
      </c>
      <c r="Q189" s="20">
        <v>45719.333333333336</v>
      </c>
      <c r="R189" s="20">
        <v>45720.708333333336</v>
      </c>
      <c r="S189" s="17" t="s">
        <v>451</v>
      </c>
      <c r="T189" s="17" t="s">
        <v>452</v>
      </c>
      <c r="U189" s="21" t="s">
        <v>1243</v>
      </c>
      <c r="V189" s="21" t="s">
        <v>1244</v>
      </c>
      <c r="W189" s="22">
        <v>72.0</v>
      </c>
      <c r="X189" s="22">
        <v>36.0</v>
      </c>
      <c r="Y189" s="23">
        <v>0.0</v>
      </c>
      <c r="Z189" s="23">
        <v>0.0</v>
      </c>
      <c r="AA189" s="24">
        <v>0.0</v>
      </c>
      <c r="AB189" s="24">
        <v>0.0</v>
      </c>
      <c r="AC189" s="24">
        <v>0.0</v>
      </c>
      <c r="AD189" s="23">
        <v>0.0</v>
      </c>
      <c r="AE189" s="24">
        <v>0.0</v>
      </c>
      <c r="AF189" s="17" t="s">
        <v>464</v>
      </c>
      <c r="AG189" s="32">
        <v>6686.0</v>
      </c>
      <c r="AH189" s="17" t="s">
        <v>451</v>
      </c>
      <c r="AI189" s="25">
        <f>IF(AF189="Sim",INT((R189-Q189+1))*K189*VLOOKUP(P189,'Tabelas Auxiliares'!$A$1:$C$400,3,FALSE),0)</f>
        <v>769.76</v>
      </c>
      <c r="AJ189" s="25">
        <f t="shared" si="2"/>
        <v>4680.2</v>
      </c>
      <c r="AK189" s="25">
        <f>IFS(
  O189="Acre",((W189*0.15)+(X189*0.7))*VLOOKUP(P189,'MunicípiosEstados'!$A$2:$B$23,2,FALSE),
  O189="Alagoas",((W189*0.15)+(X189*0.7))*VLOOKUP(P189,'MunicípiosEstados'!$C$2:$D$103,2,FALSE),
  O189="Amapá",((W189*0.15)+(X189*0.7))*VLOOKUP(P189,'MunicípiosEstados'!$E$2:$F$17,2,FALSE),
  O189="Amazonas",((W189*0.15)+(X189*0.7))*VLOOKUP(P189,'MunicípiosEstados'!$G$2:$H$63,2,FALSE),
  O189="Bahia",((W189*0.15)+(X189*0.7))*VLOOKUP(P189,'MunicípiosEstados'!$I$2:$J$418,2,FALSE),
  O189="Ceará",((W189*0.15)+(X189*0.7))*VLOOKUP(P189,'MunicípiosEstados'!$K$2:$L$185,2,FALSE),
  O189="Distrito Federal",((W189*0.15)+(X189*0.7))*VLOOKUP(P189,'MunicípiosEstados'!$M$2:$N$2,2,FALSE),
  O189="Espírito Santo",((W189*0.15)+(X189*0.7))*VLOOKUP(P189,'MunicípiosEstados'!$O$2:$P$79,2,FALSE),
  O189="Goiás",((W189*0.15)+(X189*0.7))*VLOOKUP(P189,'MunicípiosEstados'!$Q$2:$R$247,2,FALSE),
  O189="Maranhão",((W189*0.15)+(X189*0.7))*VLOOKUP(P189,'MunicípiosEstados'!$S$2:$T$218,2,FALSE),
  O189="Mato Grosso",((W189*0.15)+(X189*0.7))*VLOOKUP(P189,'MunicípiosEstados'!$U$2:$V$143,2,FALSE),
  O189="Mato Grosso do Sul",((W189*0.15)+(X189*0.7))*VLOOKUP(P189,'MunicípiosEstados'!$W$2:$X$80,2,FALSE),
  O189="Minas Gerais",((W189*0.15)+(X189*0.7))*VLOOKUP(P189,'MunicípiosEstados'!$Y$2:$Z$854,2,FALSE),
  O189="Pará",((W189*0.15)+(X189*0.7))*VLOOKUP(P189,'MunicípiosEstados'!$AA$2:$AB$145,2,FALSE),
  O189="Paraíba",((W189*0.15)+(X189*0.7))*VLOOKUP(P189,'MunicípiosEstados'!$AC$2:$AD$224,2,FALSE),
  O189="Paraná",((W189*0.15)+(X189*0.7))*VLOOKUP(P189,'MunicípiosEstados'!$AE$2:$AF$400,2,FALSE),
  O189="Pernambuco",((W189*0.15)+(X189*0.7))*VLOOKUP(P189,'MunicípiosEstados'!$AG$2:$AH$186,2,FALSE),
  O189="Piauí",((W189*0.15)+(X189*0.7))*VLOOKUP(P189,'MunicípiosEstados'!$AI$2:$AJ$225,2,FALSE),
  O189="Rio Grande do Norte",((W189*0.15)+(X189*0.7))*VLOOKUP(P189,'MunicípiosEstados'!$AK$2:$AL$168,2,FALSE),
  O189="Rio Grande do Sul",((W189*0.15)+(X189*0.7))*VLOOKUP(P189,'MunicípiosEstados'!$AM$2:$AN$498,2,FALSE),
  O189="Rio de Janeiro",((W189*0.15)+(X189*0.7))*VLOOKUP(P189,'MunicípiosEstados'!$AO$2:$AP$93,2,FALSE),
  O189="Rondônia",((W189*0.15)+(X189*0.7))*VLOOKUP(P189,'MunicípiosEstados'!$AQ$2:$AR$53,2,FALSE),
  O189="Roraima",((W189*0.15)+(X189*0.7))*VLOOKUP(P189,'MunicípiosEstados'!$AS$2:$AT$16,2,FALSE),
  O189="Santa Catarina",((W189*0.15)+(X189*0.7))*VLOOKUP(P189,'MunicípiosEstados'!$AU$2:$AV$296,2,FALSE),
  O189="São Paulo",((W189*0.15)+(X189*0.7))*VLOOKUP(P189,'MunicípiosEstados'!$AW$2:$AX$646,2,FALSE),
  O189="Sergipe",((W189*0.15)+(X189*0.7))*VLOOKUP(P189,'MunicípiosEstados'!$AY$2:$AZ$76,2,FALSE),
  O189="Tocantins",((W189*0.15)+(X189*0.7))*VLOOKUP(P189,'MunicípiosEstados'!$BA$2:$BB$140,2,FALSE),
  O189="Exterior",((W189*0.15)+(X189*0.7))*VLOOKUP(P189,'MunicípiosEstados'!$BC$2:$BE$221,3,FALSE),TRUE,0
)
</f>
        <v>13365.36</v>
      </c>
      <c r="AL189" s="25">
        <f t="shared" si="3"/>
        <v>18815.32</v>
      </c>
    </row>
    <row r="190" ht="22.5" hidden="1" customHeight="1">
      <c r="A190" s="15">
        <f t="shared" si="1"/>
        <v>189</v>
      </c>
      <c r="B190" s="16">
        <v>45989.69859532407</v>
      </c>
      <c r="C190" s="17" t="s">
        <v>887</v>
      </c>
      <c r="D190" s="27" t="s">
        <v>443</v>
      </c>
      <c r="E190" s="15" t="str">
        <f>VLOOKUP(G190,DiretoriaDepart.Coord.!$A$1:$C$72,2,FALSE)</f>
        <v>Extensão Rural</v>
      </c>
      <c r="F190" s="15" t="str">
        <f>VLOOKUP(G190,DiretoriaDepart.Coord.!$A$1:$C$72,3,FALSE)</f>
        <v>Políticas Públicas</v>
      </c>
      <c r="G190" s="17" t="s">
        <v>888</v>
      </c>
      <c r="H190" s="15"/>
      <c r="I190" s="19" t="s">
        <v>1245</v>
      </c>
      <c r="J190" s="17" t="s">
        <v>719</v>
      </c>
      <c r="K190" s="17">
        <v>43.0</v>
      </c>
      <c r="L190" s="15"/>
      <c r="M190" s="17" t="s">
        <v>1246</v>
      </c>
      <c r="N190" s="17">
        <v>20.0</v>
      </c>
      <c r="O190" s="17" t="s">
        <v>714</v>
      </c>
      <c r="P190" s="17" t="s">
        <v>95</v>
      </c>
      <c r="Q190" s="20">
        <v>45775.333333333336</v>
      </c>
      <c r="R190" s="20">
        <v>45777.708333333336</v>
      </c>
      <c r="S190" s="17" t="s">
        <v>451</v>
      </c>
      <c r="T190" s="17" t="s">
        <v>452</v>
      </c>
      <c r="U190" s="21" t="s">
        <v>1247</v>
      </c>
      <c r="V190" s="21" t="s">
        <v>1236</v>
      </c>
      <c r="W190" s="22">
        <v>350.0</v>
      </c>
      <c r="X190" s="22">
        <v>170.0</v>
      </c>
      <c r="Y190" s="23">
        <v>0.0</v>
      </c>
      <c r="Z190" s="23">
        <v>0.0</v>
      </c>
      <c r="AA190" s="24">
        <v>0.0</v>
      </c>
      <c r="AB190" s="24">
        <v>0.0</v>
      </c>
      <c r="AC190" s="24">
        <v>0.0</v>
      </c>
      <c r="AD190" s="23">
        <v>0.0</v>
      </c>
      <c r="AE190" s="24">
        <v>0.0</v>
      </c>
      <c r="AF190" s="17" t="s">
        <v>464</v>
      </c>
      <c r="AG190" s="17">
        <v>3848.0</v>
      </c>
      <c r="AH190" s="17" t="s">
        <v>451</v>
      </c>
      <c r="AI190" s="25">
        <f>IF(AF190="Sim",INT((R190-Q190+1))*K190*VLOOKUP(P190,'Tabelas Auxiliares'!$A$1:$C$400,3,FALSE),0)</f>
        <v>2920.56</v>
      </c>
      <c r="AJ190" s="25">
        <f t="shared" si="2"/>
        <v>2693.6</v>
      </c>
      <c r="AK190" s="25">
        <f>IFS(
  O190="Acre",((W190*0.15)+(X190*0.7))*VLOOKUP(P190,'MunicípiosEstados'!$A$2:$B$23,2,FALSE),
  O190="Alagoas",((W190*0.15)+(X190*0.7))*VLOOKUP(P190,'MunicípiosEstados'!$C$2:$D$103,2,FALSE),
  O190="Amapá",((W190*0.15)+(X190*0.7))*VLOOKUP(P190,'MunicípiosEstados'!$E$2:$F$17,2,FALSE),
  O190="Amazonas",((W190*0.15)+(X190*0.7))*VLOOKUP(P190,'MunicípiosEstados'!$G$2:$H$63,2,FALSE),
  O190="Bahia",((W190*0.15)+(X190*0.7))*VLOOKUP(P190,'MunicípiosEstados'!$I$2:$J$418,2,FALSE),
  O190="Ceará",((W190*0.15)+(X190*0.7))*VLOOKUP(P190,'MunicípiosEstados'!$K$2:$L$185,2,FALSE),
  O190="Distrito Federal",((W190*0.15)+(X190*0.7))*VLOOKUP(P190,'MunicípiosEstados'!$M$2:$N$2,2,FALSE),
  O190="Espírito Santo",((W190*0.15)+(X190*0.7))*VLOOKUP(P190,'MunicípiosEstados'!$O$2:$P$79,2,FALSE),
  O190="Goiás",((W190*0.15)+(X190*0.7))*VLOOKUP(P190,'MunicípiosEstados'!$Q$2:$R$247,2,FALSE),
  O190="Maranhão",((W190*0.15)+(X190*0.7))*VLOOKUP(P190,'MunicípiosEstados'!$S$2:$T$218,2,FALSE),
  O190="Mato Grosso",((W190*0.15)+(X190*0.7))*VLOOKUP(P190,'MunicípiosEstados'!$U$2:$V$143,2,FALSE),
  O190="Mato Grosso do Sul",((W190*0.15)+(X190*0.7))*VLOOKUP(P190,'MunicípiosEstados'!$W$2:$X$80,2,FALSE),
  O190="Minas Gerais",((W190*0.15)+(X190*0.7))*VLOOKUP(P190,'MunicípiosEstados'!$Y$2:$Z$854,2,FALSE),
  O190="Pará",((W190*0.15)+(X190*0.7))*VLOOKUP(P190,'MunicípiosEstados'!$AA$2:$AB$145,2,FALSE),
  O190="Paraíba",((W190*0.15)+(X190*0.7))*VLOOKUP(P190,'MunicípiosEstados'!$AC$2:$AD$224,2,FALSE),
  O190="Paraná",((W190*0.15)+(X190*0.7))*VLOOKUP(P190,'MunicípiosEstados'!$AE$2:$AF$400,2,FALSE),
  O190="Pernambuco",((W190*0.15)+(X190*0.7))*VLOOKUP(P190,'MunicípiosEstados'!$AG$2:$AH$186,2,FALSE),
  O190="Piauí",((W190*0.15)+(X190*0.7))*VLOOKUP(P190,'MunicípiosEstados'!$AI$2:$AJ$225,2,FALSE),
  O190="Rio Grande do Norte",((W190*0.15)+(X190*0.7))*VLOOKUP(P190,'MunicípiosEstados'!$AK$2:$AL$168,2,FALSE),
  O190="Rio Grande do Sul",((W190*0.15)+(X190*0.7))*VLOOKUP(P190,'MunicípiosEstados'!$AM$2:$AN$498,2,FALSE),
  O190="Rio de Janeiro",((W190*0.15)+(X190*0.7))*VLOOKUP(P190,'MunicípiosEstados'!$AO$2:$AP$93,2,FALSE),
  O190="Rondônia",((W190*0.15)+(X190*0.7))*VLOOKUP(P190,'MunicípiosEstados'!$AQ$2:$AR$53,2,FALSE),
  O190="Roraima",((W190*0.15)+(X190*0.7))*VLOOKUP(P190,'MunicípiosEstados'!$AS$2:$AT$16,2,FALSE),
  O190="Santa Catarina",((W190*0.15)+(X190*0.7))*VLOOKUP(P190,'MunicípiosEstados'!$AU$2:$AV$296,2,FALSE),
  O190="São Paulo",((W190*0.15)+(X190*0.7))*VLOOKUP(P190,'MunicípiosEstados'!$AW$2:$AX$646,2,FALSE),
  O190="Sergipe",((W190*0.15)+(X190*0.7))*VLOOKUP(P190,'MunicípiosEstados'!$AY$2:$AZ$76,2,FALSE),
  O190="Tocantins",((W190*0.15)+(X190*0.7))*VLOOKUP(P190,'MunicípiosEstados'!$BA$2:$BB$140,2,FALSE),
  O190="Exterior",((W190*0.15)+(X190*0.7))*VLOOKUP(P190,'MunicípiosEstados'!$BC$2:$BE$221,3,FALSE),TRUE,0
)
</f>
        <v>49829.325</v>
      </c>
      <c r="AL190" s="25">
        <f t="shared" si="3"/>
        <v>55443.485</v>
      </c>
    </row>
    <row r="191" ht="22.5" hidden="1" customHeight="1">
      <c r="A191" s="15">
        <f t="shared" si="1"/>
        <v>190</v>
      </c>
      <c r="B191" s="16">
        <v>45989.701729305554</v>
      </c>
      <c r="C191" s="17" t="s">
        <v>887</v>
      </c>
      <c r="D191" s="27" t="s">
        <v>443</v>
      </c>
      <c r="E191" s="15" t="str">
        <f>VLOOKUP(G191,DiretoriaDepart.Coord.!$A$1:$C$72,2,FALSE)</f>
        <v>Extensão Rural</v>
      </c>
      <c r="F191" s="15" t="str">
        <f>VLOOKUP(G191,DiretoriaDepart.Coord.!$A$1:$C$72,3,FALSE)</f>
        <v>Políticas Públicas</v>
      </c>
      <c r="G191" s="17" t="s">
        <v>888</v>
      </c>
      <c r="H191" s="15"/>
      <c r="I191" s="19" t="s">
        <v>1248</v>
      </c>
      <c r="J191" s="17" t="s">
        <v>719</v>
      </c>
      <c r="K191" s="17">
        <v>63.0</v>
      </c>
      <c r="L191" s="15"/>
      <c r="M191" s="17" t="s">
        <v>1234</v>
      </c>
      <c r="N191" s="17">
        <v>20.0</v>
      </c>
      <c r="O191" s="17" t="s">
        <v>714</v>
      </c>
      <c r="P191" s="17" t="s">
        <v>124</v>
      </c>
      <c r="Q191" s="20">
        <v>45782.333333333336</v>
      </c>
      <c r="R191" s="20">
        <v>45784.333333333336</v>
      </c>
      <c r="S191" s="17" t="s">
        <v>451</v>
      </c>
      <c r="T191" s="17" t="s">
        <v>452</v>
      </c>
      <c r="U191" s="21" t="s">
        <v>1235</v>
      </c>
      <c r="V191" s="21" t="s">
        <v>1236</v>
      </c>
      <c r="W191" s="22">
        <v>500.0</v>
      </c>
      <c r="X191" s="22">
        <v>245.0</v>
      </c>
      <c r="Y191" s="23">
        <v>0.0</v>
      </c>
      <c r="Z191" s="23">
        <v>0.0</v>
      </c>
      <c r="AA191" s="24">
        <v>0.0</v>
      </c>
      <c r="AB191" s="24">
        <v>0.0</v>
      </c>
      <c r="AC191" s="24">
        <v>0.0</v>
      </c>
      <c r="AD191" s="23">
        <v>0.0</v>
      </c>
      <c r="AE191" s="24">
        <v>0.0</v>
      </c>
      <c r="AF191" s="17" t="s">
        <v>464</v>
      </c>
      <c r="AG191" s="17">
        <v>6952.0</v>
      </c>
      <c r="AH191" s="17" t="s">
        <v>451</v>
      </c>
      <c r="AI191" s="25">
        <f>IF(AF191="Sim",INT((R191-Q191+1))*K191*VLOOKUP(P191,'Tabelas Auxiliares'!$A$1:$C$400,3,FALSE),0)</f>
        <v>4278.96</v>
      </c>
      <c r="AJ191" s="25">
        <f t="shared" si="2"/>
        <v>4866.4</v>
      </c>
      <c r="AK191" s="25">
        <f>IFS(
  O191="Acre",((W191*0.15)+(X191*0.7))*VLOOKUP(P191,'MunicípiosEstados'!$A$2:$B$23,2,FALSE),
  O191="Alagoas",((W191*0.15)+(X191*0.7))*VLOOKUP(P191,'MunicípiosEstados'!$C$2:$D$103,2,FALSE),
  O191="Amapá",((W191*0.15)+(X191*0.7))*VLOOKUP(P191,'MunicípiosEstados'!$E$2:$F$17,2,FALSE),
  O191="Amazonas",((W191*0.15)+(X191*0.7))*VLOOKUP(P191,'MunicípiosEstados'!$G$2:$H$63,2,FALSE),
  O191="Bahia",((W191*0.15)+(X191*0.7))*VLOOKUP(P191,'MunicípiosEstados'!$I$2:$J$418,2,FALSE),
  O191="Ceará",((W191*0.15)+(X191*0.7))*VLOOKUP(P191,'MunicípiosEstados'!$K$2:$L$185,2,FALSE),
  O191="Distrito Federal",((W191*0.15)+(X191*0.7))*VLOOKUP(P191,'MunicípiosEstados'!$M$2:$N$2,2,FALSE),
  O191="Espírito Santo",((W191*0.15)+(X191*0.7))*VLOOKUP(P191,'MunicípiosEstados'!$O$2:$P$79,2,FALSE),
  O191="Goiás",((W191*0.15)+(X191*0.7))*VLOOKUP(P191,'MunicípiosEstados'!$Q$2:$R$247,2,FALSE),
  O191="Maranhão",((W191*0.15)+(X191*0.7))*VLOOKUP(P191,'MunicípiosEstados'!$S$2:$T$218,2,FALSE),
  O191="Mato Grosso",((W191*0.15)+(X191*0.7))*VLOOKUP(P191,'MunicípiosEstados'!$U$2:$V$143,2,FALSE),
  O191="Mato Grosso do Sul",((W191*0.15)+(X191*0.7))*VLOOKUP(P191,'MunicípiosEstados'!$W$2:$X$80,2,FALSE),
  O191="Minas Gerais",((W191*0.15)+(X191*0.7))*VLOOKUP(P191,'MunicípiosEstados'!$Y$2:$Z$854,2,FALSE),
  O191="Pará",((W191*0.15)+(X191*0.7))*VLOOKUP(P191,'MunicípiosEstados'!$AA$2:$AB$145,2,FALSE),
  O191="Paraíba",((W191*0.15)+(X191*0.7))*VLOOKUP(P191,'MunicípiosEstados'!$AC$2:$AD$224,2,FALSE),
  O191="Paraná",((W191*0.15)+(X191*0.7))*VLOOKUP(P191,'MunicípiosEstados'!$AE$2:$AF$400,2,FALSE),
  O191="Pernambuco",((W191*0.15)+(X191*0.7))*VLOOKUP(P191,'MunicípiosEstados'!$AG$2:$AH$186,2,FALSE),
  O191="Piauí",((W191*0.15)+(X191*0.7))*VLOOKUP(P191,'MunicípiosEstados'!$AI$2:$AJ$225,2,FALSE),
  O191="Rio Grande do Norte",((W191*0.15)+(X191*0.7))*VLOOKUP(P191,'MunicípiosEstados'!$AK$2:$AL$168,2,FALSE),
  O191="Rio Grande do Sul",((W191*0.15)+(X191*0.7))*VLOOKUP(P191,'MunicípiosEstados'!$AM$2:$AN$498,2,FALSE),
  O191="Rio de Janeiro",((W191*0.15)+(X191*0.7))*VLOOKUP(P191,'MunicípiosEstados'!$AO$2:$AP$93,2,FALSE),
  O191="Rondônia",((W191*0.15)+(X191*0.7))*VLOOKUP(P191,'MunicípiosEstados'!$AQ$2:$AR$53,2,FALSE),
  O191="Roraima",((W191*0.15)+(X191*0.7))*VLOOKUP(P191,'MunicípiosEstados'!$AS$2:$AT$16,2,FALSE),
  O191="Santa Catarina",((W191*0.15)+(X191*0.7))*VLOOKUP(P191,'MunicípiosEstados'!$AU$2:$AV$296,2,FALSE),
  O191="São Paulo",((W191*0.15)+(X191*0.7))*VLOOKUP(P191,'MunicípiosEstados'!$AW$2:$AX$646,2,FALSE),
  O191="Sergipe",((W191*0.15)+(X191*0.7))*VLOOKUP(P191,'MunicípiosEstados'!$AY$2:$AZ$76,2,FALSE),
  O191="Tocantins",((W191*0.15)+(X191*0.7))*VLOOKUP(P191,'MunicípiosEstados'!$BA$2:$BB$140,2,FALSE),
  O191="Exterior",((W191*0.15)+(X191*0.7))*VLOOKUP(P191,'MunicípiosEstados'!$BC$2:$BE$221,3,FALSE),TRUE,0
)
</f>
        <v>71620.575</v>
      </c>
      <c r="AL191" s="25">
        <f t="shared" si="3"/>
        <v>80765.935</v>
      </c>
    </row>
    <row r="192" ht="22.5" hidden="1" customHeight="1">
      <c r="A192" s="15">
        <f t="shared" si="1"/>
        <v>191</v>
      </c>
      <c r="B192" s="16">
        <v>45989.71562761574</v>
      </c>
      <c r="C192" s="17" t="s">
        <v>1249</v>
      </c>
      <c r="D192" s="27" t="s">
        <v>443</v>
      </c>
      <c r="E192" s="15" t="str">
        <f>VLOOKUP(G192,DiretoriaDepart.Coord.!$A$1:$C$72,2,FALSE)</f>
        <v>Pesquisa e Inovação</v>
      </c>
      <c r="F192" s="15" t="str">
        <f>VLOOKUP(G192,DiretoriaDepart.Coord.!$A$1:$C$72,3,FALSE)</f>
        <v>Inovação e Comunicação Científica</v>
      </c>
      <c r="G192" s="17" t="s">
        <v>552</v>
      </c>
      <c r="H192" s="15"/>
      <c r="I192" s="17" t="s">
        <v>1250</v>
      </c>
      <c r="J192" s="17" t="s">
        <v>490</v>
      </c>
      <c r="K192" s="17">
        <v>1.0</v>
      </c>
      <c r="L192" s="17" t="s">
        <v>1251</v>
      </c>
      <c r="M192" s="17" t="s">
        <v>1252</v>
      </c>
      <c r="N192" s="17">
        <v>1200.0</v>
      </c>
      <c r="O192" s="17" t="s">
        <v>714</v>
      </c>
      <c r="P192" s="17" t="s">
        <v>138</v>
      </c>
      <c r="Q192" s="20">
        <v>45894.333333333336</v>
      </c>
      <c r="R192" s="20">
        <v>45897.791666666664</v>
      </c>
      <c r="S192" s="17" t="s">
        <v>464</v>
      </c>
      <c r="T192" s="17" t="s">
        <v>452</v>
      </c>
      <c r="U192" s="21" t="s">
        <v>1253</v>
      </c>
      <c r="V192" s="21" t="s">
        <v>1254</v>
      </c>
      <c r="W192" s="22">
        <v>14.0</v>
      </c>
      <c r="X192" s="22">
        <v>4.0</v>
      </c>
      <c r="Y192" s="23">
        <v>1100.0</v>
      </c>
      <c r="Z192" s="23">
        <v>0.0</v>
      </c>
      <c r="AA192" s="24">
        <v>0.0</v>
      </c>
      <c r="AB192" s="24">
        <v>900.0</v>
      </c>
      <c r="AC192" s="24">
        <v>300.0</v>
      </c>
      <c r="AD192" s="23">
        <v>0.0</v>
      </c>
      <c r="AE192" s="24">
        <v>0.0</v>
      </c>
      <c r="AF192" s="17" t="s">
        <v>451</v>
      </c>
      <c r="AG192" s="17">
        <v>0.0</v>
      </c>
      <c r="AH192" s="17" t="s">
        <v>451</v>
      </c>
      <c r="AI192" s="25">
        <f>IF(AF192="Sim",INT((R192-Q192+1))*K192*VLOOKUP(P192,'Tabelas Auxiliares'!$A$1:$C$400,3,FALSE),0)</f>
        <v>0</v>
      </c>
      <c r="AJ192" s="25">
        <f t="shared" si="2"/>
        <v>0</v>
      </c>
      <c r="AK192" s="25">
        <f>IFS(
  O192="Acre",((W192*0.15)+(X192*0.7))*VLOOKUP(P192,'MunicípiosEstados'!$A$2:$B$23,2,FALSE),
  O192="Alagoas",((W192*0.15)+(X192*0.7))*VLOOKUP(P192,'MunicípiosEstados'!$C$2:$D$103,2,FALSE),
  O192="Amapá",((W192*0.15)+(X192*0.7))*VLOOKUP(P192,'MunicípiosEstados'!$E$2:$F$17,2,FALSE),
  O192="Amazonas",((W192*0.15)+(X192*0.7))*VLOOKUP(P192,'MunicípiosEstados'!$G$2:$H$63,2,FALSE),
  O192="Bahia",((W192*0.15)+(X192*0.7))*VLOOKUP(P192,'MunicípiosEstados'!$I$2:$J$418,2,FALSE),
  O192="Ceará",((W192*0.15)+(X192*0.7))*VLOOKUP(P192,'MunicípiosEstados'!$K$2:$L$185,2,FALSE),
  O192="Distrito Federal",((W192*0.15)+(X192*0.7))*VLOOKUP(P192,'MunicípiosEstados'!$M$2:$N$2,2,FALSE),
  O192="Espírito Santo",((W192*0.15)+(X192*0.7))*VLOOKUP(P192,'MunicípiosEstados'!$O$2:$P$79,2,FALSE),
  O192="Goiás",((W192*0.15)+(X192*0.7))*VLOOKUP(P192,'MunicípiosEstados'!$Q$2:$R$247,2,FALSE),
  O192="Maranhão",((W192*0.15)+(X192*0.7))*VLOOKUP(P192,'MunicípiosEstados'!$S$2:$T$218,2,FALSE),
  O192="Mato Grosso",((W192*0.15)+(X192*0.7))*VLOOKUP(P192,'MunicípiosEstados'!$U$2:$V$143,2,FALSE),
  O192="Mato Grosso do Sul",((W192*0.15)+(X192*0.7))*VLOOKUP(P192,'MunicípiosEstados'!$W$2:$X$80,2,FALSE),
  O192="Minas Gerais",((W192*0.15)+(X192*0.7))*VLOOKUP(P192,'MunicípiosEstados'!$Y$2:$Z$854,2,FALSE),
  O192="Pará",((W192*0.15)+(X192*0.7))*VLOOKUP(P192,'MunicípiosEstados'!$AA$2:$AB$145,2,FALSE),
  O192="Paraíba",((W192*0.15)+(X192*0.7))*VLOOKUP(P192,'MunicípiosEstados'!$AC$2:$AD$224,2,FALSE),
  O192="Paraná",((W192*0.15)+(X192*0.7))*VLOOKUP(P192,'MunicípiosEstados'!$AE$2:$AF$400,2,FALSE),
  O192="Pernambuco",((W192*0.15)+(X192*0.7))*VLOOKUP(P192,'MunicípiosEstados'!$AG$2:$AH$186,2,FALSE),
  O192="Piauí",((W192*0.15)+(X192*0.7))*VLOOKUP(P192,'MunicípiosEstados'!$AI$2:$AJ$225,2,FALSE),
  O192="Rio Grande do Norte",((W192*0.15)+(X192*0.7))*VLOOKUP(P192,'MunicípiosEstados'!$AK$2:$AL$168,2,FALSE),
  O192="Rio Grande do Sul",((W192*0.15)+(X192*0.7))*VLOOKUP(P192,'MunicípiosEstados'!$AM$2:$AN$498,2,FALSE),
  O192="Rio de Janeiro",((W192*0.15)+(X192*0.7))*VLOOKUP(P192,'MunicípiosEstados'!$AO$2:$AP$93,2,FALSE),
  O192="Rondônia",((W192*0.15)+(X192*0.7))*VLOOKUP(P192,'MunicípiosEstados'!$AQ$2:$AR$53,2,FALSE),
  O192="Roraima",((W192*0.15)+(X192*0.7))*VLOOKUP(P192,'MunicípiosEstados'!$AS$2:$AT$16,2,FALSE),
  O192="Santa Catarina",((W192*0.15)+(X192*0.7))*VLOOKUP(P192,'MunicípiosEstados'!$AU$2:$AV$296,2,FALSE),
  O192="São Paulo",((W192*0.15)+(X192*0.7))*VLOOKUP(P192,'MunicípiosEstados'!$AW$2:$AX$646,2,FALSE),
  O192="Sergipe",((W192*0.15)+(X192*0.7))*VLOOKUP(P192,'MunicípiosEstados'!$AY$2:$AZ$76,2,FALSE),
  O192="Tocantins",((W192*0.15)+(X192*0.7))*VLOOKUP(P192,'MunicípiosEstados'!$BA$2:$BB$140,2,FALSE),
  O192="Exterior",((W192*0.15)+(X192*0.7))*VLOOKUP(P192,'MunicípiosEstados'!$BC$2:$BE$221,3,FALSE),TRUE,0
)
</f>
        <v>1423.695</v>
      </c>
      <c r="AL192" s="25">
        <f t="shared" si="3"/>
        <v>3723.695</v>
      </c>
      <c r="AN192" s="35"/>
    </row>
    <row r="193" ht="22.5" hidden="1" customHeight="1">
      <c r="A193" s="15">
        <f t="shared" si="1"/>
        <v>192</v>
      </c>
      <c r="B193" s="16">
        <v>45989.731124618054</v>
      </c>
      <c r="C193" s="17" t="s">
        <v>887</v>
      </c>
      <c r="D193" s="27" t="s">
        <v>443</v>
      </c>
      <c r="E193" s="15" t="str">
        <f>VLOOKUP(G193,DiretoriaDepart.Coord.!$A$1:$C$72,2,FALSE)</f>
        <v>Extensão Rural</v>
      </c>
      <c r="F193" s="15" t="str">
        <f>VLOOKUP(G193,DiretoriaDepart.Coord.!$A$1:$C$72,3,FALSE)</f>
        <v>Políticas Públicas</v>
      </c>
      <c r="G193" s="17" t="s">
        <v>888</v>
      </c>
      <c r="H193" s="15"/>
      <c r="I193" s="17" t="s">
        <v>1255</v>
      </c>
      <c r="J193" s="17" t="s">
        <v>719</v>
      </c>
      <c r="K193" s="17">
        <v>30.0</v>
      </c>
      <c r="L193" s="15"/>
      <c r="M193" s="17" t="s">
        <v>1256</v>
      </c>
      <c r="N193" s="17">
        <v>5.0</v>
      </c>
      <c r="O193" s="17" t="s">
        <v>714</v>
      </c>
      <c r="P193" s="17" t="s">
        <v>6</v>
      </c>
      <c r="Q193" s="20">
        <v>45824.333333333336</v>
      </c>
      <c r="R193" s="20">
        <v>45826.708333333336</v>
      </c>
      <c r="S193" s="17" t="s">
        <v>451</v>
      </c>
      <c r="T193" s="17" t="s">
        <v>452</v>
      </c>
      <c r="U193" s="21" t="s">
        <v>1257</v>
      </c>
      <c r="V193" s="21" t="s">
        <v>1258</v>
      </c>
      <c r="W193" s="22">
        <v>240.0</v>
      </c>
      <c r="X193" s="22">
        <v>120.0</v>
      </c>
      <c r="Y193" s="23">
        <v>0.0</v>
      </c>
      <c r="Z193" s="23">
        <v>0.0</v>
      </c>
      <c r="AA193" s="24">
        <v>0.0</v>
      </c>
      <c r="AB193" s="24">
        <v>0.0</v>
      </c>
      <c r="AC193" s="24">
        <v>0.0</v>
      </c>
      <c r="AD193" s="23">
        <v>0.0</v>
      </c>
      <c r="AE193" s="24">
        <v>0.0</v>
      </c>
      <c r="AF193" s="17" t="s">
        <v>464</v>
      </c>
      <c r="AG193" s="17">
        <v>16244.0</v>
      </c>
      <c r="AH193" s="17" t="s">
        <v>451</v>
      </c>
      <c r="AI193" s="25">
        <f>IF(AF193="Sim",INT((R193-Q193+1))*K193*VLOOKUP(P193,'Tabelas Auxiliares'!$A$1:$C$400,3,FALSE),0)</f>
        <v>2037.6</v>
      </c>
      <c r="AJ193" s="25">
        <f t="shared" si="2"/>
        <v>11370.8</v>
      </c>
      <c r="AK193" s="25">
        <f>IFS(
  O193="Acre",((W193*0.15)+(X193*0.7))*VLOOKUP(P193,'MunicípiosEstados'!$A$2:$B$23,2,FALSE),
  O193="Alagoas",((W193*0.15)+(X193*0.7))*VLOOKUP(P193,'MunicípiosEstados'!$C$2:$D$103,2,FALSE),
  O193="Amapá",((W193*0.15)+(X193*0.7))*VLOOKUP(P193,'MunicípiosEstados'!$E$2:$F$17,2,FALSE),
  O193="Amazonas",((W193*0.15)+(X193*0.7))*VLOOKUP(P193,'MunicípiosEstados'!$G$2:$H$63,2,FALSE),
  O193="Bahia",((W193*0.15)+(X193*0.7))*VLOOKUP(P193,'MunicípiosEstados'!$I$2:$J$418,2,FALSE),
  O193="Ceará",((W193*0.15)+(X193*0.7))*VLOOKUP(P193,'MunicípiosEstados'!$K$2:$L$185,2,FALSE),
  O193="Distrito Federal",((W193*0.15)+(X193*0.7))*VLOOKUP(P193,'MunicípiosEstados'!$M$2:$N$2,2,FALSE),
  O193="Espírito Santo",((W193*0.15)+(X193*0.7))*VLOOKUP(P193,'MunicípiosEstados'!$O$2:$P$79,2,FALSE),
  O193="Goiás",((W193*0.15)+(X193*0.7))*VLOOKUP(P193,'MunicípiosEstados'!$Q$2:$R$247,2,FALSE),
  O193="Maranhão",((W193*0.15)+(X193*0.7))*VLOOKUP(P193,'MunicípiosEstados'!$S$2:$T$218,2,FALSE),
  O193="Mato Grosso",((W193*0.15)+(X193*0.7))*VLOOKUP(P193,'MunicípiosEstados'!$U$2:$V$143,2,FALSE),
  O193="Mato Grosso do Sul",((W193*0.15)+(X193*0.7))*VLOOKUP(P193,'MunicípiosEstados'!$W$2:$X$80,2,FALSE),
  O193="Minas Gerais",((W193*0.15)+(X193*0.7))*VLOOKUP(P193,'MunicípiosEstados'!$Y$2:$Z$854,2,FALSE),
  O193="Pará",((W193*0.15)+(X193*0.7))*VLOOKUP(P193,'MunicípiosEstados'!$AA$2:$AB$145,2,FALSE),
  O193="Paraíba",((W193*0.15)+(X193*0.7))*VLOOKUP(P193,'MunicípiosEstados'!$AC$2:$AD$224,2,FALSE),
  O193="Paraná",((W193*0.15)+(X193*0.7))*VLOOKUP(P193,'MunicípiosEstados'!$AE$2:$AF$400,2,FALSE),
  O193="Pernambuco",((W193*0.15)+(X193*0.7))*VLOOKUP(P193,'MunicípiosEstados'!$AG$2:$AH$186,2,FALSE),
  O193="Piauí",((W193*0.15)+(X193*0.7))*VLOOKUP(P193,'MunicípiosEstados'!$AI$2:$AJ$225,2,FALSE),
  O193="Rio Grande do Norte",((W193*0.15)+(X193*0.7))*VLOOKUP(P193,'MunicípiosEstados'!$AK$2:$AL$168,2,FALSE),
  O193="Rio Grande do Sul",((W193*0.15)+(X193*0.7))*VLOOKUP(P193,'MunicípiosEstados'!$AM$2:$AN$498,2,FALSE),
  O193="Rio de Janeiro",((W193*0.15)+(X193*0.7))*VLOOKUP(P193,'MunicípiosEstados'!$AO$2:$AP$93,2,FALSE),
  O193="Rondônia",((W193*0.15)+(X193*0.7))*VLOOKUP(P193,'MunicípiosEstados'!$AQ$2:$AR$53,2,FALSE),
  O193="Roraima",((W193*0.15)+(X193*0.7))*VLOOKUP(P193,'MunicípiosEstados'!$AS$2:$AT$16,2,FALSE),
  O193="Santa Catarina",((W193*0.15)+(X193*0.7))*VLOOKUP(P193,'MunicípiosEstados'!$AU$2:$AV$296,2,FALSE),
  O193="São Paulo",((W193*0.15)+(X193*0.7))*VLOOKUP(P193,'MunicípiosEstados'!$AW$2:$AX$646,2,FALSE),
  O193="Sergipe",((W193*0.15)+(X193*0.7))*VLOOKUP(P193,'MunicípiosEstados'!$AY$2:$AZ$76,2,FALSE),
  O193="Tocantins",((W193*0.15)+(X193*0.7))*VLOOKUP(P193,'MunicípiosEstados'!$BA$2:$BB$140,2,FALSE),
  O193="Exterior",((W193*0.15)+(X193*0.7))*VLOOKUP(P193,'MunicípiosEstados'!$BC$2:$BE$221,3,FALSE),TRUE,0
)
</f>
        <v>44551.2</v>
      </c>
      <c r="AL193" s="25">
        <f t="shared" si="3"/>
        <v>57959.6</v>
      </c>
    </row>
    <row r="194" ht="22.5" hidden="1" customHeight="1">
      <c r="A194" s="15">
        <f t="shared" si="1"/>
        <v>193</v>
      </c>
      <c r="B194" s="16">
        <v>45990.045013483796</v>
      </c>
      <c r="C194" s="17" t="s">
        <v>558</v>
      </c>
      <c r="D194" s="27" t="s">
        <v>443</v>
      </c>
      <c r="E194" s="15" t="str">
        <f>VLOOKUP(G194,DiretoriaDepart.Coord.!$A$1:$C$72,2,FALSE)</f>
        <v>Pesquisa e Inovação</v>
      </c>
      <c r="F194" s="15" t="str">
        <f>VLOOKUP(G194,DiretoriaDepart.Coord.!$A$1:$C$72,3,FALSE)</f>
        <v>Inovação e Comunicação Científica</v>
      </c>
      <c r="G194" s="17" t="s">
        <v>477</v>
      </c>
      <c r="H194" s="15"/>
      <c r="I194" s="17" t="s">
        <v>1259</v>
      </c>
      <c r="J194" s="17" t="s">
        <v>728</v>
      </c>
      <c r="K194" s="34" t="s">
        <v>646</v>
      </c>
      <c r="L194" s="17" t="s">
        <v>560</v>
      </c>
      <c r="M194" s="17" t="s">
        <v>1260</v>
      </c>
      <c r="N194" s="17">
        <v>0.0</v>
      </c>
      <c r="O194" s="17" t="s">
        <v>714</v>
      </c>
      <c r="P194" s="17" t="s">
        <v>23</v>
      </c>
      <c r="Q194" s="20">
        <v>45717.333333333336</v>
      </c>
      <c r="R194" s="20">
        <v>46009.708333333336</v>
      </c>
      <c r="S194" s="17" t="s">
        <v>451</v>
      </c>
      <c r="T194" s="17" t="s">
        <v>452</v>
      </c>
      <c r="U194" s="21" t="s">
        <v>1261</v>
      </c>
      <c r="V194" s="21" t="s">
        <v>1262</v>
      </c>
      <c r="W194" s="22">
        <v>0.0</v>
      </c>
      <c r="X194" s="22">
        <v>0.0</v>
      </c>
      <c r="Y194" s="23">
        <v>0.0</v>
      </c>
      <c r="Z194" s="23">
        <v>0.0</v>
      </c>
      <c r="AA194" s="24">
        <v>0.0</v>
      </c>
      <c r="AB194" s="24">
        <v>0.0</v>
      </c>
      <c r="AC194" s="24">
        <v>0.0</v>
      </c>
      <c r="AD194" s="23">
        <v>0.0</v>
      </c>
      <c r="AE194" s="24">
        <v>0.0</v>
      </c>
      <c r="AF194" s="17" t="s">
        <v>451</v>
      </c>
      <c r="AG194" s="17">
        <v>0.0</v>
      </c>
      <c r="AH194" s="17" t="s">
        <v>451</v>
      </c>
      <c r="AI194" s="25">
        <f>IF(AF194="Sim",INT((R194-Q194+1))*K194*VLOOKUP(P194,'Tabelas Auxiliares'!$A$1:$C$400,3,FALSE),0)</f>
        <v>0</v>
      </c>
      <c r="AJ194" s="25">
        <f t="shared" si="2"/>
        <v>0</v>
      </c>
      <c r="AK194" s="25">
        <f>IFS(
  O194="Acre",((W194*0.15)+(X194*0.7))*VLOOKUP(P194,'MunicípiosEstados'!$A$2:$B$23,2,FALSE),
  O194="Alagoas",((W194*0.15)+(X194*0.7))*VLOOKUP(P194,'MunicípiosEstados'!$C$2:$D$103,2,FALSE),
  O194="Amapá",((W194*0.15)+(X194*0.7))*VLOOKUP(P194,'MunicípiosEstados'!$E$2:$F$17,2,FALSE),
  O194="Amazonas",((W194*0.15)+(X194*0.7))*VLOOKUP(P194,'MunicípiosEstados'!$G$2:$H$63,2,FALSE),
  O194="Bahia",((W194*0.15)+(X194*0.7))*VLOOKUP(P194,'MunicípiosEstados'!$I$2:$J$418,2,FALSE),
  O194="Ceará",((W194*0.15)+(X194*0.7))*VLOOKUP(P194,'MunicípiosEstados'!$K$2:$L$185,2,FALSE),
  O194="Distrito Federal",((W194*0.15)+(X194*0.7))*VLOOKUP(P194,'MunicípiosEstados'!$M$2:$N$2,2,FALSE),
  O194="Espírito Santo",((W194*0.15)+(X194*0.7))*VLOOKUP(P194,'MunicípiosEstados'!$O$2:$P$79,2,FALSE),
  O194="Goiás",((W194*0.15)+(X194*0.7))*VLOOKUP(P194,'MunicípiosEstados'!$Q$2:$R$247,2,FALSE),
  O194="Maranhão",((W194*0.15)+(X194*0.7))*VLOOKUP(P194,'MunicípiosEstados'!$S$2:$T$218,2,FALSE),
  O194="Mato Grosso",((W194*0.15)+(X194*0.7))*VLOOKUP(P194,'MunicípiosEstados'!$U$2:$V$143,2,FALSE),
  O194="Mato Grosso do Sul",((W194*0.15)+(X194*0.7))*VLOOKUP(P194,'MunicípiosEstados'!$W$2:$X$80,2,FALSE),
  O194="Minas Gerais",((W194*0.15)+(X194*0.7))*VLOOKUP(P194,'MunicípiosEstados'!$Y$2:$Z$854,2,FALSE),
  O194="Pará",((W194*0.15)+(X194*0.7))*VLOOKUP(P194,'MunicípiosEstados'!$AA$2:$AB$145,2,FALSE),
  O194="Paraíba",((W194*0.15)+(X194*0.7))*VLOOKUP(P194,'MunicípiosEstados'!$AC$2:$AD$224,2,FALSE),
  O194="Paraná",((W194*0.15)+(X194*0.7))*VLOOKUP(P194,'MunicípiosEstados'!$AE$2:$AF$400,2,FALSE),
  O194="Pernambuco",((W194*0.15)+(X194*0.7))*VLOOKUP(P194,'MunicípiosEstados'!$AG$2:$AH$186,2,FALSE),
  O194="Piauí",((W194*0.15)+(X194*0.7))*VLOOKUP(P194,'MunicípiosEstados'!$AI$2:$AJ$225,2,FALSE),
  O194="Rio Grande do Norte",((W194*0.15)+(X194*0.7))*VLOOKUP(P194,'MunicípiosEstados'!$AK$2:$AL$168,2,FALSE),
  O194="Rio Grande do Sul",((W194*0.15)+(X194*0.7))*VLOOKUP(P194,'MunicípiosEstados'!$AM$2:$AN$498,2,FALSE),
  O194="Rio de Janeiro",((W194*0.15)+(X194*0.7))*VLOOKUP(P194,'MunicípiosEstados'!$AO$2:$AP$93,2,FALSE),
  O194="Rondônia",((W194*0.15)+(X194*0.7))*VLOOKUP(P194,'MunicípiosEstados'!$AQ$2:$AR$53,2,FALSE),
  O194="Roraima",((W194*0.15)+(X194*0.7))*VLOOKUP(P194,'MunicípiosEstados'!$AS$2:$AT$16,2,FALSE),
  O194="Santa Catarina",((W194*0.15)+(X194*0.7))*VLOOKUP(P194,'MunicípiosEstados'!$AU$2:$AV$296,2,FALSE),
  O194="São Paulo",((W194*0.15)+(X194*0.7))*VLOOKUP(P194,'MunicípiosEstados'!$AW$2:$AX$646,2,FALSE),
  O194="Sergipe",((W194*0.15)+(X194*0.7))*VLOOKUP(P194,'MunicípiosEstados'!$AY$2:$AZ$76,2,FALSE),
  O194="Tocantins",((W194*0.15)+(X194*0.7))*VLOOKUP(P194,'MunicípiosEstados'!$BA$2:$BB$140,2,FALSE),
  O194="Exterior",((W194*0.15)+(X194*0.7))*VLOOKUP(P194,'MunicípiosEstados'!$BC$2:$BE$221,3,FALSE),TRUE,0
)
</f>
        <v>0</v>
      </c>
      <c r="AL194" s="25">
        <f t="shared" si="3"/>
        <v>0</v>
      </c>
      <c r="AN194" s="35"/>
    </row>
    <row r="195" ht="22.5" hidden="1" customHeight="1">
      <c r="A195" s="15">
        <f t="shared" si="1"/>
        <v>194</v>
      </c>
      <c r="B195" s="16">
        <v>45990.05935309028</v>
      </c>
      <c r="C195" s="17" t="s">
        <v>558</v>
      </c>
      <c r="D195" s="27" t="s">
        <v>443</v>
      </c>
      <c r="E195" s="15" t="str">
        <f>VLOOKUP(G195,DiretoriaDepart.Coord.!$A$1:$C$72,2,FALSE)</f>
        <v>Pesquisa e Inovação</v>
      </c>
      <c r="F195" s="15" t="str">
        <f>VLOOKUP(G195,DiretoriaDepart.Coord.!$A$1:$C$72,3,FALSE)</f>
        <v>Inovação e Comunicação Científica</v>
      </c>
      <c r="G195" s="17" t="s">
        <v>477</v>
      </c>
      <c r="H195" s="15"/>
      <c r="I195" s="17" t="s">
        <v>1263</v>
      </c>
      <c r="J195" s="17" t="s">
        <v>459</v>
      </c>
      <c r="K195" s="17">
        <v>1.0</v>
      </c>
      <c r="L195" s="17" t="s">
        <v>560</v>
      </c>
      <c r="M195" s="17" t="s">
        <v>1264</v>
      </c>
      <c r="N195" s="17">
        <v>0.0</v>
      </c>
      <c r="O195" s="17" t="s">
        <v>714</v>
      </c>
      <c r="P195" s="17" t="s">
        <v>6</v>
      </c>
      <c r="Q195" s="20">
        <v>45931.333333333336</v>
      </c>
      <c r="R195" s="20">
        <v>45933.708333333336</v>
      </c>
      <c r="S195" s="17" t="s">
        <v>451</v>
      </c>
      <c r="T195" s="17" t="s">
        <v>452</v>
      </c>
      <c r="U195" s="21" t="s">
        <v>1265</v>
      </c>
      <c r="V195" s="21" t="s">
        <v>1266</v>
      </c>
      <c r="W195" s="22">
        <v>8.0</v>
      </c>
      <c r="X195" s="22">
        <v>4.0</v>
      </c>
      <c r="Y195" s="23">
        <v>500.0</v>
      </c>
      <c r="Z195" s="23">
        <v>0.0</v>
      </c>
      <c r="AA195" s="24">
        <v>0.0</v>
      </c>
      <c r="AB195" s="24">
        <v>0.0</v>
      </c>
      <c r="AC195" s="24">
        <v>0.0</v>
      </c>
      <c r="AD195" s="23">
        <v>0.0</v>
      </c>
      <c r="AE195" s="24">
        <v>0.0</v>
      </c>
      <c r="AF195" s="17" t="s">
        <v>451</v>
      </c>
      <c r="AG195" s="17">
        <v>1200.0</v>
      </c>
      <c r="AH195" s="17" t="s">
        <v>451</v>
      </c>
      <c r="AI195" s="25">
        <f>IF(AF195="Sim",INT((R195-Q195+1))*K195*VLOOKUP(P195,'Tabelas Auxiliares'!$A$1:$C$400,3,FALSE),0)</f>
        <v>0</v>
      </c>
      <c r="AJ195" s="25">
        <f t="shared" si="2"/>
        <v>840</v>
      </c>
      <c r="AK195" s="25">
        <f>IFS(
  O195="Acre",((W195*0.15)+(X195*0.7))*VLOOKUP(P195,'MunicípiosEstados'!$A$2:$B$23,2,FALSE),
  O195="Alagoas",((W195*0.15)+(X195*0.7))*VLOOKUP(P195,'MunicípiosEstados'!$C$2:$D$103,2,FALSE),
  O195="Amapá",((W195*0.15)+(X195*0.7))*VLOOKUP(P195,'MunicípiosEstados'!$E$2:$F$17,2,FALSE),
  O195="Amazonas",((W195*0.15)+(X195*0.7))*VLOOKUP(P195,'MunicípiosEstados'!$G$2:$H$63,2,FALSE),
  O195="Bahia",((W195*0.15)+(X195*0.7))*VLOOKUP(P195,'MunicípiosEstados'!$I$2:$J$418,2,FALSE),
  O195="Ceará",((W195*0.15)+(X195*0.7))*VLOOKUP(P195,'MunicípiosEstados'!$K$2:$L$185,2,FALSE),
  O195="Distrito Federal",((W195*0.15)+(X195*0.7))*VLOOKUP(P195,'MunicípiosEstados'!$M$2:$N$2,2,FALSE),
  O195="Espírito Santo",((W195*0.15)+(X195*0.7))*VLOOKUP(P195,'MunicípiosEstados'!$O$2:$P$79,2,FALSE),
  O195="Goiás",((W195*0.15)+(X195*0.7))*VLOOKUP(P195,'MunicípiosEstados'!$Q$2:$R$247,2,FALSE),
  O195="Maranhão",((W195*0.15)+(X195*0.7))*VLOOKUP(P195,'MunicípiosEstados'!$S$2:$T$218,2,FALSE),
  O195="Mato Grosso",((W195*0.15)+(X195*0.7))*VLOOKUP(P195,'MunicípiosEstados'!$U$2:$V$143,2,FALSE),
  O195="Mato Grosso do Sul",((W195*0.15)+(X195*0.7))*VLOOKUP(P195,'MunicípiosEstados'!$W$2:$X$80,2,FALSE),
  O195="Minas Gerais",((W195*0.15)+(X195*0.7))*VLOOKUP(P195,'MunicípiosEstados'!$Y$2:$Z$854,2,FALSE),
  O195="Pará",((W195*0.15)+(X195*0.7))*VLOOKUP(P195,'MunicípiosEstados'!$AA$2:$AB$145,2,FALSE),
  O195="Paraíba",((W195*0.15)+(X195*0.7))*VLOOKUP(P195,'MunicípiosEstados'!$AC$2:$AD$224,2,FALSE),
  O195="Paraná",((W195*0.15)+(X195*0.7))*VLOOKUP(P195,'MunicípiosEstados'!$AE$2:$AF$400,2,FALSE),
  O195="Pernambuco",((W195*0.15)+(X195*0.7))*VLOOKUP(P195,'MunicípiosEstados'!$AG$2:$AH$186,2,FALSE),
  O195="Piauí",((W195*0.15)+(X195*0.7))*VLOOKUP(P195,'MunicípiosEstados'!$AI$2:$AJ$225,2,FALSE),
  O195="Rio Grande do Norte",((W195*0.15)+(X195*0.7))*VLOOKUP(P195,'MunicípiosEstados'!$AK$2:$AL$168,2,FALSE),
  O195="Rio Grande do Sul",((W195*0.15)+(X195*0.7))*VLOOKUP(P195,'MunicípiosEstados'!$AM$2:$AN$498,2,FALSE),
  O195="Rio de Janeiro",((W195*0.15)+(X195*0.7))*VLOOKUP(P195,'MunicípiosEstados'!$AO$2:$AP$93,2,FALSE),
  O195="Rondônia",((W195*0.15)+(X195*0.7))*VLOOKUP(P195,'MunicípiosEstados'!$AQ$2:$AR$53,2,FALSE),
  O195="Roraima",((W195*0.15)+(X195*0.7))*VLOOKUP(P195,'MunicípiosEstados'!$AS$2:$AT$16,2,FALSE),
  O195="Santa Catarina",((W195*0.15)+(X195*0.7))*VLOOKUP(P195,'MunicípiosEstados'!$AU$2:$AV$296,2,FALSE),
  O195="São Paulo",((W195*0.15)+(X195*0.7))*VLOOKUP(P195,'MunicípiosEstados'!$AW$2:$AX$646,2,FALSE),
  O195="Sergipe",((W195*0.15)+(X195*0.7))*VLOOKUP(P195,'MunicípiosEstados'!$AY$2:$AZ$76,2,FALSE),
  O195="Tocantins",((W195*0.15)+(X195*0.7))*VLOOKUP(P195,'MunicípiosEstados'!$BA$2:$BB$140,2,FALSE),
  O195="Exterior",((W195*0.15)+(X195*0.7))*VLOOKUP(P195,'MunicípiosEstados'!$BC$2:$BE$221,3,FALSE),TRUE,0
)
</f>
        <v>1485.04</v>
      </c>
      <c r="AL195" s="25">
        <f t="shared" si="3"/>
        <v>2825.04</v>
      </c>
      <c r="AN195" s="40"/>
    </row>
    <row r="196" ht="22.5" customHeight="1">
      <c r="A196" s="15">
        <f t="shared" si="1"/>
        <v>195</v>
      </c>
      <c r="B196" s="16">
        <v>45992.765801435184</v>
      </c>
      <c r="C196" s="17" t="s">
        <v>696</v>
      </c>
      <c r="D196" s="27" t="s">
        <v>443</v>
      </c>
      <c r="E196" s="15" t="str">
        <f>VLOOKUP(G196,DiretoriaDepart.Coord.!$A$1:$C$72,2,FALSE)</f>
        <v>Extensão Rural</v>
      </c>
      <c r="F196" s="15" t="str">
        <f>VLOOKUP(G196,DiretoriaDepart.Coord.!$A$1:$C$72,3,FALSE)</f>
        <v>Projetos e Cadeias Produtivas</v>
      </c>
      <c r="G196" s="17" t="s">
        <v>697</v>
      </c>
      <c r="H196" s="15"/>
      <c r="I196" s="17" t="s">
        <v>1267</v>
      </c>
      <c r="J196" s="17" t="s">
        <v>737</v>
      </c>
      <c r="K196" s="17">
        <v>30.0</v>
      </c>
      <c r="L196" s="15"/>
      <c r="M196" s="17" t="s">
        <v>1268</v>
      </c>
      <c r="N196" s="17">
        <v>10.0</v>
      </c>
      <c r="O196" s="17" t="s">
        <v>714</v>
      </c>
      <c r="P196" s="17" t="s">
        <v>198</v>
      </c>
      <c r="Q196" s="20">
        <v>45783.354166666664</v>
      </c>
      <c r="R196" s="20">
        <v>45784.708333333336</v>
      </c>
      <c r="S196" s="17" t="s">
        <v>451</v>
      </c>
      <c r="T196" s="17" t="s">
        <v>452</v>
      </c>
      <c r="U196" s="21" t="s">
        <v>1269</v>
      </c>
      <c r="V196" s="21" t="s">
        <v>1270</v>
      </c>
      <c r="W196" s="22">
        <v>90.0</v>
      </c>
      <c r="X196" s="22">
        <v>70.0</v>
      </c>
      <c r="Y196" s="23">
        <v>0.0</v>
      </c>
      <c r="Z196" s="23">
        <v>0.0</v>
      </c>
      <c r="AA196" s="24">
        <v>0.0</v>
      </c>
      <c r="AB196" s="24">
        <v>0.0</v>
      </c>
      <c r="AC196" s="24">
        <v>0.0</v>
      </c>
      <c r="AD196" s="23">
        <v>0.0</v>
      </c>
      <c r="AE196" s="24">
        <v>0.0</v>
      </c>
      <c r="AF196" s="17" t="s">
        <v>464</v>
      </c>
      <c r="AG196" s="17">
        <v>6000.0</v>
      </c>
      <c r="AH196" s="17" t="s">
        <v>464</v>
      </c>
      <c r="AI196" s="25">
        <f>IF(AF196="Sim",INT((R196-Q196+1))*K196*VLOOKUP(P196,'Tabelas Auxiliares'!$A$1:$C$400,3,FALSE),0)</f>
        <v>1358.4</v>
      </c>
      <c r="AJ196" s="25">
        <f t="shared" si="2"/>
        <v>4200</v>
      </c>
      <c r="AK196" s="25">
        <f>IFS(
  O196="Acre",((W196*0.15)+(X196*0.7))*VLOOKUP(P196,'MunicípiosEstados'!$A$2:$B$23,2,FALSE),
  O196="Alagoas",((W196*0.15)+(X196*0.7))*VLOOKUP(P196,'MunicípiosEstados'!$C$2:$D$103,2,FALSE),
  O196="Amapá",((W196*0.15)+(X196*0.7))*VLOOKUP(P196,'MunicípiosEstados'!$E$2:$F$17,2,FALSE),
  O196="Amazonas",((W196*0.15)+(X196*0.7))*VLOOKUP(P196,'MunicípiosEstados'!$G$2:$H$63,2,FALSE),
  O196="Bahia",((W196*0.15)+(X196*0.7))*VLOOKUP(P196,'MunicípiosEstados'!$I$2:$J$418,2,FALSE),
  O196="Ceará",((W196*0.15)+(X196*0.7))*VLOOKUP(P196,'MunicípiosEstados'!$K$2:$L$185,2,FALSE),
  O196="Distrito Federal",((W196*0.15)+(X196*0.7))*VLOOKUP(P196,'MunicípiosEstados'!$M$2:$N$2,2,FALSE),
  O196="Espírito Santo",((W196*0.15)+(X196*0.7))*VLOOKUP(P196,'MunicípiosEstados'!$O$2:$P$79,2,FALSE),
  O196="Goiás",((W196*0.15)+(X196*0.7))*VLOOKUP(P196,'MunicípiosEstados'!$Q$2:$R$247,2,FALSE),
  O196="Maranhão",((W196*0.15)+(X196*0.7))*VLOOKUP(P196,'MunicípiosEstados'!$S$2:$T$218,2,FALSE),
  O196="Mato Grosso",((W196*0.15)+(X196*0.7))*VLOOKUP(P196,'MunicípiosEstados'!$U$2:$V$143,2,FALSE),
  O196="Mato Grosso do Sul",((W196*0.15)+(X196*0.7))*VLOOKUP(P196,'MunicípiosEstados'!$W$2:$X$80,2,FALSE),
  O196="Minas Gerais",((W196*0.15)+(X196*0.7))*VLOOKUP(P196,'MunicípiosEstados'!$Y$2:$Z$854,2,FALSE),
  O196="Pará",((W196*0.15)+(X196*0.7))*VLOOKUP(P196,'MunicípiosEstados'!$AA$2:$AB$145,2,FALSE),
  O196="Paraíba",((W196*0.15)+(X196*0.7))*VLOOKUP(P196,'MunicípiosEstados'!$AC$2:$AD$224,2,FALSE),
  O196="Paraná",((W196*0.15)+(X196*0.7))*VLOOKUP(P196,'MunicípiosEstados'!$AE$2:$AF$400,2,FALSE),
  O196="Pernambuco",((W196*0.15)+(X196*0.7))*VLOOKUP(P196,'MunicípiosEstados'!$AG$2:$AH$186,2,FALSE),
  O196="Piauí",((W196*0.15)+(X196*0.7))*VLOOKUP(P196,'MunicípiosEstados'!$AI$2:$AJ$225,2,FALSE),
  O196="Rio Grande do Norte",((W196*0.15)+(X196*0.7))*VLOOKUP(P196,'MunicípiosEstados'!$AK$2:$AL$168,2,FALSE),
  O196="Rio Grande do Sul",((W196*0.15)+(X196*0.7))*VLOOKUP(P196,'MunicípiosEstados'!$AM$2:$AN$498,2,FALSE),
  O196="Rio de Janeiro",((W196*0.15)+(X196*0.7))*VLOOKUP(P196,'MunicípiosEstados'!$AO$2:$AP$93,2,FALSE),
  O196="Rondônia",((W196*0.15)+(X196*0.7))*VLOOKUP(P196,'MunicípiosEstados'!$AQ$2:$AR$53,2,FALSE),
  O196="Roraima",((W196*0.15)+(X196*0.7))*VLOOKUP(P196,'MunicípiosEstados'!$AS$2:$AT$16,2,FALSE),
  O196="Santa Catarina",((W196*0.15)+(X196*0.7))*VLOOKUP(P196,'MunicípiosEstados'!$AU$2:$AV$296,2,FALSE),
  O196="São Paulo",((W196*0.15)+(X196*0.7))*VLOOKUP(P196,'MunicípiosEstados'!$AW$2:$AX$646,2,FALSE),
  O196="Sergipe",((W196*0.15)+(X196*0.7))*VLOOKUP(P196,'MunicípiosEstados'!$AY$2:$AZ$76,2,FALSE),
  O196="Tocantins",((W196*0.15)+(X196*0.7))*VLOOKUP(P196,'MunicípiosEstados'!$BA$2:$BB$140,2,FALSE),
  O196="Exterior",((W196*0.15)+(X196*0.7))*VLOOKUP(P196,'MunicípiosEstados'!$BC$2:$BE$221,3,FALSE),TRUE,0
)
</f>
        <v>18159.375</v>
      </c>
      <c r="AL196" s="25">
        <f t="shared" si="3"/>
        <v>23717.775</v>
      </c>
      <c r="AN196" s="25"/>
    </row>
    <row r="197" ht="22.5" customHeight="1">
      <c r="A197" s="15">
        <f t="shared" si="1"/>
        <v>196</v>
      </c>
      <c r="B197" s="16">
        <v>45992.84282402778</v>
      </c>
      <c r="C197" s="17" t="s">
        <v>696</v>
      </c>
      <c r="D197" s="27" t="s">
        <v>443</v>
      </c>
      <c r="E197" s="15" t="str">
        <f>VLOOKUP(G197,DiretoriaDepart.Coord.!$A$1:$C$72,2,FALSE)</f>
        <v>Extensão Rural</v>
      </c>
      <c r="F197" s="15" t="str">
        <f>VLOOKUP(G197,DiretoriaDepart.Coord.!$A$1:$C$72,3,FALSE)</f>
        <v>Projetos e Cadeias Produtivas</v>
      </c>
      <c r="G197" s="17" t="s">
        <v>697</v>
      </c>
      <c r="H197" s="15"/>
      <c r="I197" s="17" t="s">
        <v>1271</v>
      </c>
      <c r="J197" s="17" t="s">
        <v>728</v>
      </c>
      <c r="K197" s="34" t="s">
        <v>1272</v>
      </c>
      <c r="L197" s="15"/>
      <c r="M197" s="17" t="s">
        <v>1273</v>
      </c>
      <c r="N197" s="17">
        <v>15.0</v>
      </c>
      <c r="O197" s="17" t="s">
        <v>714</v>
      </c>
      <c r="P197" s="17" t="s">
        <v>154</v>
      </c>
      <c r="Q197" s="20">
        <v>45782.354166666664</v>
      </c>
      <c r="R197" s="20">
        <v>45784.708333333336</v>
      </c>
      <c r="S197" s="17" t="s">
        <v>451</v>
      </c>
      <c r="T197" s="17" t="s">
        <v>452</v>
      </c>
      <c r="U197" s="21" t="s">
        <v>1274</v>
      </c>
      <c r="V197" s="21" t="s">
        <v>1275</v>
      </c>
      <c r="W197" s="22">
        <v>50.0</v>
      </c>
      <c r="X197" s="22">
        <v>20.0</v>
      </c>
      <c r="Y197" s="23">
        <v>0.0</v>
      </c>
      <c r="Z197" s="23">
        <v>0.0</v>
      </c>
      <c r="AA197" s="24">
        <v>0.0</v>
      </c>
      <c r="AB197" s="24">
        <v>0.0</v>
      </c>
      <c r="AC197" s="24">
        <v>0.0</v>
      </c>
      <c r="AD197" s="23">
        <v>0.0</v>
      </c>
      <c r="AE197" s="24">
        <v>0.0</v>
      </c>
      <c r="AF197" s="17" t="s">
        <v>451</v>
      </c>
      <c r="AG197" s="17">
        <v>2000.0</v>
      </c>
      <c r="AH197" s="17" t="s">
        <v>451</v>
      </c>
      <c r="AI197" s="25">
        <f>IF(AF197="Sim",INT((R197-Q197+1))*K197*VLOOKUP(P197,'Tabelas Auxiliares'!$A$1:$C$400,3,FALSE),0)</f>
        <v>0</v>
      </c>
      <c r="AJ197" s="25">
        <f t="shared" si="2"/>
        <v>1400</v>
      </c>
      <c r="AK197" s="25">
        <f>IFS(
  O197="Acre",((W197*0.15)+(X197*0.7))*VLOOKUP(P197,'MunicípiosEstados'!$A$2:$B$23,2,FALSE),
  O197="Alagoas",((W197*0.15)+(X197*0.7))*VLOOKUP(P197,'MunicípiosEstados'!$C$2:$D$103,2,FALSE),
  O197="Amapá",((W197*0.15)+(X197*0.7))*VLOOKUP(P197,'MunicípiosEstados'!$E$2:$F$17,2,FALSE),
  O197="Amazonas",((W197*0.15)+(X197*0.7))*VLOOKUP(P197,'MunicípiosEstados'!$G$2:$H$63,2,FALSE),
  O197="Bahia",((W197*0.15)+(X197*0.7))*VLOOKUP(P197,'MunicípiosEstados'!$I$2:$J$418,2,FALSE),
  O197="Ceará",((W197*0.15)+(X197*0.7))*VLOOKUP(P197,'MunicípiosEstados'!$K$2:$L$185,2,FALSE),
  O197="Distrito Federal",((W197*0.15)+(X197*0.7))*VLOOKUP(P197,'MunicípiosEstados'!$M$2:$N$2,2,FALSE),
  O197="Espírito Santo",((W197*0.15)+(X197*0.7))*VLOOKUP(P197,'MunicípiosEstados'!$O$2:$P$79,2,FALSE),
  O197="Goiás",((W197*0.15)+(X197*0.7))*VLOOKUP(P197,'MunicípiosEstados'!$Q$2:$R$247,2,FALSE),
  O197="Maranhão",((W197*0.15)+(X197*0.7))*VLOOKUP(P197,'MunicípiosEstados'!$S$2:$T$218,2,FALSE),
  O197="Mato Grosso",((W197*0.15)+(X197*0.7))*VLOOKUP(P197,'MunicípiosEstados'!$U$2:$V$143,2,FALSE),
  O197="Mato Grosso do Sul",((W197*0.15)+(X197*0.7))*VLOOKUP(P197,'MunicípiosEstados'!$W$2:$X$80,2,FALSE),
  O197="Minas Gerais",((W197*0.15)+(X197*0.7))*VLOOKUP(P197,'MunicípiosEstados'!$Y$2:$Z$854,2,FALSE),
  O197="Pará",((W197*0.15)+(X197*0.7))*VLOOKUP(P197,'MunicípiosEstados'!$AA$2:$AB$145,2,FALSE),
  O197="Paraíba",((W197*0.15)+(X197*0.7))*VLOOKUP(P197,'MunicípiosEstados'!$AC$2:$AD$224,2,FALSE),
  O197="Paraná",((W197*0.15)+(X197*0.7))*VLOOKUP(P197,'MunicípiosEstados'!$AE$2:$AF$400,2,FALSE),
  O197="Pernambuco",((W197*0.15)+(X197*0.7))*VLOOKUP(P197,'MunicípiosEstados'!$AG$2:$AH$186,2,FALSE),
  O197="Piauí",((W197*0.15)+(X197*0.7))*VLOOKUP(P197,'MunicípiosEstados'!$AI$2:$AJ$225,2,FALSE),
  O197="Rio Grande do Norte",((W197*0.15)+(X197*0.7))*VLOOKUP(P197,'MunicípiosEstados'!$AK$2:$AL$168,2,FALSE),
  O197="Rio Grande do Sul",((W197*0.15)+(X197*0.7))*VLOOKUP(P197,'MunicípiosEstados'!$AM$2:$AN$498,2,FALSE),
  O197="Rio de Janeiro",((W197*0.15)+(X197*0.7))*VLOOKUP(P197,'MunicípiosEstados'!$AO$2:$AP$93,2,FALSE),
  O197="Rondônia",((W197*0.15)+(X197*0.7))*VLOOKUP(P197,'MunicípiosEstados'!$AQ$2:$AR$53,2,FALSE),
  O197="Roraima",((W197*0.15)+(X197*0.7))*VLOOKUP(P197,'MunicípiosEstados'!$AS$2:$AT$16,2,FALSE),
  O197="Santa Catarina",((W197*0.15)+(X197*0.7))*VLOOKUP(P197,'MunicípiosEstados'!$AU$2:$AV$296,2,FALSE),
  O197="São Paulo",((W197*0.15)+(X197*0.7))*VLOOKUP(P197,'MunicípiosEstados'!$AW$2:$AX$646,2,FALSE),
  O197="Sergipe",((W197*0.15)+(X197*0.7))*VLOOKUP(P197,'MunicípiosEstados'!$AY$2:$AZ$76,2,FALSE),
  O197="Tocantins",((W197*0.15)+(X197*0.7))*VLOOKUP(P197,'MunicípiosEstados'!$BA$2:$BB$140,2,FALSE),
  O197="Exterior",((W197*0.15)+(X197*0.7))*VLOOKUP(P197,'MunicípiosEstados'!$BC$2:$BE$221,3,FALSE),TRUE,0
)
</f>
        <v>6246.825</v>
      </c>
      <c r="AL197" s="25">
        <f t="shared" si="3"/>
        <v>7646.825</v>
      </c>
      <c r="AN197" s="25"/>
    </row>
    <row r="198" ht="22.5" hidden="1" customHeight="1">
      <c r="A198" s="15">
        <f t="shared" si="1"/>
        <v>197</v>
      </c>
      <c r="B198" s="16">
        <v>45993.35110072917</v>
      </c>
      <c r="C198" s="17" t="s">
        <v>1041</v>
      </c>
      <c r="D198" s="27" t="s">
        <v>443</v>
      </c>
      <c r="E198" s="15" t="str">
        <f>VLOOKUP(G198,DiretoriaDepart.Coord.!$A$1:$C$72,2,FALSE)</f>
        <v>Pesquisa e Inovação</v>
      </c>
      <c r="F198" s="15" t="str">
        <f>VLOOKUP(G198,DiretoriaDepart.Coord.!$A$1:$C$72,3,FALSE)</f>
        <v>Inovação e Comunicação Científica</v>
      </c>
      <c r="G198" s="17" t="s">
        <v>477</v>
      </c>
      <c r="H198" s="15"/>
      <c r="I198" s="17" t="s">
        <v>1276</v>
      </c>
      <c r="J198" s="17" t="s">
        <v>728</v>
      </c>
      <c r="K198" s="17">
        <v>1.0</v>
      </c>
      <c r="L198" s="17" t="s">
        <v>1043</v>
      </c>
      <c r="M198" s="17" t="s">
        <v>517</v>
      </c>
      <c r="N198" s="17">
        <v>0.0</v>
      </c>
      <c r="O198" s="17" t="s">
        <v>714</v>
      </c>
      <c r="P198" s="17" t="s">
        <v>18</v>
      </c>
      <c r="Q198" s="20">
        <v>45717.333333333336</v>
      </c>
      <c r="R198" s="20">
        <v>45721.708333333336</v>
      </c>
      <c r="S198" s="17" t="s">
        <v>451</v>
      </c>
      <c r="T198" s="17" t="s">
        <v>452</v>
      </c>
      <c r="U198" s="28" t="s">
        <v>1277</v>
      </c>
      <c r="V198" s="21" t="s">
        <v>1278</v>
      </c>
      <c r="W198" s="22">
        <v>0.0</v>
      </c>
      <c r="X198" s="22">
        <v>0.0</v>
      </c>
      <c r="Y198" s="23">
        <v>3000.0</v>
      </c>
      <c r="Z198" s="23">
        <v>0.0</v>
      </c>
      <c r="AA198" s="24">
        <v>0.0</v>
      </c>
      <c r="AB198" s="24">
        <v>0.0</v>
      </c>
      <c r="AC198" s="24">
        <v>0.0</v>
      </c>
      <c r="AD198" s="23">
        <v>0.0</v>
      </c>
      <c r="AE198" s="24">
        <v>0.0</v>
      </c>
      <c r="AF198" s="17" t="s">
        <v>451</v>
      </c>
      <c r="AG198" s="17">
        <v>0.0</v>
      </c>
      <c r="AH198" s="17" t="s">
        <v>451</v>
      </c>
      <c r="AI198" s="25">
        <f>IF(AF198="Sim",INT((R198-Q198+1))*K198*VLOOKUP(P198,'Tabelas Auxiliares'!$A$1:$C$400,3,FALSE),0)</f>
        <v>0</v>
      </c>
      <c r="AJ198" s="25">
        <f t="shared" si="2"/>
        <v>0</v>
      </c>
      <c r="AK198" s="25">
        <f>IFS(
  O198="Acre",((W198*0.15)+(X198*0.7))*VLOOKUP(P198,'MunicípiosEstados'!$A$2:$B$23,2,FALSE),
  O198="Alagoas",((W198*0.15)+(X198*0.7))*VLOOKUP(P198,'MunicípiosEstados'!$C$2:$D$103,2,FALSE),
  O198="Amapá",((W198*0.15)+(X198*0.7))*VLOOKUP(P198,'MunicípiosEstados'!$E$2:$F$17,2,FALSE),
  O198="Amazonas",((W198*0.15)+(X198*0.7))*VLOOKUP(P198,'MunicípiosEstados'!$G$2:$H$63,2,FALSE),
  O198="Bahia",((W198*0.15)+(X198*0.7))*VLOOKUP(P198,'MunicípiosEstados'!$I$2:$J$418,2,FALSE),
  O198="Ceará",((W198*0.15)+(X198*0.7))*VLOOKUP(P198,'MunicípiosEstados'!$K$2:$L$185,2,FALSE),
  O198="Distrito Federal",((W198*0.15)+(X198*0.7))*VLOOKUP(P198,'MunicípiosEstados'!$M$2:$N$2,2,FALSE),
  O198="Espírito Santo",((W198*0.15)+(X198*0.7))*VLOOKUP(P198,'MunicípiosEstados'!$O$2:$P$79,2,FALSE),
  O198="Goiás",((W198*0.15)+(X198*0.7))*VLOOKUP(P198,'MunicípiosEstados'!$Q$2:$R$247,2,FALSE),
  O198="Maranhão",((W198*0.15)+(X198*0.7))*VLOOKUP(P198,'MunicípiosEstados'!$S$2:$T$218,2,FALSE),
  O198="Mato Grosso",((W198*0.15)+(X198*0.7))*VLOOKUP(P198,'MunicípiosEstados'!$U$2:$V$143,2,FALSE),
  O198="Mato Grosso do Sul",((W198*0.15)+(X198*0.7))*VLOOKUP(P198,'MunicípiosEstados'!$W$2:$X$80,2,FALSE),
  O198="Minas Gerais",((W198*0.15)+(X198*0.7))*VLOOKUP(P198,'MunicípiosEstados'!$Y$2:$Z$854,2,FALSE),
  O198="Pará",((W198*0.15)+(X198*0.7))*VLOOKUP(P198,'MunicípiosEstados'!$AA$2:$AB$145,2,FALSE),
  O198="Paraíba",((W198*0.15)+(X198*0.7))*VLOOKUP(P198,'MunicípiosEstados'!$AC$2:$AD$224,2,FALSE),
  O198="Paraná",((W198*0.15)+(X198*0.7))*VLOOKUP(P198,'MunicípiosEstados'!$AE$2:$AF$400,2,FALSE),
  O198="Pernambuco",((W198*0.15)+(X198*0.7))*VLOOKUP(P198,'MunicípiosEstados'!$AG$2:$AH$186,2,FALSE),
  O198="Piauí",((W198*0.15)+(X198*0.7))*VLOOKUP(P198,'MunicípiosEstados'!$AI$2:$AJ$225,2,FALSE),
  O198="Rio Grande do Norte",((W198*0.15)+(X198*0.7))*VLOOKUP(P198,'MunicípiosEstados'!$AK$2:$AL$168,2,FALSE),
  O198="Rio Grande do Sul",((W198*0.15)+(X198*0.7))*VLOOKUP(P198,'MunicípiosEstados'!$AM$2:$AN$498,2,FALSE),
  O198="Rio de Janeiro",((W198*0.15)+(X198*0.7))*VLOOKUP(P198,'MunicípiosEstados'!$AO$2:$AP$93,2,FALSE),
  O198="Rondônia",((W198*0.15)+(X198*0.7))*VLOOKUP(P198,'MunicípiosEstados'!$AQ$2:$AR$53,2,FALSE),
  O198="Roraima",((W198*0.15)+(X198*0.7))*VLOOKUP(P198,'MunicípiosEstados'!$AS$2:$AT$16,2,FALSE),
  O198="Santa Catarina",((W198*0.15)+(X198*0.7))*VLOOKUP(P198,'MunicípiosEstados'!$AU$2:$AV$296,2,FALSE),
  O198="São Paulo",((W198*0.15)+(X198*0.7))*VLOOKUP(P198,'MunicípiosEstados'!$AW$2:$AX$646,2,FALSE),
  O198="Sergipe",((W198*0.15)+(X198*0.7))*VLOOKUP(P198,'MunicípiosEstados'!$AY$2:$AZ$76,2,FALSE),
  O198="Tocantins",((W198*0.15)+(X198*0.7))*VLOOKUP(P198,'MunicípiosEstados'!$BA$2:$BB$140,2,FALSE),
  O198="Exterior",((W198*0.15)+(X198*0.7))*VLOOKUP(P198,'MunicípiosEstados'!$BC$2:$BE$221,3,FALSE),TRUE,0
)
</f>
        <v>0</v>
      </c>
      <c r="AL198" s="25">
        <f t="shared" si="3"/>
        <v>3000</v>
      </c>
      <c r="AN198" s="35"/>
    </row>
    <row r="199" ht="22.5" hidden="1" customHeight="1">
      <c r="A199" s="15">
        <f t="shared" si="1"/>
        <v>198</v>
      </c>
      <c r="B199" s="16">
        <v>45993.36857965278</v>
      </c>
      <c r="C199" s="17" t="s">
        <v>1041</v>
      </c>
      <c r="D199" s="27" t="s">
        <v>443</v>
      </c>
      <c r="E199" s="15" t="str">
        <f>VLOOKUP(G199,DiretoriaDepart.Coord.!$A$1:$C$72,2,FALSE)</f>
        <v>Pesquisa e Inovação</v>
      </c>
      <c r="F199" s="15" t="str">
        <f>VLOOKUP(G199,DiretoriaDepart.Coord.!$A$1:$C$72,3,FALSE)</f>
        <v>Inovação e Comunicação Científica</v>
      </c>
      <c r="G199" s="17" t="s">
        <v>477</v>
      </c>
      <c r="H199" s="15"/>
      <c r="I199" s="17" t="s">
        <v>1279</v>
      </c>
      <c r="J199" s="17" t="s">
        <v>728</v>
      </c>
      <c r="K199" s="17">
        <v>1.0</v>
      </c>
      <c r="L199" s="15"/>
      <c r="M199" s="17" t="s">
        <v>1280</v>
      </c>
      <c r="N199" s="17">
        <v>0.0</v>
      </c>
      <c r="O199" s="17" t="s">
        <v>714</v>
      </c>
      <c r="P199" s="17" t="s">
        <v>18</v>
      </c>
      <c r="Q199" s="20">
        <v>45713.333333333336</v>
      </c>
      <c r="R199" s="20">
        <v>45986.708333333336</v>
      </c>
      <c r="S199" s="17" t="s">
        <v>451</v>
      </c>
      <c r="T199" s="17" t="s">
        <v>747</v>
      </c>
      <c r="U199" s="21" t="s">
        <v>1281</v>
      </c>
      <c r="V199" s="21" t="s">
        <v>1282</v>
      </c>
      <c r="W199" s="22">
        <v>0.0</v>
      </c>
      <c r="X199" s="22">
        <v>0.0</v>
      </c>
      <c r="Y199" s="23">
        <v>4200.0</v>
      </c>
      <c r="Z199" s="23">
        <v>0.0</v>
      </c>
      <c r="AA199" s="24">
        <v>0.0</v>
      </c>
      <c r="AB199" s="24">
        <v>0.0</v>
      </c>
      <c r="AC199" s="24">
        <v>0.0</v>
      </c>
      <c r="AD199" s="23">
        <v>0.0</v>
      </c>
      <c r="AE199" s="24">
        <v>0.0</v>
      </c>
      <c r="AF199" s="17" t="s">
        <v>451</v>
      </c>
      <c r="AG199" s="17">
        <v>0.0</v>
      </c>
      <c r="AH199" s="17" t="s">
        <v>451</v>
      </c>
      <c r="AI199" s="25">
        <f>IF(AF199="Sim",INT((R199-Q199+1))*K199*VLOOKUP(P199,'Tabelas Auxiliares'!$A$1:$C$400,3,FALSE),0)</f>
        <v>0</v>
      </c>
      <c r="AJ199" s="25">
        <f t="shared" si="2"/>
        <v>0</v>
      </c>
      <c r="AK199" s="25">
        <f>IFS(
  O199="Acre",((W199*0.15)+(X199*0.7))*VLOOKUP(P199,'MunicípiosEstados'!$A$2:$B$23,2,FALSE),
  O199="Alagoas",((W199*0.15)+(X199*0.7))*VLOOKUP(P199,'MunicípiosEstados'!$C$2:$D$103,2,FALSE),
  O199="Amapá",((W199*0.15)+(X199*0.7))*VLOOKUP(P199,'MunicípiosEstados'!$E$2:$F$17,2,FALSE),
  O199="Amazonas",((W199*0.15)+(X199*0.7))*VLOOKUP(P199,'MunicípiosEstados'!$G$2:$H$63,2,FALSE),
  O199="Bahia",((W199*0.15)+(X199*0.7))*VLOOKUP(P199,'MunicípiosEstados'!$I$2:$J$418,2,FALSE),
  O199="Ceará",((W199*0.15)+(X199*0.7))*VLOOKUP(P199,'MunicípiosEstados'!$K$2:$L$185,2,FALSE),
  O199="Distrito Federal",((W199*0.15)+(X199*0.7))*VLOOKUP(P199,'MunicípiosEstados'!$M$2:$N$2,2,FALSE),
  O199="Espírito Santo",((W199*0.15)+(X199*0.7))*VLOOKUP(P199,'MunicípiosEstados'!$O$2:$P$79,2,FALSE),
  O199="Goiás",((W199*0.15)+(X199*0.7))*VLOOKUP(P199,'MunicípiosEstados'!$Q$2:$R$247,2,FALSE),
  O199="Maranhão",((W199*0.15)+(X199*0.7))*VLOOKUP(P199,'MunicípiosEstados'!$S$2:$T$218,2,FALSE),
  O199="Mato Grosso",((W199*0.15)+(X199*0.7))*VLOOKUP(P199,'MunicípiosEstados'!$U$2:$V$143,2,FALSE),
  O199="Mato Grosso do Sul",((W199*0.15)+(X199*0.7))*VLOOKUP(P199,'MunicípiosEstados'!$W$2:$X$80,2,FALSE),
  O199="Minas Gerais",((W199*0.15)+(X199*0.7))*VLOOKUP(P199,'MunicípiosEstados'!$Y$2:$Z$854,2,FALSE),
  O199="Pará",((W199*0.15)+(X199*0.7))*VLOOKUP(P199,'MunicípiosEstados'!$AA$2:$AB$145,2,FALSE),
  O199="Paraíba",((W199*0.15)+(X199*0.7))*VLOOKUP(P199,'MunicípiosEstados'!$AC$2:$AD$224,2,FALSE),
  O199="Paraná",((W199*0.15)+(X199*0.7))*VLOOKUP(P199,'MunicípiosEstados'!$AE$2:$AF$400,2,FALSE),
  O199="Pernambuco",((W199*0.15)+(X199*0.7))*VLOOKUP(P199,'MunicípiosEstados'!$AG$2:$AH$186,2,FALSE),
  O199="Piauí",((W199*0.15)+(X199*0.7))*VLOOKUP(P199,'MunicípiosEstados'!$AI$2:$AJ$225,2,FALSE),
  O199="Rio Grande do Norte",((W199*0.15)+(X199*0.7))*VLOOKUP(P199,'MunicípiosEstados'!$AK$2:$AL$168,2,FALSE),
  O199="Rio Grande do Sul",((W199*0.15)+(X199*0.7))*VLOOKUP(P199,'MunicípiosEstados'!$AM$2:$AN$498,2,FALSE),
  O199="Rio de Janeiro",((W199*0.15)+(X199*0.7))*VLOOKUP(P199,'MunicípiosEstados'!$AO$2:$AP$93,2,FALSE),
  O199="Rondônia",((W199*0.15)+(X199*0.7))*VLOOKUP(P199,'MunicípiosEstados'!$AQ$2:$AR$53,2,FALSE),
  O199="Roraima",((W199*0.15)+(X199*0.7))*VLOOKUP(P199,'MunicípiosEstados'!$AS$2:$AT$16,2,FALSE),
  O199="Santa Catarina",((W199*0.15)+(X199*0.7))*VLOOKUP(P199,'MunicípiosEstados'!$AU$2:$AV$296,2,FALSE),
  O199="São Paulo",((W199*0.15)+(X199*0.7))*VLOOKUP(P199,'MunicípiosEstados'!$AW$2:$AX$646,2,FALSE),
  O199="Sergipe",((W199*0.15)+(X199*0.7))*VLOOKUP(P199,'MunicípiosEstados'!$AY$2:$AZ$76,2,FALSE),
  O199="Tocantins",((W199*0.15)+(X199*0.7))*VLOOKUP(P199,'MunicípiosEstados'!$BA$2:$BB$140,2,FALSE),
  O199="Exterior",((W199*0.15)+(X199*0.7))*VLOOKUP(P199,'MunicípiosEstados'!$BC$2:$BE$221,3,FALSE),TRUE,0
)
</f>
        <v>0</v>
      </c>
      <c r="AL199" s="25">
        <f t="shared" si="3"/>
        <v>4200</v>
      </c>
      <c r="AN199" s="35"/>
    </row>
    <row r="200" ht="22.5" hidden="1" customHeight="1">
      <c r="A200" s="15">
        <f t="shared" si="1"/>
        <v>199</v>
      </c>
      <c r="B200" s="16">
        <v>45993.38220832176</v>
      </c>
      <c r="C200" s="17" t="s">
        <v>455</v>
      </c>
      <c r="D200" s="27" t="s">
        <v>456</v>
      </c>
      <c r="E200" s="15" t="str">
        <f>VLOOKUP(G200,DiretoriaDepart.Coord.!$A$1:$C$72,2,FALSE)</f>
        <v>Pesquisa e Inovação</v>
      </c>
      <c r="F200" s="15" t="str">
        <f>VLOOKUP(G200,DiretoriaDepart.Coord.!$A$1:$C$72,3,FALSE)</f>
        <v>Inovação e Comunicação Científica</v>
      </c>
      <c r="G200" s="17" t="s">
        <v>457</v>
      </c>
      <c r="H200" s="15"/>
      <c r="I200" s="17" t="s">
        <v>1283</v>
      </c>
      <c r="J200" s="17" t="s">
        <v>728</v>
      </c>
      <c r="K200" s="17">
        <v>1.0</v>
      </c>
      <c r="L200" s="19" t="s">
        <v>1284</v>
      </c>
      <c r="M200" s="17" t="s">
        <v>461</v>
      </c>
      <c r="N200" s="17">
        <v>0.0</v>
      </c>
      <c r="O200" s="17" t="s">
        <v>714</v>
      </c>
      <c r="P200" s="17" t="s">
        <v>18</v>
      </c>
      <c r="Q200" s="20">
        <v>45931.333333333336</v>
      </c>
      <c r="R200" s="20">
        <v>45992.708333333336</v>
      </c>
      <c r="S200" s="17" t="s">
        <v>451</v>
      </c>
      <c r="T200" s="17" t="s">
        <v>747</v>
      </c>
      <c r="U200" s="28" t="s">
        <v>1285</v>
      </c>
      <c r="V200" s="21" t="s">
        <v>1286</v>
      </c>
      <c r="W200" s="22">
        <v>0.0</v>
      </c>
      <c r="X200" s="22">
        <v>0.0</v>
      </c>
      <c r="Y200" s="23">
        <v>900.0</v>
      </c>
      <c r="Z200" s="23">
        <v>0.0</v>
      </c>
      <c r="AA200" s="24">
        <v>0.0</v>
      </c>
      <c r="AB200" s="24">
        <v>0.0</v>
      </c>
      <c r="AC200" s="24">
        <v>0.0</v>
      </c>
      <c r="AD200" s="23">
        <v>0.0</v>
      </c>
      <c r="AE200" s="24">
        <v>0.0</v>
      </c>
      <c r="AF200" s="17" t="s">
        <v>451</v>
      </c>
      <c r="AG200" s="17">
        <v>0.0</v>
      </c>
      <c r="AH200" s="17" t="s">
        <v>451</v>
      </c>
      <c r="AI200" s="25">
        <f>IF(AF200="Sim",INT((R200-Q200+1))*K200*VLOOKUP(P200,'Tabelas Auxiliares'!$A$1:$C$400,3,FALSE),0)</f>
        <v>0</v>
      </c>
      <c r="AJ200" s="25">
        <f t="shared" si="2"/>
        <v>0</v>
      </c>
      <c r="AK200" s="25">
        <f>IFS(
  O200="Acre",((W200*0.15)+(X200*0.7))*VLOOKUP(P200,'MunicípiosEstados'!$A$2:$B$23,2,FALSE),
  O200="Alagoas",((W200*0.15)+(X200*0.7))*VLOOKUP(P200,'MunicípiosEstados'!$C$2:$D$103,2,FALSE),
  O200="Amapá",((W200*0.15)+(X200*0.7))*VLOOKUP(P200,'MunicípiosEstados'!$E$2:$F$17,2,FALSE),
  O200="Amazonas",((W200*0.15)+(X200*0.7))*VLOOKUP(P200,'MunicípiosEstados'!$G$2:$H$63,2,FALSE),
  O200="Bahia",((W200*0.15)+(X200*0.7))*VLOOKUP(P200,'MunicípiosEstados'!$I$2:$J$418,2,FALSE),
  O200="Ceará",((W200*0.15)+(X200*0.7))*VLOOKUP(P200,'MunicípiosEstados'!$K$2:$L$185,2,FALSE),
  O200="Distrito Federal",((W200*0.15)+(X200*0.7))*VLOOKUP(P200,'MunicípiosEstados'!$M$2:$N$2,2,FALSE),
  O200="Espírito Santo",((W200*0.15)+(X200*0.7))*VLOOKUP(P200,'MunicípiosEstados'!$O$2:$P$79,2,FALSE),
  O200="Goiás",((W200*0.15)+(X200*0.7))*VLOOKUP(P200,'MunicípiosEstados'!$Q$2:$R$247,2,FALSE),
  O200="Maranhão",((W200*0.15)+(X200*0.7))*VLOOKUP(P200,'MunicípiosEstados'!$S$2:$T$218,2,FALSE),
  O200="Mato Grosso",((W200*0.15)+(X200*0.7))*VLOOKUP(P200,'MunicípiosEstados'!$U$2:$V$143,2,FALSE),
  O200="Mato Grosso do Sul",((W200*0.15)+(X200*0.7))*VLOOKUP(P200,'MunicípiosEstados'!$W$2:$X$80,2,FALSE),
  O200="Minas Gerais",((W200*0.15)+(X200*0.7))*VLOOKUP(P200,'MunicípiosEstados'!$Y$2:$Z$854,2,FALSE),
  O200="Pará",((W200*0.15)+(X200*0.7))*VLOOKUP(P200,'MunicípiosEstados'!$AA$2:$AB$145,2,FALSE),
  O200="Paraíba",((W200*0.15)+(X200*0.7))*VLOOKUP(P200,'MunicípiosEstados'!$AC$2:$AD$224,2,FALSE),
  O200="Paraná",((W200*0.15)+(X200*0.7))*VLOOKUP(P200,'MunicípiosEstados'!$AE$2:$AF$400,2,FALSE),
  O200="Pernambuco",((W200*0.15)+(X200*0.7))*VLOOKUP(P200,'MunicípiosEstados'!$AG$2:$AH$186,2,FALSE),
  O200="Piauí",((W200*0.15)+(X200*0.7))*VLOOKUP(P200,'MunicípiosEstados'!$AI$2:$AJ$225,2,FALSE),
  O200="Rio Grande do Norte",((W200*0.15)+(X200*0.7))*VLOOKUP(P200,'MunicípiosEstados'!$AK$2:$AL$168,2,FALSE),
  O200="Rio Grande do Sul",((W200*0.15)+(X200*0.7))*VLOOKUP(P200,'MunicípiosEstados'!$AM$2:$AN$498,2,FALSE),
  O200="Rio de Janeiro",((W200*0.15)+(X200*0.7))*VLOOKUP(P200,'MunicípiosEstados'!$AO$2:$AP$93,2,FALSE),
  O200="Rondônia",((W200*0.15)+(X200*0.7))*VLOOKUP(P200,'MunicípiosEstados'!$AQ$2:$AR$53,2,FALSE),
  O200="Roraima",((W200*0.15)+(X200*0.7))*VLOOKUP(P200,'MunicípiosEstados'!$AS$2:$AT$16,2,FALSE),
  O200="Santa Catarina",((W200*0.15)+(X200*0.7))*VLOOKUP(P200,'MunicípiosEstados'!$AU$2:$AV$296,2,FALSE),
  O200="São Paulo",((W200*0.15)+(X200*0.7))*VLOOKUP(P200,'MunicípiosEstados'!$AW$2:$AX$646,2,FALSE),
  O200="Sergipe",((W200*0.15)+(X200*0.7))*VLOOKUP(P200,'MunicípiosEstados'!$AY$2:$AZ$76,2,FALSE),
  O200="Tocantins",((W200*0.15)+(X200*0.7))*VLOOKUP(P200,'MunicípiosEstados'!$BA$2:$BB$140,2,FALSE),
  O200="Exterior",((W200*0.15)+(X200*0.7))*VLOOKUP(P200,'MunicípiosEstados'!$BC$2:$BE$221,3,FALSE),TRUE,0
)
</f>
        <v>0</v>
      </c>
      <c r="AL200" s="25">
        <f t="shared" si="3"/>
        <v>900</v>
      </c>
      <c r="AN200" s="21" t="s">
        <v>456</v>
      </c>
    </row>
    <row r="201" ht="22.5" hidden="1" customHeight="1">
      <c r="A201" s="15">
        <f t="shared" si="1"/>
        <v>200</v>
      </c>
      <c r="B201" s="16">
        <v>45993.38653074074</v>
      </c>
      <c r="C201" s="17" t="s">
        <v>455</v>
      </c>
      <c r="D201" s="27" t="s">
        <v>456</v>
      </c>
      <c r="E201" s="15" t="str">
        <f>VLOOKUP(G201,DiretoriaDepart.Coord.!$A$1:$C$72,2,FALSE)</f>
        <v>Pesquisa e Inovação</v>
      </c>
      <c r="F201" s="15" t="str">
        <f>VLOOKUP(G201,DiretoriaDepart.Coord.!$A$1:$C$72,3,FALSE)</f>
        <v>Inovação e Comunicação Científica</v>
      </c>
      <c r="G201" s="17" t="s">
        <v>457</v>
      </c>
      <c r="H201" s="15"/>
      <c r="I201" s="17" t="s">
        <v>1287</v>
      </c>
      <c r="J201" s="17" t="s">
        <v>883</v>
      </c>
      <c r="K201" s="17">
        <v>1.0</v>
      </c>
      <c r="L201" s="19" t="s">
        <v>564</v>
      </c>
      <c r="M201" s="17" t="s">
        <v>461</v>
      </c>
      <c r="N201" s="17">
        <v>0.0</v>
      </c>
      <c r="O201" s="17" t="s">
        <v>714</v>
      </c>
      <c r="P201" s="17" t="s">
        <v>18</v>
      </c>
      <c r="Q201" s="20">
        <v>45818.333333333336</v>
      </c>
      <c r="R201" s="20">
        <v>45819.708333333336</v>
      </c>
      <c r="S201" s="17" t="s">
        <v>464</v>
      </c>
      <c r="T201" s="17" t="s">
        <v>452</v>
      </c>
      <c r="U201" s="28" t="s">
        <v>1288</v>
      </c>
      <c r="V201" s="21" t="s">
        <v>1289</v>
      </c>
      <c r="W201" s="22">
        <v>0.0</v>
      </c>
      <c r="X201" s="22">
        <v>0.0</v>
      </c>
      <c r="Y201" s="23">
        <v>800.0</v>
      </c>
      <c r="Z201" s="23">
        <v>0.0</v>
      </c>
      <c r="AA201" s="24">
        <v>0.0</v>
      </c>
      <c r="AB201" s="24">
        <v>0.0</v>
      </c>
      <c r="AC201" s="24">
        <v>0.0</v>
      </c>
      <c r="AD201" s="23">
        <v>0.0</v>
      </c>
      <c r="AE201" s="24">
        <v>0.0</v>
      </c>
      <c r="AF201" s="17" t="s">
        <v>451</v>
      </c>
      <c r="AG201" s="17">
        <v>0.0</v>
      </c>
      <c r="AH201" s="17" t="s">
        <v>451</v>
      </c>
      <c r="AI201" s="25">
        <f>IF(AF201="Sim",INT((R201-Q201+1))*K201*VLOOKUP(P201,'Tabelas Auxiliares'!$A$1:$C$400,3,FALSE),0)</f>
        <v>0</v>
      </c>
      <c r="AJ201" s="25">
        <f t="shared" si="2"/>
        <v>0</v>
      </c>
      <c r="AK201" s="25">
        <f>IFS(
  O201="Acre",((W201*0.15)+(X201*0.7))*VLOOKUP(P201,'MunicípiosEstados'!$A$2:$B$23,2,FALSE),
  O201="Alagoas",((W201*0.15)+(X201*0.7))*VLOOKUP(P201,'MunicípiosEstados'!$C$2:$D$103,2,FALSE),
  O201="Amapá",((W201*0.15)+(X201*0.7))*VLOOKUP(P201,'MunicípiosEstados'!$E$2:$F$17,2,FALSE),
  O201="Amazonas",((W201*0.15)+(X201*0.7))*VLOOKUP(P201,'MunicípiosEstados'!$G$2:$H$63,2,FALSE),
  O201="Bahia",((W201*0.15)+(X201*0.7))*VLOOKUP(P201,'MunicípiosEstados'!$I$2:$J$418,2,FALSE),
  O201="Ceará",((W201*0.15)+(X201*0.7))*VLOOKUP(P201,'MunicípiosEstados'!$K$2:$L$185,2,FALSE),
  O201="Distrito Federal",((W201*0.15)+(X201*0.7))*VLOOKUP(P201,'MunicípiosEstados'!$M$2:$N$2,2,FALSE),
  O201="Espírito Santo",((W201*0.15)+(X201*0.7))*VLOOKUP(P201,'MunicípiosEstados'!$O$2:$P$79,2,FALSE),
  O201="Goiás",((W201*0.15)+(X201*0.7))*VLOOKUP(P201,'MunicípiosEstados'!$Q$2:$R$247,2,FALSE),
  O201="Maranhão",((W201*0.15)+(X201*0.7))*VLOOKUP(P201,'MunicípiosEstados'!$S$2:$T$218,2,FALSE),
  O201="Mato Grosso",((W201*0.15)+(X201*0.7))*VLOOKUP(P201,'MunicípiosEstados'!$U$2:$V$143,2,FALSE),
  O201="Mato Grosso do Sul",((W201*0.15)+(X201*0.7))*VLOOKUP(P201,'MunicípiosEstados'!$W$2:$X$80,2,FALSE),
  O201="Minas Gerais",((W201*0.15)+(X201*0.7))*VLOOKUP(P201,'MunicípiosEstados'!$Y$2:$Z$854,2,FALSE),
  O201="Pará",((W201*0.15)+(X201*0.7))*VLOOKUP(P201,'MunicípiosEstados'!$AA$2:$AB$145,2,FALSE),
  O201="Paraíba",((W201*0.15)+(X201*0.7))*VLOOKUP(P201,'MunicípiosEstados'!$AC$2:$AD$224,2,FALSE),
  O201="Paraná",((W201*0.15)+(X201*0.7))*VLOOKUP(P201,'MunicípiosEstados'!$AE$2:$AF$400,2,FALSE),
  O201="Pernambuco",((W201*0.15)+(X201*0.7))*VLOOKUP(P201,'MunicípiosEstados'!$AG$2:$AH$186,2,FALSE),
  O201="Piauí",((W201*0.15)+(X201*0.7))*VLOOKUP(P201,'MunicípiosEstados'!$AI$2:$AJ$225,2,FALSE),
  O201="Rio Grande do Norte",((W201*0.15)+(X201*0.7))*VLOOKUP(P201,'MunicípiosEstados'!$AK$2:$AL$168,2,FALSE),
  O201="Rio Grande do Sul",((W201*0.15)+(X201*0.7))*VLOOKUP(P201,'MunicípiosEstados'!$AM$2:$AN$498,2,FALSE),
  O201="Rio de Janeiro",((W201*0.15)+(X201*0.7))*VLOOKUP(P201,'MunicípiosEstados'!$AO$2:$AP$93,2,FALSE),
  O201="Rondônia",((W201*0.15)+(X201*0.7))*VLOOKUP(P201,'MunicípiosEstados'!$AQ$2:$AR$53,2,FALSE),
  O201="Roraima",((W201*0.15)+(X201*0.7))*VLOOKUP(P201,'MunicípiosEstados'!$AS$2:$AT$16,2,FALSE),
  O201="Santa Catarina",((W201*0.15)+(X201*0.7))*VLOOKUP(P201,'MunicípiosEstados'!$AU$2:$AV$296,2,FALSE),
  O201="São Paulo",((W201*0.15)+(X201*0.7))*VLOOKUP(P201,'MunicípiosEstados'!$AW$2:$AX$646,2,FALSE),
  O201="Sergipe",((W201*0.15)+(X201*0.7))*VLOOKUP(P201,'MunicípiosEstados'!$AY$2:$AZ$76,2,FALSE),
  O201="Tocantins",((W201*0.15)+(X201*0.7))*VLOOKUP(P201,'MunicípiosEstados'!$BA$2:$BB$140,2,FALSE),
  O201="Exterior",((W201*0.15)+(X201*0.7))*VLOOKUP(P201,'MunicípiosEstados'!$BC$2:$BE$221,3,FALSE),TRUE,0
)
</f>
        <v>0</v>
      </c>
      <c r="AL201" s="25">
        <f t="shared" si="3"/>
        <v>800</v>
      </c>
      <c r="AN201" s="21" t="s">
        <v>456</v>
      </c>
    </row>
    <row r="202" ht="22.5" hidden="1" customHeight="1">
      <c r="A202" s="15">
        <f t="shared" si="1"/>
        <v>201</v>
      </c>
      <c r="B202" s="16">
        <v>45993.391962905094</v>
      </c>
      <c r="C202" s="17" t="s">
        <v>455</v>
      </c>
      <c r="D202" s="27" t="s">
        <v>456</v>
      </c>
      <c r="E202" s="15" t="str">
        <f>VLOOKUP(G202,DiretoriaDepart.Coord.!$A$1:$C$72,2,FALSE)</f>
        <v>Pesquisa e Inovação</v>
      </c>
      <c r="F202" s="15" t="str">
        <f>VLOOKUP(G202,DiretoriaDepart.Coord.!$A$1:$C$72,3,FALSE)</f>
        <v>Inovação e Comunicação Científica</v>
      </c>
      <c r="G202" s="17" t="s">
        <v>457</v>
      </c>
      <c r="H202" s="15"/>
      <c r="I202" s="17" t="s">
        <v>1290</v>
      </c>
      <c r="J202" s="17" t="s">
        <v>490</v>
      </c>
      <c r="K202" s="17">
        <v>2.0</v>
      </c>
      <c r="L202" s="19" t="s">
        <v>1291</v>
      </c>
      <c r="M202" s="17" t="s">
        <v>1292</v>
      </c>
      <c r="N202" s="17">
        <v>0.0</v>
      </c>
      <c r="O202" s="17" t="s">
        <v>714</v>
      </c>
      <c r="P202" s="17" t="s">
        <v>6</v>
      </c>
      <c r="Q202" s="20">
        <v>45901.333333333336</v>
      </c>
      <c r="R202" s="20">
        <v>45903.708333333336</v>
      </c>
      <c r="S202" s="17" t="s">
        <v>464</v>
      </c>
      <c r="T202" s="17" t="s">
        <v>452</v>
      </c>
      <c r="U202" s="28" t="s">
        <v>1293</v>
      </c>
      <c r="V202" s="21" t="s">
        <v>1294</v>
      </c>
      <c r="W202" s="22">
        <v>18.0</v>
      </c>
      <c r="X202" s="22">
        <v>8.0</v>
      </c>
      <c r="Y202" s="23">
        <v>2790.0</v>
      </c>
      <c r="Z202" s="23">
        <v>300.0</v>
      </c>
      <c r="AA202" s="24">
        <v>0.0</v>
      </c>
      <c r="AB202" s="24">
        <v>0.0</v>
      </c>
      <c r="AC202" s="24">
        <v>0.0</v>
      </c>
      <c r="AD202" s="23">
        <v>0.0</v>
      </c>
      <c r="AE202" s="24">
        <v>0.0</v>
      </c>
      <c r="AF202" s="17" t="s">
        <v>451</v>
      </c>
      <c r="AG202" s="17">
        <v>850.0</v>
      </c>
      <c r="AH202" s="17" t="s">
        <v>451</v>
      </c>
      <c r="AI202" s="25">
        <f>IF(AF202="Sim",INT((R202-Q202+1))*K202*VLOOKUP(P202,'Tabelas Auxiliares'!$A$1:$C$400,3,FALSE),0)</f>
        <v>0</v>
      </c>
      <c r="AJ202" s="25">
        <f t="shared" si="2"/>
        <v>595</v>
      </c>
      <c r="AK202" s="25">
        <f>IFS(
  O202="Acre",((W202*0.15)+(X202*0.7))*VLOOKUP(P202,'MunicípiosEstados'!$A$2:$B$23,2,FALSE),
  O202="Alagoas",((W202*0.15)+(X202*0.7))*VLOOKUP(P202,'MunicípiosEstados'!$C$2:$D$103,2,FALSE),
  O202="Amapá",((W202*0.15)+(X202*0.7))*VLOOKUP(P202,'MunicípiosEstados'!$E$2:$F$17,2,FALSE),
  O202="Amazonas",((W202*0.15)+(X202*0.7))*VLOOKUP(P202,'MunicípiosEstados'!$G$2:$H$63,2,FALSE),
  O202="Bahia",((W202*0.15)+(X202*0.7))*VLOOKUP(P202,'MunicípiosEstados'!$I$2:$J$418,2,FALSE),
  O202="Ceará",((W202*0.15)+(X202*0.7))*VLOOKUP(P202,'MunicípiosEstados'!$K$2:$L$185,2,FALSE),
  O202="Distrito Federal",((W202*0.15)+(X202*0.7))*VLOOKUP(P202,'MunicípiosEstados'!$M$2:$N$2,2,FALSE),
  O202="Espírito Santo",((W202*0.15)+(X202*0.7))*VLOOKUP(P202,'MunicípiosEstados'!$O$2:$P$79,2,FALSE),
  O202="Goiás",((W202*0.15)+(X202*0.7))*VLOOKUP(P202,'MunicípiosEstados'!$Q$2:$R$247,2,FALSE),
  O202="Maranhão",((W202*0.15)+(X202*0.7))*VLOOKUP(P202,'MunicípiosEstados'!$S$2:$T$218,2,FALSE),
  O202="Mato Grosso",((W202*0.15)+(X202*0.7))*VLOOKUP(P202,'MunicípiosEstados'!$U$2:$V$143,2,FALSE),
  O202="Mato Grosso do Sul",((W202*0.15)+(X202*0.7))*VLOOKUP(P202,'MunicípiosEstados'!$W$2:$X$80,2,FALSE),
  O202="Minas Gerais",((W202*0.15)+(X202*0.7))*VLOOKUP(P202,'MunicípiosEstados'!$Y$2:$Z$854,2,FALSE),
  O202="Pará",((W202*0.15)+(X202*0.7))*VLOOKUP(P202,'MunicípiosEstados'!$AA$2:$AB$145,2,FALSE),
  O202="Paraíba",((W202*0.15)+(X202*0.7))*VLOOKUP(P202,'MunicípiosEstados'!$AC$2:$AD$224,2,FALSE),
  O202="Paraná",((W202*0.15)+(X202*0.7))*VLOOKUP(P202,'MunicípiosEstados'!$AE$2:$AF$400,2,FALSE),
  O202="Pernambuco",((W202*0.15)+(X202*0.7))*VLOOKUP(P202,'MunicípiosEstados'!$AG$2:$AH$186,2,FALSE),
  O202="Piauí",((W202*0.15)+(X202*0.7))*VLOOKUP(P202,'MunicípiosEstados'!$AI$2:$AJ$225,2,FALSE),
  O202="Rio Grande do Norte",((W202*0.15)+(X202*0.7))*VLOOKUP(P202,'MunicípiosEstados'!$AK$2:$AL$168,2,FALSE),
  O202="Rio Grande do Sul",((W202*0.15)+(X202*0.7))*VLOOKUP(P202,'MunicípiosEstados'!$AM$2:$AN$498,2,FALSE),
  O202="Rio de Janeiro",((W202*0.15)+(X202*0.7))*VLOOKUP(P202,'MunicípiosEstados'!$AO$2:$AP$93,2,FALSE),
  O202="Rondônia",((W202*0.15)+(X202*0.7))*VLOOKUP(P202,'MunicípiosEstados'!$AQ$2:$AR$53,2,FALSE),
  O202="Roraima",((W202*0.15)+(X202*0.7))*VLOOKUP(P202,'MunicípiosEstados'!$AS$2:$AT$16,2,FALSE),
  O202="Santa Catarina",((W202*0.15)+(X202*0.7))*VLOOKUP(P202,'MunicípiosEstados'!$AU$2:$AV$296,2,FALSE),
  O202="São Paulo",((W202*0.15)+(X202*0.7))*VLOOKUP(P202,'MunicípiosEstados'!$AW$2:$AX$646,2,FALSE),
  O202="Sergipe",((W202*0.15)+(X202*0.7))*VLOOKUP(P202,'MunicípiosEstados'!$AY$2:$AZ$76,2,FALSE),
  O202="Tocantins",((W202*0.15)+(X202*0.7))*VLOOKUP(P202,'MunicípiosEstados'!$BA$2:$BB$140,2,FALSE),
  O202="Exterior",((W202*0.15)+(X202*0.7))*VLOOKUP(P202,'MunicípiosEstados'!$BC$2:$BE$221,3,FALSE),TRUE,0
)
</f>
        <v>3081.458</v>
      </c>
      <c r="AL202" s="25">
        <f t="shared" si="3"/>
        <v>6766.458</v>
      </c>
      <c r="AN202" s="21" t="s">
        <v>1295</v>
      </c>
    </row>
    <row r="203" ht="22.5" hidden="1" customHeight="1">
      <c r="A203" s="15">
        <f t="shared" si="1"/>
        <v>202</v>
      </c>
      <c r="B203" s="16">
        <v>45993.40948902778</v>
      </c>
      <c r="C203" s="17" t="s">
        <v>455</v>
      </c>
      <c r="D203" s="27" t="s">
        <v>456</v>
      </c>
      <c r="E203" s="15" t="str">
        <f>VLOOKUP(G203,DiretoriaDepart.Coord.!$A$1:$C$72,2,FALSE)</f>
        <v>Pesquisa e Inovação</v>
      </c>
      <c r="F203" s="15" t="str">
        <f>VLOOKUP(G203,DiretoriaDepart.Coord.!$A$1:$C$72,3,FALSE)</f>
        <v>Inovação e Comunicação Científica</v>
      </c>
      <c r="G203" s="17" t="s">
        <v>457</v>
      </c>
      <c r="H203" s="15"/>
      <c r="I203" s="17" t="s">
        <v>1263</v>
      </c>
      <c r="J203" s="17" t="s">
        <v>883</v>
      </c>
      <c r="K203" s="17">
        <v>1.0</v>
      </c>
      <c r="L203" s="17" t="s">
        <v>564</v>
      </c>
      <c r="M203" s="17" t="s">
        <v>461</v>
      </c>
      <c r="N203" s="17">
        <v>0.0</v>
      </c>
      <c r="O203" s="17" t="s">
        <v>714</v>
      </c>
      <c r="P203" s="17" t="s">
        <v>6</v>
      </c>
      <c r="Q203" s="20">
        <v>45932.333333333336</v>
      </c>
      <c r="R203" s="20">
        <v>45934.708333333336</v>
      </c>
      <c r="S203" s="17" t="s">
        <v>451</v>
      </c>
      <c r="T203" s="17" t="s">
        <v>452</v>
      </c>
      <c r="U203" s="28" t="s">
        <v>1265</v>
      </c>
      <c r="V203" s="21" t="s">
        <v>1296</v>
      </c>
      <c r="W203" s="22">
        <v>6.0</v>
      </c>
      <c r="X203" s="22">
        <v>4.0</v>
      </c>
      <c r="Y203" s="23">
        <v>500.0</v>
      </c>
      <c r="Z203" s="23">
        <v>0.0</v>
      </c>
      <c r="AA203" s="24">
        <v>0.0</v>
      </c>
      <c r="AB203" s="24">
        <v>0.0</v>
      </c>
      <c r="AC203" s="24">
        <v>0.0</v>
      </c>
      <c r="AD203" s="23">
        <v>0.0</v>
      </c>
      <c r="AE203" s="24">
        <v>0.0</v>
      </c>
      <c r="AF203" s="17" t="s">
        <v>451</v>
      </c>
      <c r="AG203" s="17">
        <v>1050.0</v>
      </c>
      <c r="AH203" s="17" t="s">
        <v>451</v>
      </c>
      <c r="AI203" s="25">
        <f>IF(AF203="Sim",INT((R203-Q203+1))*K203*VLOOKUP(P203,'Tabelas Auxiliares'!$A$1:$C$400,3,FALSE),0)</f>
        <v>0</v>
      </c>
      <c r="AJ203" s="25">
        <f t="shared" si="2"/>
        <v>735</v>
      </c>
      <c r="AK203" s="25">
        <f>IFS(
  O203="Acre",((W203*0.15)+(X203*0.7))*VLOOKUP(P203,'MunicípiosEstados'!$A$2:$B$23,2,FALSE),
  O203="Alagoas",((W203*0.15)+(X203*0.7))*VLOOKUP(P203,'MunicípiosEstados'!$C$2:$D$103,2,FALSE),
  O203="Amapá",((W203*0.15)+(X203*0.7))*VLOOKUP(P203,'MunicípiosEstados'!$E$2:$F$17,2,FALSE),
  O203="Amazonas",((W203*0.15)+(X203*0.7))*VLOOKUP(P203,'MunicípiosEstados'!$G$2:$H$63,2,FALSE),
  O203="Bahia",((W203*0.15)+(X203*0.7))*VLOOKUP(P203,'MunicípiosEstados'!$I$2:$J$418,2,FALSE),
  O203="Ceará",((W203*0.15)+(X203*0.7))*VLOOKUP(P203,'MunicípiosEstados'!$K$2:$L$185,2,FALSE),
  O203="Distrito Federal",((W203*0.15)+(X203*0.7))*VLOOKUP(P203,'MunicípiosEstados'!$M$2:$N$2,2,FALSE),
  O203="Espírito Santo",((W203*0.15)+(X203*0.7))*VLOOKUP(P203,'MunicípiosEstados'!$O$2:$P$79,2,FALSE),
  O203="Goiás",((W203*0.15)+(X203*0.7))*VLOOKUP(P203,'MunicípiosEstados'!$Q$2:$R$247,2,FALSE),
  O203="Maranhão",((W203*0.15)+(X203*0.7))*VLOOKUP(P203,'MunicípiosEstados'!$S$2:$T$218,2,FALSE),
  O203="Mato Grosso",((W203*0.15)+(X203*0.7))*VLOOKUP(P203,'MunicípiosEstados'!$U$2:$V$143,2,FALSE),
  O203="Mato Grosso do Sul",((W203*0.15)+(X203*0.7))*VLOOKUP(P203,'MunicípiosEstados'!$W$2:$X$80,2,FALSE),
  O203="Minas Gerais",((W203*0.15)+(X203*0.7))*VLOOKUP(P203,'MunicípiosEstados'!$Y$2:$Z$854,2,FALSE),
  O203="Pará",((W203*0.15)+(X203*0.7))*VLOOKUP(P203,'MunicípiosEstados'!$AA$2:$AB$145,2,FALSE),
  O203="Paraíba",((W203*0.15)+(X203*0.7))*VLOOKUP(P203,'MunicípiosEstados'!$AC$2:$AD$224,2,FALSE),
  O203="Paraná",((W203*0.15)+(X203*0.7))*VLOOKUP(P203,'MunicípiosEstados'!$AE$2:$AF$400,2,FALSE),
  O203="Pernambuco",((W203*0.15)+(X203*0.7))*VLOOKUP(P203,'MunicípiosEstados'!$AG$2:$AH$186,2,FALSE),
  O203="Piauí",((W203*0.15)+(X203*0.7))*VLOOKUP(P203,'MunicípiosEstados'!$AI$2:$AJ$225,2,FALSE),
  O203="Rio Grande do Norte",((W203*0.15)+(X203*0.7))*VLOOKUP(P203,'MunicípiosEstados'!$AK$2:$AL$168,2,FALSE),
  O203="Rio Grande do Sul",((W203*0.15)+(X203*0.7))*VLOOKUP(P203,'MunicípiosEstados'!$AM$2:$AN$498,2,FALSE),
  O203="Rio de Janeiro",((W203*0.15)+(X203*0.7))*VLOOKUP(P203,'MunicípiosEstados'!$AO$2:$AP$93,2,FALSE),
  O203="Rondônia",((W203*0.15)+(X203*0.7))*VLOOKUP(P203,'MunicípiosEstados'!$AQ$2:$AR$53,2,FALSE),
  O203="Roraima",((W203*0.15)+(X203*0.7))*VLOOKUP(P203,'MunicípiosEstados'!$AS$2:$AT$16,2,FALSE),
  O203="Santa Catarina",((W203*0.15)+(X203*0.7))*VLOOKUP(P203,'MunicípiosEstados'!$AU$2:$AV$296,2,FALSE),
  O203="São Paulo",((W203*0.15)+(X203*0.7))*VLOOKUP(P203,'MunicípiosEstados'!$AW$2:$AX$646,2,FALSE),
  O203="Sergipe",((W203*0.15)+(X203*0.7))*VLOOKUP(P203,'MunicípiosEstados'!$AY$2:$AZ$76,2,FALSE),
  O203="Tocantins",((W203*0.15)+(X203*0.7))*VLOOKUP(P203,'MunicípiosEstados'!$BA$2:$BB$140,2,FALSE),
  O203="Exterior",((W203*0.15)+(X203*0.7))*VLOOKUP(P203,'MunicípiosEstados'!$BC$2:$BE$221,3,FALSE),TRUE,0
)
</f>
        <v>1373.662</v>
      </c>
      <c r="AL203" s="25">
        <f t="shared" si="3"/>
        <v>2608.662</v>
      </c>
      <c r="AN203" s="29" t="s">
        <v>456</v>
      </c>
    </row>
    <row r="204" ht="22.5" hidden="1" customHeight="1">
      <c r="A204" s="15">
        <f t="shared" si="1"/>
        <v>203</v>
      </c>
      <c r="B204" s="16">
        <v>45994.559291944446</v>
      </c>
      <c r="C204" s="17" t="s">
        <v>487</v>
      </c>
      <c r="D204" s="27" t="s">
        <v>443</v>
      </c>
      <c r="E204" s="15" t="str">
        <f>VLOOKUP(G204,DiretoriaDepart.Coord.!$A$1:$C$72,2,FALSE)</f>
        <v>Extensão Rural</v>
      </c>
      <c r="F204" s="15" t="str">
        <f>VLOOKUP(G204,DiretoriaDepart.Coord.!$A$1:$C$72,3,FALSE)</f>
        <v>Projetos e Cadeias Produtivas</v>
      </c>
      <c r="G204" s="17" t="s">
        <v>488</v>
      </c>
      <c r="H204" s="15"/>
      <c r="I204" s="17" t="s">
        <v>1073</v>
      </c>
      <c r="J204" s="17" t="s">
        <v>728</v>
      </c>
      <c r="K204" s="17">
        <v>20.0</v>
      </c>
      <c r="L204" s="15"/>
      <c r="M204" s="17" t="s">
        <v>1074</v>
      </c>
      <c r="N204" s="17">
        <v>0.0</v>
      </c>
      <c r="O204" s="17" t="s">
        <v>714</v>
      </c>
      <c r="P204" s="17" t="s">
        <v>21</v>
      </c>
      <c r="Q204" s="20">
        <v>45817.333333333336</v>
      </c>
      <c r="R204" s="20">
        <v>45817.708333333336</v>
      </c>
      <c r="S204" s="17" t="s">
        <v>451</v>
      </c>
      <c r="T204" s="17" t="s">
        <v>452</v>
      </c>
      <c r="U204" s="28" t="s">
        <v>1075</v>
      </c>
      <c r="V204" s="28" t="s">
        <v>1076</v>
      </c>
      <c r="W204" s="22">
        <v>30.0</v>
      </c>
      <c r="X204" s="22">
        <v>10.0</v>
      </c>
      <c r="Y204" s="23">
        <v>0.0</v>
      </c>
      <c r="Z204" s="23">
        <v>0.0</v>
      </c>
      <c r="AA204" s="24">
        <v>0.0</v>
      </c>
      <c r="AB204" s="24">
        <v>0.0</v>
      </c>
      <c r="AC204" s="24">
        <v>0.0</v>
      </c>
      <c r="AD204" s="23">
        <v>0.0</v>
      </c>
      <c r="AE204" s="24">
        <v>0.0</v>
      </c>
      <c r="AF204" s="17" t="s">
        <v>464</v>
      </c>
      <c r="AG204" s="17">
        <v>2000.0</v>
      </c>
      <c r="AH204" s="17" t="s">
        <v>451</v>
      </c>
      <c r="AI204" s="25">
        <f>IF(AF204="Sim",INT((R204-Q204+1))*K204*VLOOKUP(P204,'Tabelas Auxiliares'!$A$1:$C$400,3,FALSE),0)</f>
        <v>426.6</v>
      </c>
      <c r="AJ204" s="25">
        <f t="shared" si="2"/>
        <v>1400</v>
      </c>
      <c r="AK204" s="25">
        <f>IFS(
  O204="Acre",((W204*0.15)+(X204*0.7))*VLOOKUP(P204,'MunicípiosEstados'!$A$2:$B$23,2,FALSE),
  O204="Alagoas",((W204*0.15)+(X204*0.7))*VLOOKUP(P204,'MunicípiosEstados'!$C$2:$D$103,2,FALSE),
  O204="Amapá",((W204*0.15)+(X204*0.7))*VLOOKUP(P204,'MunicípiosEstados'!$E$2:$F$17,2,FALSE),
  O204="Amazonas",((W204*0.15)+(X204*0.7))*VLOOKUP(P204,'MunicípiosEstados'!$G$2:$H$63,2,FALSE),
  O204="Bahia",((W204*0.15)+(X204*0.7))*VLOOKUP(P204,'MunicípiosEstados'!$I$2:$J$418,2,FALSE),
  O204="Ceará",((W204*0.15)+(X204*0.7))*VLOOKUP(P204,'MunicípiosEstados'!$K$2:$L$185,2,FALSE),
  O204="Distrito Federal",((W204*0.15)+(X204*0.7))*VLOOKUP(P204,'MunicípiosEstados'!$M$2:$N$2,2,FALSE),
  O204="Espírito Santo",((W204*0.15)+(X204*0.7))*VLOOKUP(P204,'MunicípiosEstados'!$O$2:$P$79,2,FALSE),
  O204="Goiás",((W204*0.15)+(X204*0.7))*VLOOKUP(P204,'MunicípiosEstados'!$Q$2:$R$247,2,FALSE),
  O204="Maranhão",((W204*0.15)+(X204*0.7))*VLOOKUP(P204,'MunicípiosEstados'!$S$2:$T$218,2,FALSE),
  O204="Mato Grosso",((W204*0.15)+(X204*0.7))*VLOOKUP(P204,'MunicípiosEstados'!$U$2:$V$143,2,FALSE),
  O204="Mato Grosso do Sul",((W204*0.15)+(X204*0.7))*VLOOKUP(P204,'MunicípiosEstados'!$W$2:$X$80,2,FALSE),
  O204="Minas Gerais",((W204*0.15)+(X204*0.7))*VLOOKUP(P204,'MunicípiosEstados'!$Y$2:$Z$854,2,FALSE),
  O204="Pará",((W204*0.15)+(X204*0.7))*VLOOKUP(P204,'MunicípiosEstados'!$AA$2:$AB$145,2,FALSE),
  O204="Paraíba",((W204*0.15)+(X204*0.7))*VLOOKUP(P204,'MunicípiosEstados'!$AC$2:$AD$224,2,FALSE),
  O204="Paraná",((W204*0.15)+(X204*0.7))*VLOOKUP(P204,'MunicípiosEstados'!$AE$2:$AF$400,2,FALSE),
  O204="Pernambuco",((W204*0.15)+(X204*0.7))*VLOOKUP(P204,'MunicípiosEstados'!$AG$2:$AH$186,2,FALSE),
  O204="Piauí",((W204*0.15)+(X204*0.7))*VLOOKUP(P204,'MunicípiosEstados'!$AI$2:$AJ$225,2,FALSE),
  O204="Rio Grande do Norte",((W204*0.15)+(X204*0.7))*VLOOKUP(P204,'MunicípiosEstados'!$AK$2:$AL$168,2,FALSE),
  O204="Rio Grande do Sul",((W204*0.15)+(X204*0.7))*VLOOKUP(P204,'MunicípiosEstados'!$AM$2:$AN$498,2,FALSE),
  O204="Rio de Janeiro",((W204*0.15)+(X204*0.7))*VLOOKUP(P204,'MunicípiosEstados'!$AO$2:$AP$93,2,FALSE),
  O204="Rondônia",((W204*0.15)+(X204*0.7))*VLOOKUP(P204,'MunicípiosEstados'!$AQ$2:$AR$53,2,FALSE),
  O204="Roraima",((W204*0.15)+(X204*0.7))*VLOOKUP(P204,'MunicípiosEstados'!$AS$2:$AT$16,2,FALSE),
  O204="Santa Catarina",((W204*0.15)+(X204*0.7))*VLOOKUP(P204,'MunicípiosEstados'!$AU$2:$AV$296,2,FALSE),
  O204="São Paulo",((W204*0.15)+(X204*0.7))*VLOOKUP(P204,'MunicípiosEstados'!$AW$2:$AX$646,2,FALSE),
  O204="Sergipe",((W204*0.15)+(X204*0.7))*VLOOKUP(P204,'MunicípiosEstados'!$AY$2:$AZ$76,2,FALSE),
  O204="Tocantins",((W204*0.15)+(X204*0.7))*VLOOKUP(P204,'MunicípiosEstados'!$BA$2:$BB$140,2,FALSE),
  O204="Exterior",((W204*0.15)+(X204*0.7))*VLOOKUP(P204,'MunicípiosEstados'!$BC$2:$BE$221,3,FALSE),TRUE,0
)
</f>
        <v>3341.325</v>
      </c>
      <c r="AL204" s="25">
        <f t="shared" si="3"/>
        <v>5167.925</v>
      </c>
      <c r="AN204" s="31"/>
    </row>
    <row r="205" ht="22.5" hidden="1" customHeight="1">
      <c r="A205" s="15">
        <f t="shared" si="1"/>
        <v>204</v>
      </c>
      <c r="B205" s="16">
        <v>45994.562228379626</v>
      </c>
      <c r="C205" s="17" t="s">
        <v>487</v>
      </c>
      <c r="D205" s="27" t="s">
        <v>443</v>
      </c>
      <c r="E205" s="15" t="str">
        <f>VLOOKUP(G205,DiretoriaDepart.Coord.!$A$1:$C$72,2,FALSE)</f>
        <v>Extensão Rural</v>
      </c>
      <c r="F205" s="15" t="str">
        <f>VLOOKUP(G205,DiretoriaDepart.Coord.!$A$1:$C$72,3,FALSE)</f>
        <v>Projetos e Cadeias Produtivas</v>
      </c>
      <c r="G205" s="17" t="s">
        <v>488</v>
      </c>
      <c r="H205" s="15"/>
      <c r="I205" s="17" t="s">
        <v>1073</v>
      </c>
      <c r="J205" s="17" t="s">
        <v>728</v>
      </c>
      <c r="K205" s="17">
        <v>20.0</v>
      </c>
      <c r="L205" s="15"/>
      <c r="M205" s="17" t="s">
        <v>1074</v>
      </c>
      <c r="N205" s="17">
        <v>0.0</v>
      </c>
      <c r="O205" s="17" t="s">
        <v>714</v>
      </c>
      <c r="P205" s="17" t="s">
        <v>42</v>
      </c>
      <c r="Q205" s="20">
        <v>45824.333333333336</v>
      </c>
      <c r="R205" s="20">
        <v>45824.708333333336</v>
      </c>
      <c r="S205" s="17" t="s">
        <v>451</v>
      </c>
      <c r="T205" s="17" t="s">
        <v>452</v>
      </c>
      <c r="U205" s="28" t="s">
        <v>1075</v>
      </c>
      <c r="V205" s="28" t="s">
        <v>1297</v>
      </c>
      <c r="W205" s="22">
        <v>30.0</v>
      </c>
      <c r="X205" s="22">
        <v>10.0</v>
      </c>
      <c r="Y205" s="23">
        <v>0.0</v>
      </c>
      <c r="Z205" s="23">
        <v>0.0</v>
      </c>
      <c r="AA205" s="24">
        <v>0.0</v>
      </c>
      <c r="AB205" s="24">
        <v>0.0</v>
      </c>
      <c r="AC205" s="24">
        <v>0.0</v>
      </c>
      <c r="AD205" s="23">
        <v>0.0</v>
      </c>
      <c r="AE205" s="24">
        <v>0.0</v>
      </c>
      <c r="AF205" s="17" t="s">
        <v>464</v>
      </c>
      <c r="AG205" s="17">
        <v>2000.0</v>
      </c>
      <c r="AH205" s="17" t="s">
        <v>451</v>
      </c>
      <c r="AI205" s="25">
        <f>IF(AF205="Sim",INT((R205-Q205+1))*K205*VLOOKUP(P205,'Tabelas Auxiliares'!$A$1:$C$400,3,FALSE),0)</f>
        <v>452.8</v>
      </c>
      <c r="AJ205" s="25">
        <f t="shared" si="2"/>
        <v>1400</v>
      </c>
      <c r="AK205" s="25">
        <f>IFS(
  O205="Acre",((W205*0.15)+(X205*0.7))*VLOOKUP(P205,'MunicípiosEstados'!$A$2:$B$23,2,FALSE),
  O205="Alagoas",((W205*0.15)+(X205*0.7))*VLOOKUP(P205,'MunicípiosEstados'!$C$2:$D$103,2,FALSE),
  O205="Amapá",((W205*0.15)+(X205*0.7))*VLOOKUP(P205,'MunicípiosEstados'!$E$2:$F$17,2,FALSE),
  O205="Amazonas",((W205*0.15)+(X205*0.7))*VLOOKUP(P205,'MunicípiosEstados'!$G$2:$H$63,2,FALSE),
  O205="Bahia",((W205*0.15)+(X205*0.7))*VLOOKUP(P205,'MunicípiosEstados'!$I$2:$J$418,2,FALSE),
  O205="Ceará",((W205*0.15)+(X205*0.7))*VLOOKUP(P205,'MunicípiosEstados'!$K$2:$L$185,2,FALSE),
  O205="Distrito Federal",((W205*0.15)+(X205*0.7))*VLOOKUP(P205,'MunicípiosEstados'!$M$2:$N$2,2,FALSE),
  O205="Espírito Santo",((W205*0.15)+(X205*0.7))*VLOOKUP(P205,'MunicípiosEstados'!$O$2:$P$79,2,FALSE),
  O205="Goiás",((W205*0.15)+(X205*0.7))*VLOOKUP(P205,'MunicípiosEstados'!$Q$2:$R$247,2,FALSE),
  O205="Maranhão",((W205*0.15)+(X205*0.7))*VLOOKUP(P205,'MunicípiosEstados'!$S$2:$T$218,2,FALSE),
  O205="Mato Grosso",((W205*0.15)+(X205*0.7))*VLOOKUP(P205,'MunicípiosEstados'!$U$2:$V$143,2,FALSE),
  O205="Mato Grosso do Sul",((W205*0.15)+(X205*0.7))*VLOOKUP(P205,'MunicípiosEstados'!$W$2:$X$80,2,FALSE),
  O205="Minas Gerais",((W205*0.15)+(X205*0.7))*VLOOKUP(P205,'MunicípiosEstados'!$Y$2:$Z$854,2,FALSE),
  O205="Pará",((W205*0.15)+(X205*0.7))*VLOOKUP(P205,'MunicípiosEstados'!$AA$2:$AB$145,2,FALSE),
  O205="Paraíba",((W205*0.15)+(X205*0.7))*VLOOKUP(P205,'MunicípiosEstados'!$AC$2:$AD$224,2,FALSE),
  O205="Paraná",((W205*0.15)+(X205*0.7))*VLOOKUP(P205,'MunicípiosEstados'!$AE$2:$AF$400,2,FALSE),
  O205="Pernambuco",((W205*0.15)+(X205*0.7))*VLOOKUP(P205,'MunicípiosEstados'!$AG$2:$AH$186,2,FALSE),
  O205="Piauí",((W205*0.15)+(X205*0.7))*VLOOKUP(P205,'MunicípiosEstados'!$AI$2:$AJ$225,2,FALSE),
  O205="Rio Grande do Norte",((W205*0.15)+(X205*0.7))*VLOOKUP(P205,'MunicípiosEstados'!$AK$2:$AL$168,2,FALSE),
  O205="Rio Grande do Sul",((W205*0.15)+(X205*0.7))*VLOOKUP(P205,'MunicípiosEstados'!$AM$2:$AN$498,2,FALSE),
  O205="Rio de Janeiro",((W205*0.15)+(X205*0.7))*VLOOKUP(P205,'MunicípiosEstados'!$AO$2:$AP$93,2,FALSE),
  O205="Rondônia",((W205*0.15)+(X205*0.7))*VLOOKUP(P205,'MunicípiosEstados'!$AQ$2:$AR$53,2,FALSE),
  O205="Roraima",((W205*0.15)+(X205*0.7))*VLOOKUP(P205,'MunicípiosEstados'!$AS$2:$AT$16,2,FALSE),
  O205="Santa Catarina",((W205*0.15)+(X205*0.7))*VLOOKUP(P205,'MunicípiosEstados'!$AU$2:$AV$296,2,FALSE),
  O205="São Paulo",((W205*0.15)+(X205*0.7))*VLOOKUP(P205,'MunicípiosEstados'!$AW$2:$AX$646,2,FALSE),
  O205="Sergipe",((W205*0.15)+(X205*0.7))*VLOOKUP(P205,'MunicípiosEstados'!$AY$2:$AZ$76,2,FALSE),
  O205="Tocantins",((W205*0.15)+(X205*0.7))*VLOOKUP(P205,'MunicípiosEstados'!$BA$2:$BB$140,2,FALSE),
  O205="Exterior",((W205*0.15)+(X205*0.7))*VLOOKUP(P205,'MunicípiosEstados'!$BC$2:$BE$221,3,FALSE),TRUE,0
)
</f>
        <v>3341.325</v>
      </c>
      <c r="AL205" s="25">
        <f t="shared" si="3"/>
        <v>5194.125</v>
      </c>
      <c r="AN205" s="31"/>
    </row>
    <row r="206" ht="22.5" hidden="1" customHeight="1">
      <c r="A206" s="15">
        <f t="shared" si="1"/>
        <v>205</v>
      </c>
      <c r="B206" s="16">
        <v>45994.564310104164</v>
      </c>
      <c r="C206" s="17" t="s">
        <v>487</v>
      </c>
      <c r="D206" s="27" t="s">
        <v>443</v>
      </c>
      <c r="E206" s="15" t="str">
        <f>VLOOKUP(G206,DiretoriaDepart.Coord.!$A$1:$C$72,2,FALSE)</f>
        <v>Extensão Rural</v>
      </c>
      <c r="F206" s="15" t="str">
        <f>VLOOKUP(G206,DiretoriaDepart.Coord.!$A$1:$C$72,3,FALSE)</f>
        <v>Projetos e Cadeias Produtivas</v>
      </c>
      <c r="G206" s="17" t="s">
        <v>488</v>
      </c>
      <c r="H206" s="15"/>
      <c r="I206" s="17" t="s">
        <v>1073</v>
      </c>
      <c r="J206" s="17" t="s">
        <v>728</v>
      </c>
      <c r="K206" s="17">
        <v>20.0</v>
      </c>
      <c r="L206" s="15"/>
      <c r="M206" s="17" t="s">
        <v>1074</v>
      </c>
      <c r="N206" s="17">
        <v>0.0</v>
      </c>
      <c r="O206" s="17" t="s">
        <v>714</v>
      </c>
      <c r="P206" s="17" t="s">
        <v>18</v>
      </c>
      <c r="Q206" s="20">
        <v>45831.333333333336</v>
      </c>
      <c r="R206" s="20">
        <v>45831.708333333336</v>
      </c>
      <c r="S206" s="17" t="s">
        <v>451</v>
      </c>
      <c r="T206" s="17" t="s">
        <v>452</v>
      </c>
      <c r="U206" s="28" t="s">
        <v>1075</v>
      </c>
      <c r="V206" s="28" t="s">
        <v>1297</v>
      </c>
      <c r="W206" s="22">
        <v>30.0</v>
      </c>
      <c r="X206" s="22">
        <v>10.0</v>
      </c>
      <c r="Y206" s="23">
        <v>0.0</v>
      </c>
      <c r="Z206" s="23">
        <v>0.0</v>
      </c>
      <c r="AA206" s="24">
        <v>0.0</v>
      </c>
      <c r="AB206" s="24">
        <v>0.0</v>
      </c>
      <c r="AC206" s="24">
        <v>0.0</v>
      </c>
      <c r="AD206" s="23">
        <v>0.0</v>
      </c>
      <c r="AE206" s="24">
        <v>0.0</v>
      </c>
      <c r="AF206" s="17" t="s">
        <v>464</v>
      </c>
      <c r="AG206" s="17">
        <v>2000.0</v>
      </c>
      <c r="AH206" s="17" t="s">
        <v>451</v>
      </c>
      <c r="AI206" s="25">
        <f>IF(AF206="Sim",INT((R206-Q206+1))*K206*VLOOKUP(P206,'Tabelas Auxiliares'!$A$1:$C$400,3,FALSE),0)</f>
        <v>452.8</v>
      </c>
      <c r="AJ206" s="25">
        <f t="shared" si="2"/>
        <v>1400</v>
      </c>
      <c r="AK206" s="25">
        <f>IFS(
  O206="Acre",((W206*0.15)+(X206*0.7))*VLOOKUP(P206,'MunicípiosEstados'!$A$2:$B$23,2,FALSE),
  O206="Alagoas",((W206*0.15)+(X206*0.7))*VLOOKUP(P206,'MunicípiosEstados'!$C$2:$D$103,2,FALSE),
  O206="Amapá",((W206*0.15)+(X206*0.7))*VLOOKUP(P206,'MunicípiosEstados'!$E$2:$F$17,2,FALSE),
  O206="Amazonas",((W206*0.15)+(X206*0.7))*VLOOKUP(P206,'MunicípiosEstados'!$G$2:$H$63,2,FALSE),
  O206="Bahia",((W206*0.15)+(X206*0.7))*VLOOKUP(P206,'MunicípiosEstados'!$I$2:$J$418,2,FALSE),
  O206="Ceará",((W206*0.15)+(X206*0.7))*VLOOKUP(P206,'MunicípiosEstados'!$K$2:$L$185,2,FALSE),
  O206="Distrito Federal",((W206*0.15)+(X206*0.7))*VLOOKUP(P206,'MunicípiosEstados'!$M$2:$N$2,2,FALSE),
  O206="Espírito Santo",((W206*0.15)+(X206*0.7))*VLOOKUP(P206,'MunicípiosEstados'!$O$2:$P$79,2,FALSE),
  O206="Goiás",((W206*0.15)+(X206*0.7))*VLOOKUP(P206,'MunicípiosEstados'!$Q$2:$R$247,2,FALSE),
  O206="Maranhão",((W206*0.15)+(X206*0.7))*VLOOKUP(P206,'MunicípiosEstados'!$S$2:$T$218,2,FALSE),
  O206="Mato Grosso",((W206*0.15)+(X206*0.7))*VLOOKUP(P206,'MunicípiosEstados'!$U$2:$V$143,2,FALSE),
  O206="Mato Grosso do Sul",((W206*0.15)+(X206*0.7))*VLOOKUP(P206,'MunicípiosEstados'!$W$2:$X$80,2,FALSE),
  O206="Minas Gerais",((W206*0.15)+(X206*0.7))*VLOOKUP(P206,'MunicípiosEstados'!$Y$2:$Z$854,2,FALSE),
  O206="Pará",((W206*0.15)+(X206*0.7))*VLOOKUP(P206,'MunicípiosEstados'!$AA$2:$AB$145,2,FALSE),
  O206="Paraíba",((W206*0.15)+(X206*0.7))*VLOOKUP(P206,'MunicípiosEstados'!$AC$2:$AD$224,2,FALSE),
  O206="Paraná",((W206*0.15)+(X206*0.7))*VLOOKUP(P206,'MunicípiosEstados'!$AE$2:$AF$400,2,FALSE),
  O206="Pernambuco",((W206*0.15)+(X206*0.7))*VLOOKUP(P206,'MunicípiosEstados'!$AG$2:$AH$186,2,FALSE),
  O206="Piauí",((W206*0.15)+(X206*0.7))*VLOOKUP(P206,'MunicípiosEstados'!$AI$2:$AJ$225,2,FALSE),
  O206="Rio Grande do Norte",((W206*0.15)+(X206*0.7))*VLOOKUP(P206,'MunicípiosEstados'!$AK$2:$AL$168,2,FALSE),
  O206="Rio Grande do Sul",((W206*0.15)+(X206*0.7))*VLOOKUP(P206,'MunicípiosEstados'!$AM$2:$AN$498,2,FALSE),
  O206="Rio de Janeiro",((W206*0.15)+(X206*0.7))*VLOOKUP(P206,'MunicípiosEstados'!$AO$2:$AP$93,2,FALSE),
  O206="Rondônia",((W206*0.15)+(X206*0.7))*VLOOKUP(P206,'MunicípiosEstados'!$AQ$2:$AR$53,2,FALSE),
  O206="Roraima",((W206*0.15)+(X206*0.7))*VLOOKUP(P206,'MunicípiosEstados'!$AS$2:$AT$16,2,FALSE),
  O206="Santa Catarina",((W206*0.15)+(X206*0.7))*VLOOKUP(P206,'MunicípiosEstados'!$AU$2:$AV$296,2,FALSE),
  O206="São Paulo",((W206*0.15)+(X206*0.7))*VLOOKUP(P206,'MunicípiosEstados'!$AW$2:$AX$646,2,FALSE),
  O206="Sergipe",((W206*0.15)+(X206*0.7))*VLOOKUP(P206,'MunicípiosEstados'!$AY$2:$AZ$76,2,FALSE),
  O206="Tocantins",((W206*0.15)+(X206*0.7))*VLOOKUP(P206,'MunicípiosEstados'!$BA$2:$BB$140,2,FALSE),
  O206="Exterior",((W206*0.15)+(X206*0.7))*VLOOKUP(P206,'MunicípiosEstados'!$BC$2:$BE$221,3,FALSE),TRUE,0
)
</f>
        <v>3341.325</v>
      </c>
      <c r="AL206" s="25">
        <f t="shared" si="3"/>
        <v>5194.125</v>
      </c>
      <c r="AN206" s="31"/>
    </row>
    <row r="207" ht="22.5" hidden="1" customHeight="1">
      <c r="A207" s="15">
        <f t="shared" si="1"/>
        <v>206</v>
      </c>
      <c r="B207" s="16">
        <v>45994.566245625</v>
      </c>
      <c r="C207" s="17" t="s">
        <v>487</v>
      </c>
      <c r="D207" s="27" t="s">
        <v>443</v>
      </c>
      <c r="E207" s="15" t="str">
        <f>VLOOKUP(G207,DiretoriaDepart.Coord.!$A$1:$C$72,2,FALSE)</f>
        <v>Extensão Rural</v>
      </c>
      <c r="F207" s="15" t="str">
        <f>VLOOKUP(G207,DiretoriaDepart.Coord.!$A$1:$C$72,3,FALSE)</f>
        <v>Projetos e Cadeias Produtivas</v>
      </c>
      <c r="G207" s="17" t="s">
        <v>488</v>
      </c>
      <c r="H207" s="15"/>
      <c r="I207" s="17" t="s">
        <v>1073</v>
      </c>
      <c r="J207" s="17" t="s">
        <v>728</v>
      </c>
      <c r="K207" s="17">
        <v>20.0</v>
      </c>
      <c r="L207" s="15"/>
      <c r="M207" s="17" t="s">
        <v>1074</v>
      </c>
      <c r="N207" s="17">
        <v>0.0</v>
      </c>
      <c r="O207" s="17" t="s">
        <v>714</v>
      </c>
      <c r="P207" s="17" t="s">
        <v>28</v>
      </c>
      <c r="Q207" s="20">
        <v>45838.333333333336</v>
      </c>
      <c r="R207" s="20">
        <v>45838.708333333336</v>
      </c>
      <c r="S207" s="17" t="s">
        <v>451</v>
      </c>
      <c r="T207" s="17" t="s">
        <v>452</v>
      </c>
      <c r="U207" s="28" t="s">
        <v>1075</v>
      </c>
      <c r="V207" s="28" t="s">
        <v>1297</v>
      </c>
      <c r="W207" s="22">
        <v>30.0</v>
      </c>
      <c r="X207" s="22">
        <v>10.0</v>
      </c>
      <c r="Y207" s="23">
        <v>0.0</v>
      </c>
      <c r="Z207" s="23">
        <v>0.0</v>
      </c>
      <c r="AA207" s="24">
        <v>0.0</v>
      </c>
      <c r="AB207" s="24">
        <v>0.0</v>
      </c>
      <c r="AC207" s="24">
        <v>0.0</v>
      </c>
      <c r="AD207" s="23">
        <v>0.0</v>
      </c>
      <c r="AE207" s="24">
        <v>0.0</v>
      </c>
      <c r="AF207" s="17" t="s">
        <v>464</v>
      </c>
      <c r="AG207" s="17">
        <v>2000.0</v>
      </c>
      <c r="AH207" s="17" t="s">
        <v>451</v>
      </c>
      <c r="AI207" s="25">
        <f>IF(AF207="Sim",INT((R207-Q207+1))*K207*VLOOKUP(P207,'Tabelas Auxiliares'!$A$1:$C$400,3,FALSE),0)</f>
        <v>412.6</v>
      </c>
      <c r="AJ207" s="25">
        <f t="shared" si="2"/>
        <v>1400</v>
      </c>
      <c r="AK207" s="25">
        <f>IFS(
  O207="Acre",((W207*0.15)+(X207*0.7))*VLOOKUP(P207,'MunicípiosEstados'!$A$2:$B$23,2,FALSE),
  O207="Alagoas",((W207*0.15)+(X207*0.7))*VLOOKUP(P207,'MunicípiosEstados'!$C$2:$D$103,2,FALSE),
  O207="Amapá",((W207*0.15)+(X207*0.7))*VLOOKUP(P207,'MunicípiosEstados'!$E$2:$F$17,2,FALSE),
  O207="Amazonas",((W207*0.15)+(X207*0.7))*VLOOKUP(P207,'MunicípiosEstados'!$G$2:$H$63,2,FALSE),
  O207="Bahia",((W207*0.15)+(X207*0.7))*VLOOKUP(P207,'MunicípiosEstados'!$I$2:$J$418,2,FALSE),
  O207="Ceará",((W207*0.15)+(X207*0.7))*VLOOKUP(P207,'MunicípiosEstados'!$K$2:$L$185,2,FALSE),
  O207="Distrito Federal",((W207*0.15)+(X207*0.7))*VLOOKUP(P207,'MunicípiosEstados'!$M$2:$N$2,2,FALSE),
  O207="Espírito Santo",((W207*0.15)+(X207*0.7))*VLOOKUP(P207,'MunicípiosEstados'!$O$2:$P$79,2,FALSE),
  O207="Goiás",((W207*0.15)+(X207*0.7))*VLOOKUP(P207,'MunicípiosEstados'!$Q$2:$R$247,2,FALSE),
  O207="Maranhão",((W207*0.15)+(X207*0.7))*VLOOKUP(P207,'MunicípiosEstados'!$S$2:$T$218,2,FALSE),
  O207="Mato Grosso",((W207*0.15)+(X207*0.7))*VLOOKUP(P207,'MunicípiosEstados'!$U$2:$V$143,2,FALSE),
  O207="Mato Grosso do Sul",((W207*0.15)+(X207*0.7))*VLOOKUP(P207,'MunicípiosEstados'!$W$2:$X$80,2,FALSE),
  O207="Minas Gerais",((W207*0.15)+(X207*0.7))*VLOOKUP(P207,'MunicípiosEstados'!$Y$2:$Z$854,2,FALSE),
  O207="Pará",((W207*0.15)+(X207*0.7))*VLOOKUP(P207,'MunicípiosEstados'!$AA$2:$AB$145,2,FALSE),
  O207="Paraíba",((W207*0.15)+(X207*0.7))*VLOOKUP(P207,'MunicípiosEstados'!$AC$2:$AD$224,2,FALSE),
  O207="Paraná",((W207*0.15)+(X207*0.7))*VLOOKUP(P207,'MunicípiosEstados'!$AE$2:$AF$400,2,FALSE),
  O207="Pernambuco",((W207*0.15)+(X207*0.7))*VLOOKUP(P207,'MunicípiosEstados'!$AG$2:$AH$186,2,FALSE),
  O207="Piauí",((W207*0.15)+(X207*0.7))*VLOOKUP(P207,'MunicípiosEstados'!$AI$2:$AJ$225,2,FALSE),
  O207="Rio Grande do Norte",((W207*0.15)+(X207*0.7))*VLOOKUP(P207,'MunicípiosEstados'!$AK$2:$AL$168,2,FALSE),
  O207="Rio Grande do Sul",((W207*0.15)+(X207*0.7))*VLOOKUP(P207,'MunicípiosEstados'!$AM$2:$AN$498,2,FALSE),
  O207="Rio de Janeiro",((W207*0.15)+(X207*0.7))*VLOOKUP(P207,'MunicípiosEstados'!$AO$2:$AP$93,2,FALSE),
  O207="Rondônia",((W207*0.15)+(X207*0.7))*VLOOKUP(P207,'MunicípiosEstados'!$AQ$2:$AR$53,2,FALSE),
  O207="Roraima",((W207*0.15)+(X207*0.7))*VLOOKUP(P207,'MunicípiosEstados'!$AS$2:$AT$16,2,FALSE),
  O207="Santa Catarina",((W207*0.15)+(X207*0.7))*VLOOKUP(P207,'MunicípiosEstados'!$AU$2:$AV$296,2,FALSE),
  O207="São Paulo",((W207*0.15)+(X207*0.7))*VLOOKUP(P207,'MunicípiosEstados'!$AW$2:$AX$646,2,FALSE),
  O207="Sergipe",((W207*0.15)+(X207*0.7))*VLOOKUP(P207,'MunicípiosEstados'!$AY$2:$AZ$76,2,FALSE),
  O207="Tocantins",((W207*0.15)+(X207*0.7))*VLOOKUP(P207,'MunicípiosEstados'!$BA$2:$BB$140,2,FALSE),
  O207="Exterior",((W207*0.15)+(X207*0.7))*VLOOKUP(P207,'MunicípiosEstados'!$BC$2:$BE$221,3,FALSE),TRUE,0
)
</f>
        <v>3341.325</v>
      </c>
      <c r="AL207" s="25">
        <f t="shared" si="3"/>
        <v>5153.925</v>
      </c>
      <c r="AN207" s="31"/>
    </row>
    <row r="208" ht="22.5" hidden="1" customHeight="1">
      <c r="A208" s="15">
        <f t="shared" si="1"/>
        <v>207</v>
      </c>
      <c r="B208" s="16">
        <v>45994.56815603009</v>
      </c>
      <c r="C208" s="17" t="s">
        <v>487</v>
      </c>
      <c r="D208" s="27" t="s">
        <v>443</v>
      </c>
      <c r="E208" s="15" t="str">
        <f>VLOOKUP(G208,DiretoriaDepart.Coord.!$A$1:$C$72,2,FALSE)</f>
        <v>Extensão Rural</v>
      </c>
      <c r="F208" s="15" t="str">
        <f>VLOOKUP(G208,DiretoriaDepart.Coord.!$A$1:$C$72,3,FALSE)</f>
        <v>Projetos e Cadeias Produtivas</v>
      </c>
      <c r="G208" s="17" t="s">
        <v>488</v>
      </c>
      <c r="H208" s="15"/>
      <c r="I208" s="17" t="s">
        <v>1073</v>
      </c>
      <c r="J208" s="17" t="s">
        <v>728</v>
      </c>
      <c r="K208" s="17">
        <v>20.0</v>
      </c>
      <c r="L208" s="15"/>
      <c r="M208" s="17" t="s">
        <v>1074</v>
      </c>
      <c r="N208" s="17">
        <v>0.0</v>
      </c>
      <c r="O208" s="17" t="s">
        <v>714</v>
      </c>
      <c r="P208" s="17" t="s">
        <v>23</v>
      </c>
      <c r="Q208" s="20">
        <v>45845.333333333336</v>
      </c>
      <c r="R208" s="20">
        <v>45845.708333333336</v>
      </c>
      <c r="S208" s="17" t="s">
        <v>451</v>
      </c>
      <c r="T208" s="17" t="s">
        <v>452</v>
      </c>
      <c r="U208" s="28" t="s">
        <v>1075</v>
      </c>
      <c r="V208" s="28" t="s">
        <v>1297</v>
      </c>
      <c r="W208" s="22">
        <v>30.0</v>
      </c>
      <c r="X208" s="22">
        <v>10.0</v>
      </c>
      <c r="Y208" s="23">
        <v>0.0</v>
      </c>
      <c r="Z208" s="23">
        <v>0.0</v>
      </c>
      <c r="AA208" s="24">
        <v>0.0</v>
      </c>
      <c r="AB208" s="24">
        <v>0.0</v>
      </c>
      <c r="AC208" s="24">
        <v>0.0</v>
      </c>
      <c r="AD208" s="23">
        <v>0.0</v>
      </c>
      <c r="AE208" s="24">
        <v>0.0</v>
      </c>
      <c r="AF208" s="17" t="s">
        <v>464</v>
      </c>
      <c r="AG208" s="17">
        <v>2000.0</v>
      </c>
      <c r="AH208" s="17" t="s">
        <v>451</v>
      </c>
      <c r="AI208" s="25">
        <f>IF(AF208="Sim",INT((R208-Q208+1))*K208*VLOOKUP(P208,'Tabelas Auxiliares'!$A$1:$C$400,3,FALSE),0)</f>
        <v>452.8</v>
      </c>
      <c r="AJ208" s="25">
        <f t="shared" si="2"/>
        <v>1400</v>
      </c>
      <c r="AK208" s="25">
        <f>IFS(
  O208="Acre",((W208*0.15)+(X208*0.7))*VLOOKUP(P208,'MunicípiosEstados'!$A$2:$B$23,2,FALSE),
  O208="Alagoas",((W208*0.15)+(X208*0.7))*VLOOKUP(P208,'MunicípiosEstados'!$C$2:$D$103,2,FALSE),
  O208="Amapá",((W208*0.15)+(X208*0.7))*VLOOKUP(P208,'MunicípiosEstados'!$E$2:$F$17,2,FALSE),
  O208="Amazonas",((W208*0.15)+(X208*0.7))*VLOOKUP(P208,'MunicípiosEstados'!$G$2:$H$63,2,FALSE),
  O208="Bahia",((W208*0.15)+(X208*0.7))*VLOOKUP(P208,'MunicípiosEstados'!$I$2:$J$418,2,FALSE),
  O208="Ceará",((W208*0.15)+(X208*0.7))*VLOOKUP(P208,'MunicípiosEstados'!$K$2:$L$185,2,FALSE),
  O208="Distrito Federal",((W208*0.15)+(X208*0.7))*VLOOKUP(P208,'MunicípiosEstados'!$M$2:$N$2,2,FALSE),
  O208="Espírito Santo",((W208*0.15)+(X208*0.7))*VLOOKUP(P208,'MunicípiosEstados'!$O$2:$P$79,2,FALSE),
  O208="Goiás",((W208*0.15)+(X208*0.7))*VLOOKUP(P208,'MunicípiosEstados'!$Q$2:$R$247,2,FALSE),
  O208="Maranhão",((W208*0.15)+(X208*0.7))*VLOOKUP(P208,'MunicípiosEstados'!$S$2:$T$218,2,FALSE),
  O208="Mato Grosso",((W208*0.15)+(X208*0.7))*VLOOKUP(P208,'MunicípiosEstados'!$U$2:$V$143,2,FALSE),
  O208="Mato Grosso do Sul",((W208*0.15)+(X208*0.7))*VLOOKUP(P208,'MunicípiosEstados'!$W$2:$X$80,2,FALSE),
  O208="Minas Gerais",((W208*0.15)+(X208*0.7))*VLOOKUP(P208,'MunicípiosEstados'!$Y$2:$Z$854,2,FALSE),
  O208="Pará",((W208*0.15)+(X208*0.7))*VLOOKUP(P208,'MunicípiosEstados'!$AA$2:$AB$145,2,FALSE),
  O208="Paraíba",((W208*0.15)+(X208*0.7))*VLOOKUP(P208,'MunicípiosEstados'!$AC$2:$AD$224,2,FALSE),
  O208="Paraná",((W208*0.15)+(X208*0.7))*VLOOKUP(P208,'MunicípiosEstados'!$AE$2:$AF$400,2,FALSE),
  O208="Pernambuco",((W208*0.15)+(X208*0.7))*VLOOKUP(P208,'MunicípiosEstados'!$AG$2:$AH$186,2,FALSE),
  O208="Piauí",((W208*0.15)+(X208*0.7))*VLOOKUP(P208,'MunicípiosEstados'!$AI$2:$AJ$225,2,FALSE),
  O208="Rio Grande do Norte",((W208*0.15)+(X208*0.7))*VLOOKUP(P208,'MunicípiosEstados'!$AK$2:$AL$168,2,FALSE),
  O208="Rio Grande do Sul",((W208*0.15)+(X208*0.7))*VLOOKUP(P208,'MunicípiosEstados'!$AM$2:$AN$498,2,FALSE),
  O208="Rio de Janeiro",((W208*0.15)+(X208*0.7))*VLOOKUP(P208,'MunicípiosEstados'!$AO$2:$AP$93,2,FALSE),
  O208="Rondônia",((W208*0.15)+(X208*0.7))*VLOOKUP(P208,'MunicípiosEstados'!$AQ$2:$AR$53,2,FALSE),
  O208="Roraima",((W208*0.15)+(X208*0.7))*VLOOKUP(P208,'MunicípiosEstados'!$AS$2:$AT$16,2,FALSE),
  O208="Santa Catarina",((W208*0.15)+(X208*0.7))*VLOOKUP(P208,'MunicípiosEstados'!$AU$2:$AV$296,2,FALSE),
  O208="São Paulo",((W208*0.15)+(X208*0.7))*VLOOKUP(P208,'MunicípiosEstados'!$AW$2:$AX$646,2,FALSE),
  O208="Sergipe",((W208*0.15)+(X208*0.7))*VLOOKUP(P208,'MunicípiosEstados'!$AY$2:$AZ$76,2,FALSE),
  O208="Tocantins",((W208*0.15)+(X208*0.7))*VLOOKUP(P208,'MunicípiosEstados'!$BA$2:$BB$140,2,FALSE),
  O208="Exterior",((W208*0.15)+(X208*0.7))*VLOOKUP(P208,'MunicípiosEstados'!$BC$2:$BE$221,3,FALSE),TRUE,0
)
</f>
        <v>3341.325</v>
      </c>
      <c r="AL208" s="25">
        <f t="shared" si="3"/>
        <v>5194.125</v>
      </c>
      <c r="AN208" s="31"/>
    </row>
    <row r="209" ht="22.5" hidden="1" customHeight="1">
      <c r="A209" s="15">
        <f t="shared" si="1"/>
        <v>208</v>
      </c>
      <c r="B209" s="16">
        <v>45994.56925079861</v>
      </c>
      <c r="C209" s="17" t="s">
        <v>487</v>
      </c>
      <c r="D209" s="27" t="s">
        <v>443</v>
      </c>
      <c r="E209" s="15" t="str">
        <f>VLOOKUP(G209,DiretoriaDepart.Coord.!$A$1:$C$72,2,FALSE)</f>
        <v>Extensão Rural</v>
      </c>
      <c r="F209" s="15" t="str">
        <f>VLOOKUP(G209,DiretoriaDepart.Coord.!$A$1:$C$72,3,FALSE)</f>
        <v>Projetos e Cadeias Produtivas</v>
      </c>
      <c r="G209" s="17" t="s">
        <v>488</v>
      </c>
      <c r="H209" s="15"/>
      <c r="I209" s="17" t="s">
        <v>1073</v>
      </c>
      <c r="J209" s="17" t="s">
        <v>728</v>
      </c>
      <c r="K209" s="17">
        <v>20.0</v>
      </c>
      <c r="L209" s="15"/>
      <c r="M209" s="17" t="s">
        <v>1074</v>
      </c>
      <c r="N209" s="17">
        <v>0.0</v>
      </c>
      <c r="O209" s="17" t="s">
        <v>714</v>
      </c>
      <c r="P209" s="17" t="s">
        <v>6</v>
      </c>
      <c r="Q209" s="20">
        <v>45852.333333333336</v>
      </c>
      <c r="R209" s="20">
        <v>45852.708333333336</v>
      </c>
      <c r="S209" s="17" t="s">
        <v>451</v>
      </c>
      <c r="T209" s="17" t="s">
        <v>452</v>
      </c>
      <c r="U209" s="28" t="s">
        <v>1075</v>
      </c>
      <c r="V209" s="28" t="s">
        <v>1297</v>
      </c>
      <c r="W209" s="22">
        <v>30.0</v>
      </c>
      <c r="X209" s="22">
        <v>10.0</v>
      </c>
      <c r="Y209" s="23">
        <v>0.0</v>
      </c>
      <c r="Z209" s="23">
        <v>0.0</v>
      </c>
      <c r="AA209" s="24">
        <v>0.0</v>
      </c>
      <c r="AB209" s="24">
        <v>0.0</v>
      </c>
      <c r="AC209" s="24">
        <v>0.0</v>
      </c>
      <c r="AD209" s="23">
        <v>0.0</v>
      </c>
      <c r="AE209" s="24">
        <v>0.0</v>
      </c>
      <c r="AF209" s="17" t="s">
        <v>464</v>
      </c>
      <c r="AG209" s="17">
        <v>2000.0</v>
      </c>
      <c r="AH209" s="17" t="s">
        <v>451</v>
      </c>
      <c r="AI209" s="25">
        <f>IF(AF209="Sim",INT((R209-Q209+1))*K209*VLOOKUP(P209,'Tabelas Auxiliares'!$A$1:$C$400,3,FALSE),0)</f>
        <v>452.8</v>
      </c>
      <c r="AJ209" s="25">
        <f t="shared" si="2"/>
        <v>1400</v>
      </c>
      <c r="AK209" s="25">
        <f>IFS(
  O209="Acre",((W209*0.15)+(X209*0.7))*VLOOKUP(P209,'MunicípiosEstados'!$A$2:$B$23,2,FALSE),
  O209="Alagoas",((W209*0.15)+(X209*0.7))*VLOOKUP(P209,'MunicípiosEstados'!$C$2:$D$103,2,FALSE),
  O209="Amapá",((W209*0.15)+(X209*0.7))*VLOOKUP(P209,'MunicípiosEstados'!$E$2:$F$17,2,FALSE),
  O209="Amazonas",((W209*0.15)+(X209*0.7))*VLOOKUP(P209,'MunicípiosEstados'!$G$2:$H$63,2,FALSE),
  O209="Bahia",((W209*0.15)+(X209*0.7))*VLOOKUP(P209,'MunicípiosEstados'!$I$2:$J$418,2,FALSE),
  O209="Ceará",((W209*0.15)+(X209*0.7))*VLOOKUP(P209,'MunicípiosEstados'!$K$2:$L$185,2,FALSE),
  O209="Distrito Federal",((W209*0.15)+(X209*0.7))*VLOOKUP(P209,'MunicípiosEstados'!$M$2:$N$2,2,FALSE),
  O209="Espírito Santo",((W209*0.15)+(X209*0.7))*VLOOKUP(P209,'MunicípiosEstados'!$O$2:$P$79,2,FALSE),
  O209="Goiás",((W209*0.15)+(X209*0.7))*VLOOKUP(P209,'MunicípiosEstados'!$Q$2:$R$247,2,FALSE),
  O209="Maranhão",((W209*0.15)+(X209*0.7))*VLOOKUP(P209,'MunicípiosEstados'!$S$2:$T$218,2,FALSE),
  O209="Mato Grosso",((W209*0.15)+(X209*0.7))*VLOOKUP(P209,'MunicípiosEstados'!$U$2:$V$143,2,FALSE),
  O209="Mato Grosso do Sul",((W209*0.15)+(X209*0.7))*VLOOKUP(P209,'MunicípiosEstados'!$W$2:$X$80,2,FALSE),
  O209="Minas Gerais",((W209*0.15)+(X209*0.7))*VLOOKUP(P209,'MunicípiosEstados'!$Y$2:$Z$854,2,FALSE),
  O209="Pará",((W209*0.15)+(X209*0.7))*VLOOKUP(P209,'MunicípiosEstados'!$AA$2:$AB$145,2,FALSE),
  O209="Paraíba",((W209*0.15)+(X209*0.7))*VLOOKUP(P209,'MunicípiosEstados'!$AC$2:$AD$224,2,FALSE),
  O209="Paraná",((W209*0.15)+(X209*0.7))*VLOOKUP(P209,'MunicípiosEstados'!$AE$2:$AF$400,2,FALSE),
  O209="Pernambuco",((W209*0.15)+(X209*0.7))*VLOOKUP(P209,'MunicípiosEstados'!$AG$2:$AH$186,2,FALSE),
  O209="Piauí",((W209*0.15)+(X209*0.7))*VLOOKUP(P209,'MunicípiosEstados'!$AI$2:$AJ$225,2,FALSE),
  O209="Rio Grande do Norte",((W209*0.15)+(X209*0.7))*VLOOKUP(P209,'MunicípiosEstados'!$AK$2:$AL$168,2,FALSE),
  O209="Rio Grande do Sul",((W209*0.15)+(X209*0.7))*VLOOKUP(P209,'MunicípiosEstados'!$AM$2:$AN$498,2,FALSE),
  O209="Rio de Janeiro",((W209*0.15)+(X209*0.7))*VLOOKUP(P209,'MunicípiosEstados'!$AO$2:$AP$93,2,FALSE),
  O209="Rondônia",((W209*0.15)+(X209*0.7))*VLOOKUP(P209,'MunicípiosEstados'!$AQ$2:$AR$53,2,FALSE),
  O209="Roraima",((W209*0.15)+(X209*0.7))*VLOOKUP(P209,'MunicípiosEstados'!$AS$2:$AT$16,2,FALSE),
  O209="Santa Catarina",((W209*0.15)+(X209*0.7))*VLOOKUP(P209,'MunicípiosEstados'!$AU$2:$AV$296,2,FALSE),
  O209="São Paulo",((W209*0.15)+(X209*0.7))*VLOOKUP(P209,'MunicípiosEstados'!$AW$2:$AX$646,2,FALSE),
  O209="Sergipe",((W209*0.15)+(X209*0.7))*VLOOKUP(P209,'MunicípiosEstados'!$AY$2:$AZ$76,2,FALSE),
  O209="Tocantins",((W209*0.15)+(X209*0.7))*VLOOKUP(P209,'MunicípiosEstados'!$BA$2:$BB$140,2,FALSE),
  O209="Exterior",((W209*0.15)+(X209*0.7))*VLOOKUP(P209,'MunicípiosEstados'!$BC$2:$BE$221,3,FALSE),TRUE,0
)
</f>
        <v>4269.49</v>
      </c>
      <c r="AL209" s="25">
        <f t="shared" si="3"/>
        <v>6122.29</v>
      </c>
      <c r="AN209" s="31"/>
    </row>
    <row r="210" ht="22.5" hidden="1" customHeight="1">
      <c r="A210" s="15">
        <f t="shared" si="1"/>
        <v>209</v>
      </c>
      <c r="B210" s="16">
        <v>45994.571005694444</v>
      </c>
      <c r="C210" s="17" t="s">
        <v>487</v>
      </c>
      <c r="D210" s="27" t="s">
        <v>443</v>
      </c>
      <c r="E210" s="15" t="str">
        <f>VLOOKUP(G210,DiretoriaDepart.Coord.!$A$1:$C$72,2,FALSE)</f>
        <v>Extensão Rural</v>
      </c>
      <c r="F210" s="15" t="str">
        <f>VLOOKUP(G210,DiretoriaDepart.Coord.!$A$1:$C$72,3,FALSE)</f>
        <v>Projetos e Cadeias Produtivas</v>
      </c>
      <c r="G210" s="17" t="s">
        <v>488</v>
      </c>
      <c r="H210" s="15"/>
      <c r="I210" s="17" t="s">
        <v>1073</v>
      </c>
      <c r="J210" s="17" t="s">
        <v>728</v>
      </c>
      <c r="K210" s="17">
        <v>20.0</v>
      </c>
      <c r="L210" s="15"/>
      <c r="M210" s="17" t="s">
        <v>1074</v>
      </c>
      <c r="N210" s="17">
        <v>0.0</v>
      </c>
      <c r="O210" s="17" t="s">
        <v>714</v>
      </c>
      <c r="P210" s="17" t="s">
        <v>124</v>
      </c>
      <c r="Q210" s="20">
        <v>45859.333333333336</v>
      </c>
      <c r="R210" s="20">
        <v>45859.708333333336</v>
      </c>
      <c r="S210" s="17" t="s">
        <v>451</v>
      </c>
      <c r="T210" s="17" t="s">
        <v>452</v>
      </c>
      <c r="U210" s="28" t="s">
        <v>1075</v>
      </c>
      <c r="V210" s="28" t="s">
        <v>1297</v>
      </c>
      <c r="W210" s="22">
        <v>30.0</v>
      </c>
      <c r="X210" s="22">
        <v>10.0</v>
      </c>
      <c r="Y210" s="23">
        <v>0.0</v>
      </c>
      <c r="Z210" s="23">
        <v>0.0</v>
      </c>
      <c r="AA210" s="24">
        <v>0.0</v>
      </c>
      <c r="AB210" s="24">
        <v>0.0</v>
      </c>
      <c r="AC210" s="24">
        <v>0.0</v>
      </c>
      <c r="AD210" s="23">
        <v>0.0</v>
      </c>
      <c r="AE210" s="24">
        <v>0.0</v>
      </c>
      <c r="AF210" s="17" t="s">
        <v>464</v>
      </c>
      <c r="AG210" s="17">
        <v>2000.0</v>
      </c>
      <c r="AH210" s="17" t="s">
        <v>451</v>
      </c>
      <c r="AI210" s="25">
        <f>IF(AF210="Sim",INT((R210-Q210+1))*K210*VLOOKUP(P210,'Tabelas Auxiliares'!$A$1:$C$400,3,FALSE),0)</f>
        <v>452.8</v>
      </c>
      <c r="AJ210" s="25">
        <f t="shared" si="2"/>
        <v>1400</v>
      </c>
      <c r="AK210" s="25">
        <f>IFS(
  O210="Acre",((W210*0.15)+(X210*0.7))*VLOOKUP(P210,'MunicípiosEstados'!$A$2:$B$23,2,FALSE),
  O210="Alagoas",((W210*0.15)+(X210*0.7))*VLOOKUP(P210,'MunicípiosEstados'!$C$2:$D$103,2,FALSE),
  O210="Amapá",((W210*0.15)+(X210*0.7))*VLOOKUP(P210,'MunicípiosEstados'!$E$2:$F$17,2,FALSE),
  O210="Amazonas",((W210*0.15)+(X210*0.7))*VLOOKUP(P210,'MunicípiosEstados'!$G$2:$H$63,2,FALSE),
  O210="Bahia",((W210*0.15)+(X210*0.7))*VLOOKUP(P210,'MunicípiosEstados'!$I$2:$J$418,2,FALSE),
  O210="Ceará",((W210*0.15)+(X210*0.7))*VLOOKUP(P210,'MunicípiosEstados'!$K$2:$L$185,2,FALSE),
  O210="Distrito Federal",((W210*0.15)+(X210*0.7))*VLOOKUP(P210,'MunicípiosEstados'!$M$2:$N$2,2,FALSE),
  O210="Espírito Santo",((W210*0.15)+(X210*0.7))*VLOOKUP(P210,'MunicípiosEstados'!$O$2:$P$79,2,FALSE),
  O210="Goiás",((W210*0.15)+(X210*0.7))*VLOOKUP(P210,'MunicípiosEstados'!$Q$2:$R$247,2,FALSE),
  O210="Maranhão",((W210*0.15)+(X210*0.7))*VLOOKUP(P210,'MunicípiosEstados'!$S$2:$T$218,2,FALSE),
  O210="Mato Grosso",((W210*0.15)+(X210*0.7))*VLOOKUP(P210,'MunicípiosEstados'!$U$2:$V$143,2,FALSE),
  O210="Mato Grosso do Sul",((W210*0.15)+(X210*0.7))*VLOOKUP(P210,'MunicípiosEstados'!$W$2:$X$80,2,FALSE),
  O210="Minas Gerais",((W210*0.15)+(X210*0.7))*VLOOKUP(P210,'MunicípiosEstados'!$Y$2:$Z$854,2,FALSE),
  O210="Pará",((W210*0.15)+(X210*0.7))*VLOOKUP(P210,'MunicípiosEstados'!$AA$2:$AB$145,2,FALSE),
  O210="Paraíba",((W210*0.15)+(X210*0.7))*VLOOKUP(P210,'MunicípiosEstados'!$AC$2:$AD$224,2,FALSE),
  O210="Paraná",((W210*0.15)+(X210*0.7))*VLOOKUP(P210,'MunicípiosEstados'!$AE$2:$AF$400,2,FALSE),
  O210="Pernambuco",((W210*0.15)+(X210*0.7))*VLOOKUP(P210,'MunicípiosEstados'!$AG$2:$AH$186,2,FALSE),
  O210="Piauí",((W210*0.15)+(X210*0.7))*VLOOKUP(P210,'MunicípiosEstados'!$AI$2:$AJ$225,2,FALSE),
  O210="Rio Grande do Norte",((W210*0.15)+(X210*0.7))*VLOOKUP(P210,'MunicípiosEstados'!$AK$2:$AL$168,2,FALSE),
  O210="Rio Grande do Sul",((W210*0.15)+(X210*0.7))*VLOOKUP(P210,'MunicípiosEstados'!$AM$2:$AN$498,2,FALSE),
  O210="Rio de Janeiro",((W210*0.15)+(X210*0.7))*VLOOKUP(P210,'MunicípiosEstados'!$AO$2:$AP$93,2,FALSE),
  O210="Rondônia",((W210*0.15)+(X210*0.7))*VLOOKUP(P210,'MunicípiosEstados'!$AQ$2:$AR$53,2,FALSE),
  O210="Roraima",((W210*0.15)+(X210*0.7))*VLOOKUP(P210,'MunicípiosEstados'!$AS$2:$AT$16,2,FALSE),
  O210="Santa Catarina",((W210*0.15)+(X210*0.7))*VLOOKUP(P210,'MunicípiosEstados'!$AU$2:$AV$296,2,FALSE),
  O210="São Paulo",((W210*0.15)+(X210*0.7))*VLOOKUP(P210,'MunicípiosEstados'!$AW$2:$AX$646,2,FALSE),
  O210="Sergipe",((W210*0.15)+(X210*0.7))*VLOOKUP(P210,'MunicípiosEstados'!$AY$2:$AZ$76,2,FALSE),
  O210="Tocantins",((W210*0.15)+(X210*0.7))*VLOOKUP(P210,'MunicípiosEstados'!$BA$2:$BB$140,2,FALSE),
  O210="Exterior",((W210*0.15)+(X210*0.7))*VLOOKUP(P210,'MunicípiosEstados'!$BC$2:$BE$221,3,FALSE),TRUE,0
)
</f>
        <v>3341.325</v>
      </c>
      <c r="AL210" s="25">
        <f t="shared" si="3"/>
        <v>5194.125</v>
      </c>
      <c r="AN210" s="31"/>
    </row>
    <row r="211" ht="22.5" hidden="1" customHeight="1">
      <c r="A211" s="15">
        <f t="shared" si="1"/>
        <v>210</v>
      </c>
      <c r="B211" s="16">
        <v>45994.60264056713</v>
      </c>
      <c r="C211" s="17" t="s">
        <v>500</v>
      </c>
      <c r="D211" s="27" t="s">
        <v>456</v>
      </c>
      <c r="E211" s="15" t="str">
        <f>VLOOKUP(G211,DiretoriaDepart.Coord.!$A$1:$C$72,2,FALSE)</f>
        <v>Pesquisa e Inovação</v>
      </c>
      <c r="F211" s="15" t="str">
        <f>VLOOKUP(G211,DiretoriaDepart.Coord.!$A$1:$C$72,3,FALSE)</f>
        <v>Pesquisa e Capacitação</v>
      </c>
      <c r="G211" s="17" t="s">
        <v>1298</v>
      </c>
      <c r="H211" s="15"/>
      <c r="I211" s="17" t="s">
        <v>1299</v>
      </c>
      <c r="J211" s="17" t="s">
        <v>728</v>
      </c>
      <c r="K211" s="17">
        <v>2.0</v>
      </c>
      <c r="L211" s="19" t="s">
        <v>1300</v>
      </c>
      <c r="M211" s="17" t="s">
        <v>970</v>
      </c>
      <c r="N211" s="17">
        <v>10.0</v>
      </c>
      <c r="O211" s="17" t="s">
        <v>714</v>
      </c>
      <c r="P211" s="17" t="s">
        <v>18</v>
      </c>
      <c r="Q211" s="20">
        <v>45858.333333333336</v>
      </c>
      <c r="R211" s="20">
        <v>45859.708333333336</v>
      </c>
      <c r="S211" s="17" t="s">
        <v>451</v>
      </c>
      <c r="T211" s="17" t="s">
        <v>452</v>
      </c>
      <c r="U211" s="28" t="s">
        <v>1301</v>
      </c>
      <c r="V211" s="28" t="s">
        <v>1302</v>
      </c>
      <c r="W211" s="22">
        <v>8.0</v>
      </c>
      <c r="X211" s="22">
        <v>0.0</v>
      </c>
      <c r="Y211" s="23">
        <v>200.0</v>
      </c>
      <c r="Z211" s="23">
        <v>200.0</v>
      </c>
      <c r="AA211" s="24">
        <v>0.0</v>
      </c>
      <c r="AB211" s="24">
        <v>0.0</v>
      </c>
      <c r="AC211" s="24">
        <v>0.0</v>
      </c>
      <c r="AD211" s="23">
        <v>0.0</v>
      </c>
      <c r="AE211" s="24">
        <v>0.0</v>
      </c>
      <c r="AF211" s="17" t="s">
        <v>451</v>
      </c>
      <c r="AG211" s="17">
        <v>0.0</v>
      </c>
      <c r="AH211" s="17" t="s">
        <v>464</v>
      </c>
      <c r="AI211" s="25">
        <f>IF(AF211="Sim",INT((R211-Q211+1))*K211*VLOOKUP(P211,'Tabelas Auxiliares'!$A$1:$C$400,3,FALSE),0)</f>
        <v>0</v>
      </c>
      <c r="AJ211" s="25">
        <f t="shared" si="2"/>
        <v>0</v>
      </c>
      <c r="AK211" s="25">
        <f>IFS(
  O211="Acre",((W211*0.15)+(X211*0.7))*VLOOKUP(P211,'MunicípiosEstados'!$A$2:$B$23,2,FALSE),
  O211="Alagoas",((W211*0.15)+(X211*0.7))*VLOOKUP(P211,'MunicípiosEstados'!$C$2:$D$103,2,FALSE),
  O211="Amapá",((W211*0.15)+(X211*0.7))*VLOOKUP(P211,'MunicípiosEstados'!$E$2:$F$17,2,FALSE),
  O211="Amazonas",((W211*0.15)+(X211*0.7))*VLOOKUP(P211,'MunicípiosEstados'!$G$2:$H$63,2,FALSE),
  O211="Bahia",((W211*0.15)+(X211*0.7))*VLOOKUP(P211,'MunicípiosEstados'!$I$2:$J$418,2,FALSE),
  O211="Ceará",((W211*0.15)+(X211*0.7))*VLOOKUP(P211,'MunicípiosEstados'!$K$2:$L$185,2,FALSE),
  O211="Distrito Federal",((W211*0.15)+(X211*0.7))*VLOOKUP(P211,'MunicípiosEstados'!$M$2:$N$2,2,FALSE),
  O211="Espírito Santo",((W211*0.15)+(X211*0.7))*VLOOKUP(P211,'MunicípiosEstados'!$O$2:$P$79,2,FALSE),
  O211="Goiás",((W211*0.15)+(X211*0.7))*VLOOKUP(P211,'MunicípiosEstados'!$Q$2:$R$247,2,FALSE),
  O211="Maranhão",((W211*0.15)+(X211*0.7))*VLOOKUP(P211,'MunicípiosEstados'!$S$2:$T$218,2,FALSE),
  O211="Mato Grosso",((W211*0.15)+(X211*0.7))*VLOOKUP(P211,'MunicípiosEstados'!$U$2:$V$143,2,FALSE),
  O211="Mato Grosso do Sul",((W211*0.15)+(X211*0.7))*VLOOKUP(P211,'MunicípiosEstados'!$W$2:$X$80,2,FALSE),
  O211="Minas Gerais",((W211*0.15)+(X211*0.7))*VLOOKUP(P211,'MunicípiosEstados'!$Y$2:$Z$854,2,FALSE),
  O211="Pará",((W211*0.15)+(X211*0.7))*VLOOKUP(P211,'MunicípiosEstados'!$AA$2:$AB$145,2,FALSE),
  O211="Paraíba",((W211*0.15)+(X211*0.7))*VLOOKUP(P211,'MunicípiosEstados'!$AC$2:$AD$224,2,FALSE),
  O211="Paraná",((W211*0.15)+(X211*0.7))*VLOOKUP(P211,'MunicípiosEstados'!$AE$2:$AF$400,2,FALSE),
  O211="Pernambuco",((W211*0.15)+(X211*0.7))*VLOOKUP(P211,'MunicípiosEstados'!$AG$2:$AH$186,2,FALSE),
  O211="Piauí",((W211*0.15)+(X211*0.7))*VLOOKUP(P211,'MunicípiosEstados'!$AI$2:$AJ$225,2,FALSE),
  O211="Rio Grande do Norte",((W211*0.15)+(X211*0.7))*VLOOKUP(P211,'MunicípiosEstados'!$AK$2:$AL$168,2,FALSE),
  O211="Rio Grande do Sul",((W211*0.15)+(X211*0.7))*VLOOKUP(P211,'MunicípiosEstados'!$AM$2:$AN$498,2,FALSE),
  O211="Rio de Janeiro",((W211*0.15)+(X211*0.7))*VLOOKUP(P211,'MunicípiosEstados'!$AO$2:$AP$93,2,FALSE),
  O211="Rondônia",((W211*0.15)+(X211*0.7))*VLOOKUP(P211,'MunicípiosEstados'!$AQ$2:$AR$53,2,FALSE),
  O211="Roraima",((W211*0.15)+(X211*0.7))*VLOOKUP(P211,'MunicípiosEstados'!$AS$2:$AT$16,2,FALSE),
  O211="Santa Catarina",((W211*0.15)+(X211*0.7))*VLOOKUP(P211,'MunicípiosEstados'!$AU$2:$AV$296,2,FALSE),
  O211="São Paulo",((W211*0.15)+(X211*0.7))*VLOOKUP(P211,'MunicípiosEstados'!$AW$2:$AX$646,2,FALSE),
  O211="Sergipe",((W211*0.15)+(X211*0.7))*VLOOKUP(P211,'MunicípiosEstados'!$AY$2:$AZ$76,2,FALSE),
  O211="Tocantins",((W211*0.15)+(X211*0.7))*VLOOKUP(P211,'MunicípiosEstados'!$BA$2:$BB$140,2,FALSE),
  O211="Exterior",((W211*0.15)+(X211*0.7))*VLOOKUP(P211,'MunicípiosEstados'!$BC$2:$BE$221,3,FALSE),TRUE,0
)
</f>
        <v>348.66</v>
      </c>
      <c r="AL211" s="25">
        <f t="shared" si="3"/>
        <v>748.66</v>
      </c>
      <c r="AM211" s="28" t="s">
        <v>456</v>
      </c>
      <c r="AN211" s="26"/>
    </row>
    <row r="212" ht="22.5" hidden="1" customHeight="1">
      <c r="A212" s="15">
        <f t="shared" si="1"/>
        <v>211</v>
      </c>
      <c r="B212" s="16">
        <v>45995.37670971065</v>
      </c>
      <c r="C212" s="17" t="s">
        <v>487</v>
      </c>
      <c r="D212" s="27" t="s">
        <v>443</v>
      </c>
      <c r="E212" s="15" t="str">
        <f>VLOOKUP(G212,DiretoriaDepart.Coord.!$A$1:$C$72,2,FALSE)</f>
        <v>Extensão Rural</v>
      </c>
      <c r="F212" s="15" t="str">
        <f>VLOOKUP(G212,DiretoriaDepart.Coord.!$A$1:$C$72,3,FALSE)</f>
        <v>Projetos e Cadeias Produtivas</v>
      </c>
      <c r="G212" s="17" t="s">
        <v>488</v>
      </c>
      <c r="H212" s="15"/>
      <c r="I212" s="17" t="s">
        <v>1081</v>
      </c>
      <c r="J212" s="17" t="s">
        <v>728</v>
      </c>
      <c r="K212" s="17">
        <v>20.0</v>
      </c>
      <c r="L212" s="15"/>
      <c r="M212" s="17" t="s">
        <v>1074</v>
      </c>
      <c r="N212" s="17">
        <v>10.0</v>
      </c>
      <c r="O212" s="17" t="s">
        <v>714</v>
      </c>
      <c r="P212" s="17" t="s">
        <v>26</v>
      </c>
      <c r="Q212" s="20">
        <v>45746.333333333336</v>
      </c>
      <c r="R212" s="20">
        <v>45746.708333333336</v>
      </c>
      <c r="S212" s="17" t="s">
        <v>451</v>
      </c>
      <c r="T212" s="17" t="s">
        <v>452</v>
      </c>
      <c r="U212" s="21" t="s">
        <v>1082</v>
      </c>
      <c r="V212" s="21" t="s">
        <v>1083</v>
      </c>
      <c r="W212" s="22">
        <v>30.0</v>
      </c>
      <c r="X212" s="22">
        <v>10.0</v>
      </c>
      <c r="Y212" s="23">
        <v>0.0</v>
      </c>
      <c r="Z212" s="23">
        <v>0.0</v>
      </c>
      <c r="AA212" s="24">
        <v>0.0</v>
      </c>
      <c r="AB212" s="24">
        <v>0.0</v>
      </c>
      <c r="AC212" s="24">
        <v>0.0</v>
      </c>
      <c r="AD212" s="23">
        <v>0.0</v>
      </c>
      <c r="AE212" s="24">
        <v>0.0</v>
      </c>
      <c r="AF212" s="17" t="s">
        <v>464</v>
      </c>
      <c r="AG212" s="17">
        <v>2000.0</v>
      </c>
      <c r="AH212" s="17" t="s">
        <v>451</v>
      </c>
      <c r="AI212" s="25">
        <f>IF(AF212="Sim",INT((R212-Q212+1))*K212*VLOOKUP(P212,'Tabelas Auxiliares'!$A$1:$C$400,3,FALSE),0)</f>
        <v>452.8</v>
      </c>
      <c r="AJ212" s="25">
        <f t="shared" si="2"/>
        <v>1400</v>
      </c>
      <c r="AK212" s="25">
        <f>IFS(
  O212="Acre",((W212*0.15)+(X212*0.7))*VLOOKUP(P212,'MunicípiosEstados'!$A$2:$B$23,2,FALSE),
  O212="Alagoas",((W212*0.15)+(X212*0.7))*VLOOKUP(P212,'MunicípiosEstados'!$C$2:$D$103,2,FALSE),
  O212="Amapá",((W212*0.15)+(X212*0.7))*VLOOKUP(P212,'MunicípiosEstados'!$E$2:$F$17,2,FALSE),
  O212="Amazonas",((W212*0.15)+(X212*0.7))*VLOOKUP(P212,'MunicípiosEstados'!$G$2:$H$63,2,FALSE),
  O212="Bahia",((W212*0.15)+(X212*0.7))*VLOOKUP(P212,'MunicípiosEstados'!$I$2:$J$418,2,FALSE),
  O212="Ceará",((W212*0.15)+(X212*0.7))*VLOOKUP(P212,'MunicípiosEstados'!$K$2:$L$185,2,FALSE),
  O212="Distrito Federal",((W212*0.15)+(X212*0.7))*VLOOKUP(P212,'MunicípiosEstados'!$M$2:$N$2,2,FALSE),
  O212="Espírito Santo",((W212*0.15)+(X212*0.7))*VLOOKUP(P212,'MunicípiosEstados'!$O$2:$P$79,2,FALSE),
  O212="Goiás",((W212*0.15)+(X212*0.7))*VLOOKUP(P212,'MunicípiosEstados'!$Q$2:$R$247,2,FALSE),
  O212="Maranhão",((W212*0.15)+(X212*0.7))*VLOOKUP(P212,'MunicípiosEstados'!$S$2:$T$218,2,FALSE),
  O212="Mato Grosso",((W212*0.15)+(X212*0.7))*VLOOKUP(P212,'MunicípiosEstados'!$U$2:$V$143,2,FALSE),
  O212="Mato Grosso do Sul",((W212*0.15)+(X212*0.7))*VLOOKUP(P212,'MunicípiosEstados'!$W$2:$X$80,2,FALSE),
  O212="Minas Gerais",((W212*0.15)+(X212*0.7))*VLOOKUP(P212,'MunicípiosEstados'!$Y$2:$Z$854,2,FALSE),
  O212="Pará",((W212*0.15)+(X212*0.7))*VLOOKUP(P212,'MunicípiosEstados'!$AA$2:$AB$145,2,FALSE),
  O212="Paraíba",((W212*0.15)+(X212*0.7))*VLOOKUP(P212,'MunicípiosEstados'!$AC$2:$AD$224,2,FALSE),
  O212="Paraná",((W212*0.15)+(X212*0.7))*VLOOKUP(P212,'MunicípiosEstados'!$AE$2:$AF$400,2,FALSE),
  O212="Pernambuco",((W212*0.15)+(X212*0.7))*VLOOKUP(P212,'MunicípiosEstados'!$AG$2:$AH$186,2,FALSE),
  O212="Piauí",((W212*0.15)+(X212*0.7))*VLOOKUP(P212,'MunicípiosEstados'!$AI$2:$AJ$225,2,FALSE),
  O212="Rio Grande do Norte",((W212*0.15)+(X212*0.7))*VLOOKUP(P212,'MunicípiosEstados'!$AK$2:$AL$168,2,FALSE),
  O212="Rio Grande do Sul",((W212*0.15)+(X212*0.7))*VLOOKUP(P212,'MunicípiosEstados'!$AM$2:$AN$498,2,FALSE),
  O212="Rio de Janeiro",((W212*0.15)+(X212*0.7))*VLOOKUP(P212,'MunicípiosEstados'!$AO$2:$AP$93,2,FALSE),
  O212="Rondônia",((W212*0.15)+(X212*0.7))*VLOOKUP(P212,'MunicípiosEstados'!$AQ$2:$AR$53,2,FALSE),
  O212="Roraima",((W212*0.15)+(X212*0.7))*VLOOKUP(P212,'MunicípiosEstados'!$AS$2:$AT$16,2,FALSE),
  O212="Santa Catarina",((W212*0.15)+(X212*0.7))*VLOOKUP(P212,'MunicípiosEstados'!$AU$2:$AV$296,2,FALSE),
  O212="São Paulo",((W212*0.15)+(X212*0.7))*VLOOKUP(P212,'MunicípiosEstados'!$AW$2:$AX$646,2,FALSE),
  O212="Sergipe",((W212*0.15)+(X212*0.7))*VLOOKUP(P212,'MunicípiosEstados'!$AY$2:$AZ$76,2,FALSE),
  O212="Tocantins",((W212*0.15)+(X212*0.7))*VLOOKUP(P212,'MunicípiosEstados'!$BA$2:$BB$140,2,FALSE),
  O212="Exterior",((W212*0.15)+(X212*0.7))*VLOOKUP(P212,'MunicípiosEstados'!$BC$2:$BE$221,3,FALSE),TRUE,0
)
</f>
        <v>3341.325</v>
      </c>
      <c r="AL212" s="25">
        <f t="shared" si="3"/>
        <v>5194.125</v>
      </c>
      <c r="AN212" s="31"/>
    </row>
    <row r="213" ht="22.5" hidden="1" customHeight="1">
      <c r="A213" s="15">
        <f t="shared" si="1"/>
        <v>212</v>
      </c>
      <c r="B213" s="16">
        <v>45995.37891771991</v>
      </c>
      <c r="C213" s="17" t="s">
        <v>487</v>
      </c>
      <c r="D213" s="27" t="s">
        <v>443</v>
      </c>
      <c r="E213" s="15" t="str">
        <f>VLOOKUP(G213,DiretoriaDepart.Coord.!$A$1:$C$72,2,FALSE)</f>
        <v>Extensão Rural</v>
      </c>
      <c r="F213" s="15" t="str">
        <f>VLOOKUP(G213,DiretoriaDepart.Coord.!$A$1:$C$72,3,FALSE)</f>
        <v>Projetos e Cadeias Produtivas</v>
      </c>
      <c r="G213" s="17" t="s">
        <v>488</v>
      </c>
      <c r="H213" s="15"/>
      <c r="I213" s="17" t="s">
        <v>1081</v>
      </c>
      <c r="J213" s="17" t="s">
        <v>728</v>
      </c>
      <c r="K213" s="17">
        <v>20.0</v>
      </c>
      <c r="L213" s="15"/>
      <c r="M213" s="17" t="s">
        <v>1074</v>
      </c>
      <c r="N213" s="17">
        <v>10.0</v>
      </c>
      <c r="O213" s="17" t="s">
        <v>714</v>
      </c>
      <c r="P213" s="17" t="s">
        <v>30</v>
      </c>
      <c r="Q213" s="20">
        <v>45754.333333333336</v>
      </c>
      <c r="R213" s="20">
        <v>45754.708333333336</v>
      </c>
      <c r="S213" s="17" t="s">
        <v>451</v>
      </c>
      <c r="T213" s="17" t="s">
        <v>452</v>
      </c>
      <c r="U213" s="21" t="s">
        <v>1082</v>
      </c>
      <c r="V213" s="21" t="s">
        <v>1083</v>
      </c>
      <c r="W213" s="22">
        <v>30.0</v>
      </c>
      <c r="X213" s="22">
        <v>10.0</v>
      </c>
      <c r="Y213" s="23">
        <v>0.0</v>
      </c>
      <c r="Z213" s="23">
        <v>0.0</v>
      </c>
      <c r="AA213" s="24">
        <v>0.0</v>
      </c>
      <c r="AB213" s="24">
        <v>0.0</v>
      </c>
      <c r="AC213" s="24">
        <v>0.0</v>
      </c>
      <c r="AD213" s="23">
        <v>0.0</v>
      </c>
      <c r="AE213" s="24">
        <v>0.0</v>
      </c>
      <c r="AF213" s="17" t="s">
        <v>464</v>
      </c>
      <c r="AG213" s="17">
        <v>2000.0</v>
      </c>
      <c r="AH213" s="17" t="s">
        <v>451</v>
      </c>
      <c r="AI213" s="25">
        <f>IF(AF213="Sim",INT((R213-Q213+1))*K213*VLOOKUP(P213,'Tabelas Auxiliares'!$A$1:$C$400,3,FALSE),0)</f>
        <v>452.8</v>
      </c>
      <c r="AJ213" s="25">
        <f t="shared" si="2"/>
        <v>1400</v>
      </c>
      <c r="AK213" s="25">
        <f>IFS(
  O213="Acre",((W213*0.15)+(X213*0.7))*VLOOKUP(P213,'MunicípiosEstados'!$A$2:$B$23,2,FALSE),
  O213="Alagoas",((W213*0.15)+(X213*0.7))*VLOOKUP(P213,'MunicípiosEstados'!$C$2:$D$103,2,FALSE),
  O213="Amapá",((W213*0.15)+(X213*0.7))*VLOOKUP(P213,'MunicípiosEstados'!$E$2:$F$17,2,FALSE),
  O213="Amazonas",((W213*0.15)+(X213*0.7))*VLOOKUP(P213,'MunicípiosEstados'!$G$2:$H$63,2,FALSE),
  O213="Bahia",((W213*0.15)+(X213*0.7))*VLOOKUP(P213,'MunicípiosEstados'!$I$2:$J$418,2,FALSE),
  O213="Ceará",((W213*0.15)+(X213*0.7))*VLOOKUP(P213,'MunicípiosEstados'!$K$2:$L$185,2,FALSE),
  O213="Distrito Federal",((W213*0.15)+(X213*0.7))*VLOOKUP(P213,'MunicípiosEstados'!$M$2:$N$2,2,FALSE),
  O213="Espírito Santo",((W213*0.15)+(X213*0.7))*VLOOKUP(P213,'MunicípiosEstados'!$O$2:$P$79,2,FALSE),
  O213="Goiás",((W213*0.15)+(X213*0.7))*VLOOKUP(P213,'MunicípiosEstados'!$Q$2:$R$247,2,FALSE),
  O213="Maranhão",((W213*0.15)+(X213*0.7))*VLOOKUP(P213,'MunicípiosEstados'!$S$2:$T$218,2,FALSE),
  O213="Mato Grosso",((W213*0.15)+(X213*0.7))*VLOOKUP(P213,'MunicípiosEstados'!$U$2:$V$143,2,FALSE),
  O213="Mato Grosso do Sul",((W213*0.15)+(X213*0.7))*VLOOKUP(P213,'MunicípiosEstados'!$W$2:$X$80,2,FALSE),
  O213="Minas Gerais",((W213*0.15)+(X213*0.7))*VLOOKUP(P213,'MunicípiosEstados'!$Y$2:$Z$854,2,FALSE),
  O213="Pará",((W213*0.15)+(X213*0.7))*VLOOKUP(P213,'MunicípiosEstados'!$AA$2:$AB$145,2,FALSE),
  O213="Paraíba",((W213*0.15)+(X213*0.7))*VLOOKUP(P213,'MunicípiosEstados'!$AC$2:$AD$224,2,FALSE),
  O213="Paraná",((W213*0.15)+(X213*0.7))*VLOOKUP(P213,'MunicípiosEstados'!$AE$2:$AF$400,2,FALSE),
  O213="Pernambuco",((W213*0.15)+(X213*0.7))*VLOOKUP(P213,'MunicípiosEstados'!$AG$2:$AH$186,2,FALSE),
  O213="Piauí",((W213*0.15)+(X213*0.7))*VLOOKUP(P213,'MunicípiosEstados'!$AI$2:$AJ$225,2,FALSE),
  O213="Rio Grande do Norte",((W213*0.15)+(X213*0.7))*VLOOKUP(P213,'MunicípiosEstados'!$AK$2:$AL$168,2,FALSE),
  O213="Rio Grande do Sul",((W213*0.15)+(X213*0.7))*VLOOKUP(P213,'MunicípiosEstados'!$AM$2:$AN$498,2,FALSE),
  O213="Rio de Janeiro",((W213*0.15)+(X213*0.7))*VLOOKUP(P213,'MunicípiosEstados'!$AO$2:$AP$93,2,FALSE),
  O213="Rondônia",((W213*0.15)+(X213*0.7))*VLOOKUP(P213,'MunicípiosEstados'!$AQ$2:$AR$53,2,FALSE),
  O213="Roraima",((W213*0.15)+(X213*0.7))*VLOOKUP(P213,'MunicípiosEstados'!$AS$2:$AT$16,2,FALSE),
  O213="Santa Catarina",((W213*0.15)+(X213*0.7))*VLOOKUP(P213,'MunicípiosEstados'!$AU$2:$AV$296,2,FALSE),
  O213="São Paulo",((W213*0.15)+(X213*0.7))*VLOOKUP(P213,'MunicípiosEstados'!$AW$2:$AX$646,2,FALSE),
  O213="Sergipe",((W213*0.15)+(X213*0.7))*VLOOKUP(P213,'MunicípiosEstados'!$AY$2:$AZ$76,2,FALSE),
  O213="Tocantins",((W213*0.15)+(X213*0.7))*VLOOKUP(P213,'MunicípiosEstados'!$BA$2:$BB$140,2,FALSE),
  O213="Exterior",((W213*0.15)+(X213*0.7))*VLOOKUP(P213,'MunicípiosEstados'!$BC$2:$BE$221,3,FALSE),TRUE,0
)
</f>
        <v>3341.325</v>
      </c>
      <c r="AL213" s="25">
        <f t="shared" si="3"/>
        <v>5194.125</v>
      </c>
      <c r="AN213" s="31"/>
    </row>
    <row r="214" ht="22.5" hidden="1" customHeight="1">
      <c r="A214" s="15">
        <f t="shared" si="1"/>
        <v>213</v>
      </c>
      <c r="B214" s="16">
        <v>45995.3887741088</v>
      </c>
      <c r="C214" s="17" t="s">
        <v>487</v>
      </c>
      <c r="D214" s="27" t="s">
        <v>443</v>
      </c>
      <c r="E214" s="15" t="str">
        <f>VLOOKUP(G214,DiretoriaDepart.Coord.!$A$1:$C$72,2,FALSE)</f>
        <v>Extensão Rural</v>
      </c>
      <c r="F214" s="15" t="str">
        <f>VLOOKUP(G214,DiretoriaDepart.Coord.!$A$1:$C$72,3,FALSE)</f>
        <v>Projetos e Cadeias Produtivas</v>
      </c>
      <c r="G214" s="17" t="s">
        <v>488</v>
      </c>
      <c r="H214" s="15"/>
      <c r="I214" s="17" t="s">
        <v>1081</v>
      </c>
      <c r="J214" s="17" t="s">
        <v>728</v>
      </c>
      <c r="K214" s="17">
        <v>20.0</v>
      </c>
      <c r="L214" s="15"/>
      <c r="M214" s="17" t="s">
        <v>1074</v>
      </c>
      <c r="N214" s="17">
        <v>10.0</v>
      </c>
      <c r="O214" s="17" t="s">
        <v>714</v>
      </c>
      <c r="P214" s="17" t="s">
        <v>12</v>
      </c>
      <c r="Q214" s="20">
        <v>45761.333333333336</v>
      </c>
      <c r="R214" s="20">
        <v>45761.708333333336</v>
      </c>
      <c r="S214" s="17" t="s">
        <v>451</v>
      </c>
      <c r="T214" s="17" t="s">
        <v>452</v>
      </c>
      <c r="U214" s="21" t="s">
        <v>1082</v>
      </c>
      <c r="V214" s="21" t="s">
        <v>1083</v>
      </c>
      <c r="W214" s="22">
        <v>30.0</v>
      </c>
      <c r="X214" s="22">
        <v>10.0</v>
      </c>
      <c r="Y214" s="23">
        <v>0.0</v>
      </c>
      <c r="Z214" s="23">
        <v>0.0</v>
      </c>
      <c r="AA214" s="24">
        <v>0.0</v>
      </c>
      <c r="AB214" s="24">
        <v>0.0</v>
      </c>
      <c r="AC214" s="24">
        <v>0.0</v>
      </c>
      <c r="AD214" s="23">
        <v>0.0</v>
      </c>
      <c r="AE214" s="24">
        <v>0.0</v>
      </c>
      <c r="AF214" s="17" t="s">
        <v>464</v>
      </c>
      <c r="AG214" s="17">
        <v>2000.0</v>
      </c>
      <c r="AH214" s="17" t="s">
        <v>451</v>
      </c>
      <c r="AI214" s="25">
        <f>IF(AF214="Sim",INT((R214-Q214+1))*K214*VLOOKUP(P214,'Tabelas Auxiliares'!$A$1:$C$400,3,FALSE),0)</f>
        <v>452.8</v>
      </c>
      <c r="AJ214" s="25">
        <f t="shared" si="2"/>
        <v>1400</v>
      </c>
      <c r="AK214" s="25">
        <f>IFS(
  O214="Acre",((W214*0.15)+(X214*0.7))*VLOOKUP(P214,'MunicípiosEstados'!$A$2:$B$23,2,FALSE),
  O214="Alagoas",((W214*0.15)+(X214*0.7))*VLOOKUP(P214,'MunicípiosEstados'!$C$2:$D$103,2,FALSE),
  O214="Amapá",((W214*0.15)+(X214*0.7))*VLOOKUP(P214,'MunicípiosEstados'!$E$2:$F$17,2,FALSE),
  O214="Amazonas",((W214*0.15)+(X214*0.7))*VLOOKUP(P214,'MunicípiosEstados'!$G$2:$H$63,2,FALSE),
  O214="Bahia",((W214*0.15)+(X214*0.7))*VLOOKUP(P214,'MunicípiosEstados'!$I$2:$J$418,2,FALSE),
  O214="Ceará",((W214*0.15)+(X214*0.7))*VLOOKUP(P214,'MunicípiosEstados'!$K$2:$L$185,2,FALSE),
  O214="Distrito Federal",((W214*0.15)+(X214*0.7))*VLOOKUP(P214,'MunicípiosEstados'!$M$2:$N$2,2,FALSE),
  O214="Espírito Santo",((W214*0.15)+(X214*0.7))*VLOOKUP(P214,'MunicípiosEstados'!$O$2:$P$79,2,FALSE),
  O214="Goiás",((W214*0.15)+(X214*0.7))*VLOOKUP(P214,'MunicípiosEstados'!$Q$2:$R$247,2,FALSE),
  O214="Maranhão",((W214*0.15)+(X214*0.7))*VLOOKUP(P214,'MunicípiosEstados'!$S$2:$T$218,2,FALSE),
  O214="Mato Grosso",((W214*0.15)+(X214*0.7))*VLOOKUP(P214,'MunicípiosEstados'!$U$2:$V$143,2,FALSE),
  O214="Mato Grosso do Sul",((W214*0.15)+(X214*0.7))*VLOOKUP(P214,'MunicípiosEstados'!$W$2:$X$80,2,FALSE),
  O214="Minas Gerais",((W214*0.15)+(X214*0.7))*VLOOKUP(P214,'MunicípiosEstados'!$Y$2:$Z$854,2,FALSE),
  O214="Pará",((W214*0.15)+(X214*0.7))*VLOOKUP(P214,'MunicípiosEstados'!$AA$2:$AB$145,2,FALSE),
  O214="Paraíba",((W214*0.15)+(X214*0.7))*VLOOKUP(P214,'MunicípiosEstados'!$AC$2:$AD$224,2,FALSE),
  O214="Paraná",((W214*0.15)+(X214*0.7))*VLOOKUP(P214,'MunicípiosEstados'!$AE$2:$AF$400,2,FALSE),
  O214="Pernambuco",((W214*0.15)+(X214*0.7))*VLOOKUP(P214,'MunicípiosEstados'!$AG$2:$AH$186,2,FALSE),
  O214="Piauí",((W214*0.15)+(X214*0.7))*VLOOKUP(P214,'MunicípiosEstados'!$AI$2:$AJ$225,2,FALSE),
  O214="Rio Grande do Norte",((W214*0.15)+(X214*0.7))*VLOOKUP(P214,'MunicípiosEstados'!$AK$2:$AL$168,2,FALSE),
  O214="Rio Grande do Sul",((W214*0.15)+(X214*0.7))*VLOOKUP(P214,'MunicípiosEstados'!$AM$2:$AN$498,2,FALSE),
  O214="Rio de Janeiro",((W214*0.15)+(X214*0.7))*VLOOKUP(P214,'MunicípiosEstados'!$AO$2:$AP$93,2,FALSE),
  O214="Rondônia",((W214*0.15)+(X214*0.7))*VLOOKUP(P214,'MunicípiosEstados'!$AQ$2:$AR$53,2,FALSE),
  O214="Roraima",((W214*0.15)+(X214*0.7))*VLOOKUP(P214,'MunicípiosEstados'!$AS$2:$AT$16,2,FALSE),
  O214="Santa Catarina",((W214*0.15)+(X214*0.7))*VLOOKUP(P214,'MunicípiosEstados'!$AU$2:$AV$296,2,FALSE),
  O214="São Paulo",((W214*0.15)+(X214*0.7))*VLOOKUP(P214,'MunicípiosEstados'!$AW$2:$AX$646,2,FALSE),
  O214="Sergipe",((W214*0.15)+(X214*0.7))*VLOOKUP(P214,'MunicípiosEstados'!$AY$2:$AZ$76,2,FALSE),
  O214="Tocantins",((W214*0.15)+(X214*0.7))*VLOOKUP(P214,'MunicípiosEstados'!$BA$2:$BB$140,2,FALSE),
  O214="Exterior",((W214*0.15)+(X214*0.7))*VLOOKUP(P214,'MunicípiosEstados'!$BC$2:$BE$221,3,FALSE),TRUE,0
)
</f>
        <v>3341.325</v>
      </c>
      <c r="AL214" s="25">
        <f t="shared" si="3"/>
        <v>5194.125</v>
      </c>
      <c r="AN214" s="31"/>
    </row>
    <row r="215" ht="22.5" hidden="1" customHeight="1">
      <c r="A215" s="15">
        <f t="shared" si="1"/>
        <v>214</v>
      </c>
      <c r="B215" s="16">
        <v>45995.39576215278</v>
      </c>
      <c r="C215" s="17" t="s">
        <v>487</v>
      </c>
      <c r="D215" s="27" t="s">
        <v>443</v>
      </c>
      <c r="E215" s="15" t="str">
        <f>VLOOKUP(G215,DiretoriaDepart.Coord.!$A$1:$C$72,2,FALSE)</f>
        <v>Extensão Rural</v>
      </c>
      <c r="F215" s="15" t="str">
        <f>VLOOKUP(G215,DiretoriaDepart.Coord.!$A$1:$C$72,3,FALSE)</f>
        <v>Projetos e Cadeias Produtivas</v>
      </c>
      <c r="G215" s="17" t="s">
        <v>488</v>
      </c>
      <c r="H215" s="15"/>
      <c r="I215" s="17" t="s">
        <v>1087</v>
      </c>
      <c r="J215" s="17" t="s">
        <v>728</v>
      </c>
      <c r="K215" s="17">
        <v>10.0</v>
      </c>
      <c r="L215" s="15"/>
      <c r="M215" s="17" t="s">
        <v>1088</v>
      </c>
      <c r="N215" s="17">
        <v>15.0</v>
      </c>
      <c r="O215" s="17" t="s">
        <v>714</v>
      </c>
      <c r="P215" s="17" t="s">
        <v>21</v>
      </c>
      <c r="Q215" s="20">
        <v>45782.333333333336</v>
      </c>
      <c r="R215" s="20">
        <v>45874.708333333336</v>
      </c>
      <c r="S215" s="17" t="s">
        <v>451</v>
      </c>
      <c r="T215" s="17" t="s">
        <v>452</v>
      </c>
      <c r="U215" s="21" t="s">
        <v>1089</v>
      </c>
      <c r="V215" s="21" t="s">
        <v>1090</v>
      </c>
      <c r="W215" s="22">
        <v>180.0</v>
      </c>
      <c r="X215" s="22">
        <v>60.0</v>
      </c>
      <c r="Y215" s="23">
        <v>0.0</v>
      </c>
      <c r="Z215" s="23">
        <v>0.0</v>
      </c>
      <c r="AA215" s="24">
        <v>0.0</v>
      </c>
      <c r="AB215" s="24">
        <v>0.0</v>
      </c>
      <c r="AC215" s="24">
        <v>0.0</v>
      </c>
      <c r="AD215" s="23">
        <v>0.0</v>
      </c>
      <c r="AE215" s="24">
        <v>0.0</v>
      </c>
      <c r="AF215" s="17" t="s">
        <v>464</v>
      </c>
      <c r="AG215" s="17">
        <v>8000.0</v>
      </c>
      <c r="AH215" s="17" t="s">
        <v>451</v>
      </c>
      <c r="AI215" s="25">
        <f>IF(AF215="Sim",INT((R215-Q215+1))*K215*VLOOKUP(P215,'Tabelas Auxiliares'!$A$1:$C$400,3,FALSE),0)</f>
        <v>19836.9</v>
      </c>
      <c r="AJ215" s="25">
        <f t="shared" si="2"/>
        <v>5600</v>
      </c>
      <c r="AK215" s="25">
        <f>IFS(
  O215="Acre",((W215*0.15)+(X215*0.7))*VLOOKUP(P215,'MunicípiosEstados'!$A$2:$B$23,2,FALSE),
  O215="Alagoas",((W215*0.15)+(X215*0.7))*VLOOKUP(P215,'MunicípiosEstados'!$C$2:$D$103,2,FALSE),
  O215="Amapá",((W215*0.15)+(X215*0.7))*VLOOKUP(P215,'MunicípiosEstados'!$E$2:$F$17,2,FALSE),
  O215="Amazonas",((W215*0.15)+(X215*0.7))*VLOOKUP(P215,'MunicípiosEstados'!$G$2:$H$63,2,FALSE),
  O215="Bahia",((W215*0.15)+(X215*0.7))*VLOOKUP(P215,'MunicípiosEstados'!$I$2:$J$418,2,FALSE),
  O215="Ceará",((W215*0.15)+(X215*0.7))*VLOOKUP(P215,'MunicípiosEstados'!$K$2:$L$185,2,FALSE),
  O215="Distrito Federal",((W215*0.15)+(X215*0.7))*VLOOKUP(P215,'MunicípiosEstados'!$M$2:$N$2,2,FALSE),
  O215="Espírito Santo",((W215*0.15)+(X215*0.7))*VLOOKUP(P215,'MunicípiosEstados'!$O$2:$P$79,2,FALSE),
  O215="Goiás",((W215*0.15)+(X215*0.7))*VLOOKUP(P215,'MunicípiosEstados'!$Q$2:$R$247,2,FALSE),
  O215="Maranhão",((W215*0.15)+(X215*0.7))*VLOOKUP(P215,'MunicípiosEstados'!$S$2:$T$218,2,FALSE),
  O215="Mato Grosso",((W215*0.15)+(X215*0.7))*VLOOKUP(P215,'MunicípiosEstados'!$U$2:$V$143,2,FALSE),
  O215="Mato Grosso do Sul",((W215*0.15)+(X215*0.7))*VLOOKUP(P215,'MunicípiosEstados'!$W$2:$X$80,2,FALSE),
  O215="Minas Gerais",((W215*0.15)+(X215*0.7))*VLOOKUP(P215,'MunicípiosEstados'!$Y$2:$Z$854,2,FALSE),
  O215="Pará",((W215*0.15)+(X215*0.7))*VLOOKUP(P215,'MunicípiosEstados'!$AA$2:$AB$145,2,FALSE),
  O215="Paraíba",((W215*0.15)+(X215*0.7))*VLOOKUP(P215,'MunicípiosEstados'!$AC$2:$AD$224,2,FALSE),
  O215="Paraná",((W215*0.15)+(X215*0.7))*VLOOKUP(P215,'MunicípiosEstados'!$AE$2:$AF$400,2,FALSE),
  O215="Pernambuco",((W215*0.15)+(X215*0.7))*VLOOKUP(P215,'MunicípiosEstados'!$AG$2:$AH$186,2,FALSE),
  O215="Piauí",((W215*0.15)+(X215*0.7))*VLOOKUP(P215,'MunicípiosEstados'!$AI$2:$AJ$225,2,FALSE),
  O215="Rio Grande do Norte",((W215*0.15)+(X215*0.7))*VLOOKUP(P215,'MunicípiosEstados'!$AK$2:$AL$168,2,FALSE),
  O215="Rio Grande do Sul",((W215*0.15)+(X215*0.7))*VLOOKUP(P215,'MunicípiosEstados'!$AM$2:$AN$498,2,FALSE),
  O215="Rio de Janeiro",((W215*0.15)+(X215*0.7))*VLOOKUP(P215,'MunicípiosEstados'!$AO$2:$AP$93,2,FALSE),
  O215="Rondônia",((W215*0.15)+(X215*0.7))*VLOOKUP(P215,'MunicípiosEstados'!$AQ$2:$AR$53,2,FALSE),
  O215="Roraima",((W215*0.15)+(X215*0.7))*VLOOKUP(P215,'MunicípiosEstados'!$AS$2:$AT$16,2,FALSE),
  O215="Santa Catarina",((W215*0.15)+(X215*0.7))*VLOOKUP(P215,'MunicípiosEstados'!$AU$2:$AV$296,2,FALSE),
  O215="São Paulo",((W215*0.15)+(X215*0.7))*VLOOKUP(P215,'MunicípiosEstados'!$AW$2:$AX$646,2,FALSE),
  O215="Sergipe",((W215*0.15)+(X215*0.7))*VLOOKUP(P215,'MunicípiosEstados'!$AY$2:$AZ$76,2,FALSE),
  O215="Tocantins",((W215*0.15)+(X215*0.7))*VLOOKUP(P215,'MunicípiosEstados'!$BA$2:$BB$140,2,FALSE),
  O215="Exterior",((W215*0.15)+(X215*0.7))*VLOOKUP(P215,'MunicípiosEstados'!$BC$2:$BE$221,3,FALSE),TRUE,0
)
</f>
        <v>20047.95</v>
      </c>
      <c r="AL215" s="25">
        <f t="shared" si="3"/>
        <v>45484.85</v>
      </c>
      <c r="AN215" s="31"/>
    </row>
    <row r="216" ht="22.5" hidden="1" customHeight="1">
      <c r="A216" s="15">
        <f t="shared" si="1"/>
        <v>215</v>
      </c>
      <c r="B216" s="16">
        <v>45995.39781098379</v>
      </c>
      <c r="C216" s="17" t="s">
        <v>487</v>
      </c>
      <c r="D216" s="27" t="s">
        <v>443</v>
      </c>
      <c r="E216" s="15" t="str">
        <f>VLOOKUP(G216,DiretoriaDepart.Coord.!$A$1:$C$72,2,FALSE)</f>
        <v>Extensão Rural</v>
      </c>
      <c r="F216" s="15" t="str">
        <f>VLOOKUP(G216,DiretoriaDepart.Coord.!$A$1:$C$72,3,FALSE)</f>
        <v>Projetos e Cadeias Produtivas</v>
      </c>
      <c r="G216" s="17" t="s">
        <v>488</v>
      </c>
      <c r="H216" s="15"/>
      <c r="I216" s="17" t="s">
        <v>1087</v>
      </c>
      <c r="J216" s="17" t="s">
        <v>728</v>
      </c>
      <c r="K216" s="17">
        <v>10.0</v>
      </c>
      <c r="L216" s="15"/>
      <c r="M216" s="17" t="s">
        <v>1088</v>
      </c>
      <c r="N216" s="17">
        <v>15.0</v>
      </c>
      <c r="O216" s="17" t="s">
        <v>714</v>
      </c>
      <c r="P216" s="17" t="s">
        <v>31</v>
      </c>
      <c r="Q216" s="20">
        <v>45789.333333333336</v>
      </c>
      <c r="R216" s="20">
        <v>45881.708333333336</v>
      </c>
      <c r="S216" s="17" t="s">
        <v>451</v>
      </c>
      <c r="T216" s="17" t="s">
        <v>452</v>
      </c>
      <c r="U216" s="21" t="s">
        <v>1089</v>
      </c>
      <c r="V216" s="21" t="s">
        <v>1090</v>
      </c>
      <c r="W216" s="22">
        <v>180.0</v>
      </c>
      <c r="X216" s="22">
        <v>60.0</v>
      </c>
      <c r="Y216" s="23">
        <v>0.0</v>
      </c>
      <c r="Z216" s="23">
        <v>0.0</v>
      </c>
      <c r="AA216" s="24">
        <v>0.0</v>
      </c>
      <c r="AB216" s="24">
        <v>0.0</v>
      </c>
      <c r="AC216" s="24">
        <v>0.0</v>
      </c>
      <c r="AD216" s="23">
        <v>0.0</v>
      </c>
      <c r="AE216" s="24">
        <v>0.0</v>
      </c>
      <c r="AF216" s="17" t="s">
        <v>464</v>
      </c>
      <c r="AG216" s="17">
        <v>8000.0</v>
      </c>
      <c r="AH216" s="17" t="s">
        <v>451</v>
      </c>
      <c r="AI216" s="25">
        <f>IF(AF216="Sim",INT((R216-Q216+1))*K216*VLOOKUP(P216,'Tabelas Auxiliares'!$A$1:$C$400,3,FALSE),0)</f>
        <v>21055.2</v>
      </c>
      <c r="AJ216" s="25">
        <f t="shared" si="2"/>
        <v>5600</v>
      </c>
      <c r="AK216" s="25">
        <f>IFS(
  O216="Acre",((W216*0.15)+(X216*0.7))*VLOOKUP(P216,'MunicípiosEstados'!$A$2:$B$23,2,FALSE),
  O216="Alagoas",((W216*0.15)+(X216*0.7))*VLOOKUP(P216,'MunicípiosEstados'!$C$2:$D$103,2,FALSE),
  O216="Amapá",((W216*0.15)+(X216*0.7))*VLOOKUP(P216,'MunicípiosEstados'!$E$2:$F$17,2,FALSE),
  O216="Amazonas",((W216*0.15)+(X216*0.7))*VLOOKUP(P216,'MunicípiosEstados'!$G$2:$H$63,2,FALSE),
  O216="Bahia",((W216*0.15)+(X216*0.7))*VLOOKUP(P216,'MunicípiosEstados'!$I$2:$J$418,2,FALSE),
  O216="Ceará",((W216*0.15)+(X216*0.7))*VLOOKUP(P216,'MunicípiosEstados'!$K$2:$L$185,2,FALSE),
  O216="Distrito Federal",((W216*0.15)+(X216*0.7))*VLOOKUP(P216,'MunicípiosEstados'!$M$2:$N$2,2,FALSE),
  O216="Espírito Santo",((W216*0.15)+(X216*0.7))*VLOOKUP(P216,'MunicípiosEstados'!$O$2:$P$79,2,FALSE),
  O216="Goiás",((W216*0.15)+(X216*0.7))*VLOOKUP(P216,'MunicípiosEstados'!$Q$2:$R$247,2,FALSE),
  O216="Maranhão",((W216*0.15)+(X216*0.7))*VLOOKUP(P216,'MunicípiosEstados'!$S$2:$T$218,2,FALSE),
  O216="Mato Grosso",((W216*0.15)+(X216*0.7))*VLOOKUP(P216,'MunicípiosEstados'!$U$2:$V$143,2,FALSE),
  O216="Mato Grosso do Sul",((W216*0.15)+(X216*0.7))*VLOOKUP(P216,'MunicípiosEstados'!$W$2:$X$80,2,FALSE),
  O216="Minas Gerais",((W216*0.15)+(X216*0.7))*VLOOKUP(P216,'MunicípiosEstados'!$Y$2:$Z$854,2,FALSE),
  O216="Pará",((W216*0.15)+(X216*0.7))*VLOOKUP(P216,'MunicípiosEstados'!$AA$2:$AB$145,2,FALSE),
  O216="Paraíba",((W216*0.15)+(X216*0.7))*VLOOKUP(P216,'MunicípiosEstados'!$AC$2:$AD$224,2,FALSE),
  O216="Paraná",((W216*0.15)+(X216*0.7))*VLOOKUP(P216,'MunicípiosEstados'!$AE$2:$AF$400,2,FALSE),
  O216="Pernambuco",((W216*0.15)+(X216*0.7))*VLOOKUP(P216,'MunicípiosEstados'!$AG$2:$AH$186,2,FALSE),
  O216="Piauí",((W216*0.15)+(X216*0.7))*VLOOKUP(P216,'MunicípiosEstados'!$AI$2:$AJ$225,2,FALSE),
  O216="Rio Grande do Norte",((W216*0.15)+(X216*0.7))*VLOOKUP(P216,'MunicípiosEstados'!$AK$2:$AL$168,2,FALSE),
  O216="Rio Grande do Sul",((W216*0.15)+(X216*0.7))*VLOOKUP(P216,'MunicípiosEstados'!$AM$2:$AN$498,2,FALSE),
  O216="Rio de Janeiro",((W216*0.15)+(X216*0.7))*VLOOKUP(P216,'MunicípiosEstados'!$AO$2:$AP$93,2,FALSE),
  O216="Rondônia",((W216*0.15)+(X216*0.7))*VLOOKUP(P216,'MunicípiosEstados'!$AQ$2:$AR$53,2,FALSE),
  O216="Roraima",((W216*0.15)+(X216*0.7))*VLOOKUP(P216,'MunicípiosEstados'!$AS$2:$AT$16,2,FALSE),
  O216="Santa Catarina",((W216*0.15)+(X216*0.7))*VLOOKUP(P216,'MunicípiosEstados'!$AU$2:$AV$296,2,FALSE),
  O216="São Paulo",((W216*0.15)+(X216*0.7))*VLOOKUP(P216,'MunicípiosEstados'!$AW$2:$AX$646,2,FALSE),
  O216="Sergipe",((W216*0.15)+(X216*0.7))*VLOOKUP(P216,'MunicípiosEstados'!$AY$2:$AZ$76,2,FALSE),
  O216="Tocantins",((W216*0.15)+(X216*0.7))*VLOOKUP(P216,'MunicípiosEstados'!$BA$2:$BB$140,2,FALSE),
  O216="Exterior",((W216*0.15)+(X216*0.7))*VLOOKUP(P216,'MunicípiosEstados'!$BC$2:$BE$221,3,FALSE),TRUE,0
)
</f>
        <v>20047.95</v>
      </c>
      <c r="AL216" s="25">
        <f t="shared" si="3"/>
        <v>46703.15</v>
      </c>
      <c r="AN216" s="31"/>
    </row>
    <row r="217" ht="22.5" hidden="1" customHeight="1">
      <c r="A217" s="15">
        <f t="shared" si="1"/>
        <v>216</v>
      </c>
      <c r="B217" s="16">
        <v>45995.44523081019</v>
      </c>
      <c r="C217" s="17" t="s">
        <v>487</v>
      </c>
      <c r="D217" s="27" t="s">
        <v>443</v>
      </c>
      <c r="E217" s="15" t="str">
        <f>VLOOKUP(G217,DiretoriaDepart.Coord.!$A$1:$C$72,2,FALSE)</f>
        <v>Extensão Rural</v>
      </c>
      <c r="F217" s="15" t="str">
        <f>VLOOKUP(G217,DiretoriaDepart.Coord.!$A$1:$C$72,3,FALSE)</f>
        <v>Projetos e Cadeias Produtivas</v>
      </c>
      <c r="G217" s="17" t="s">
        <v>488</v>
      </c>
      <c r="H217" s="15"/>
      <c r="I217" s="17" t="s">
        <v>1087</v>
      </c>
      <c r="J217" s="17" t="s">
        <v>728</v>
      </c>
      <c r="K217" s="17">
        <v>10.0</v>
      </c>
      <c r="L217" s="15"/>
      <c r="M217" s="17" t="s">
        <v>1088</v>
      </c>
      <c r="N217" s="17">
        <v>15.0</v>
      </c>
      <c r="O217" s="17" t="s">
        <v>714</v>
      </c>
      <c r="P217" s="17" t="s">
        <v>12</v>
      </c>
      <c r="Q217" s="20">
        <v>45796.333333333336</v>
      </c>
      <c r="R217" s="20">
        <v>45888.708333333336</v>
      </c>
      <c r="S217" s="17" t="s">
        <v>451</v>
      </c>
      <c r="T217" s="17" t="s">
        <v>452</v>
      </c>
      <c r="U217" s="21" t="s">
        <v>1089</v>
      </c>
      <c r="V217" s="21" t="s">
        <v>1090</v>
      </c>
      <c r="W217" s="22">
        <v>180.0</v>
      </c>
      <c r="X217" s="22">
        <v>60.0</v>
      </c>
      <c r="Y217" s="23">
        <v>0.0</v>
      </c>
      <c r="Z217" s="23">
        <v>0.0</v>
      </c>
      <c r="AA217" s="24">
        <v>0.0</v>
      </c>
      <c r="AB217" s="24">
        <v>0.0</v>
      </c>
      <c r="AC217" s="24">
        <v>0.0</v>
      </c>
      <c r="AD217" s="23">
        <v>0.0</v>
      </c>
      <c r="AE217" s="24">
        <v>0.0</v>
      </c>
      <c r="AF217" s="17" t="s">
        <v>464</v>
      </c>
      <c r="AG217" s="17">
        <v>8000.0</v>
      </c>
      <c r="AH217" s="17" t="s">
        <v>451</v>
      </c>
      <c r="AI217" s="25">
        <f>IF(AF217="Sim",INT((R217-Q217+1))*K217*VLOOKUP(P217,'Tabelas Auxiliares'!$A$1:$C$400,3,FALSE),0)</f>
        <v>21055.2</v>
      </c>
      <c r="AJ217" s="25">
        <f t="shared" si="2"/>
        <v>5600</v>
      </c>
      <c r="AK217" s="25">
        <f>IFS(
  O217="Acre",((W217*0.15)+(X217*0.7))*VLOOKUP(P217,'MunicípiosEstados'!$A$2:$B$23,2,FALSE),
  O217="Alagoas",((W217*0.15)+(X217*0.7))*VLOOKUP(P217,'MunicípiosEstados'!$C$2:$D$103,2,FALSE),
  O217="Amapá",((W217*0.15)+(X217*0.7))*VLOOKUP(P217,'MunicípiosEstados'!$E$2:$F$17,2,FALSE),
  O217="Amazonas",((W217*0.15)+(X217*0.7))*VLOOKUP(P217,'MunicípiosEstados'!$G$2:$H$63,2,FALSE),
  O217="Bahia",((W217*0.15)+(X217*0.7))*VLOOKUP(P217,'MunicípiosEstados'!$I$2:$J$418,2,FALSE),
  O217="Ceará",((W217*0.15)+(X217*0.7))*VLOOKUP(P217,'MunicípiosEstados'!$K$2:$L$185,2,FALSE),
  O217="Distrito Federal",((W217*0.15)+(X217*0.7))*VLOOKUP(P217,'MunicípiosEstados'!$M$2:$N$2,2,FALSE),
  O217="Espírito Santo",((W217*0.15)+(X217*0.7))*VLOOKUP(P217,'MunicípiosEstados'!$O$2:$P$79,2,FALSE),
  O217="Goiás",((W217*0.15)+(X217*0.7))*VLOOKUP(P217,'MunicípiosEstados'!$Q$2:$R$247,2,FALSE),
  O217="Maranhão",((W217*0.15)+(X217*0.7))*VLOOKUP(P217,'MunicípiosEstados'!$S$2:$T$218,2,FALSE),
  O217="Mato Grosso",((W217*0.15)+(X217*0.7))*VLOOKUP(P217,'MunicípiosEstados'!$U$2:$V$143,2,FALSE),
  O217="Mato Grosso do Sul",((W217*0.15)+(X217*0.7))*VLOOKUP(P217,'MunicípiosEstados'!$W$2:$X$80,2,FALSE),
  O217="Minas Gerais",((W217*0.15)+(X217*0.7))*VLOOKUP(P217,'MunicípiosEstados'!$Y$2:$Z$854,2,FALSE),
  O217="Pará",((W217*0.15)+(X217*0.7))*VLOOKUP(P217,'MunicípiosEstados'!$AA$2:$AB$145,2,FALSE),
  O217="Paraíba",((W217*0.15)+(X217*0.7))*VLOOKUP(P217,'MunicípiosEstados'!$AC$2:$AD$224,2,FALSE),
  O217="Paraná",((W217*0.15)+(X217*0.7))*VLOOKUP(P217,'MunicípiosEstados'!$AE$2:$AF$400,2,FALSE),
  O217="Pernambuco",((W217*0.15)+(X217*0.7))*VLOOKUP(P217,'MunicípiosEstados'!$AG$2:$AH$186,2,FALSE),
  O217="Piauí",((W217*0.15)+(X217*0.7))*VLOOKUP(P217,'MunicípiosEstados'!$AI$2:$AJ$225,2,FALSE),
  O217="Rio Grande do Norte",((W217*0.15)+(X217*0.7))*VLOOKUP(P217,'MunicípiosEstados'!$AK$2:$AL$168,2,FALSE),
  O217="Rio Grande do Sul",((W217*0.15)+(X217*0.7))*VLOOKUP(P217,'MunicípiosEstados'!$AM$2:$AN$498,2,FALSE),
  O217="Rio de Janeiro",((W217*0.15)+(X217*0.7))*VLOOKUP(P217,'MunicípiosEstados'!$AO$2:$AP$93,2,FALSE),
  O217="Rondônia",((W217*0.15)+(X217*0.7))*VLOOKUP(P217,'MunicípiosEstados'!$AQ$2:$AR$53,2,FALSE),
  O217="Roraima",((W217*0.15)+(X217*0.7))*VLOOKUP(P217,'MunicípiosEstados'!$AS$2:$AT$16,2,FALSE),
  O217="Santa Catarina",((W217*0.15)+(X217*0.7))*VLOOKUP(P217,'MunicípiosEstados'!$AU$2:$AV$296,2,FALSE),
  O217="São Paulo",((W217*0.15)+(X217*0.7))*VLOOKUP(P217,'MunicípiosEstados'!$AW$2:$AX$646,2,FALSE),
  O217="Sergipe",((W217*0.15)+(X217*0.7))*VLOOKUP(P217,'MunicípiosEstados'!$AY$2:$AZ$76,2,FALSE),
  O217="Tocantins",((W217*0.15)+(X217*0.7))*VLOOKUP(P217,'MunicípiosEstados'!$BA$2:$BB$140,2,FALSE),
  O217="Exterior",((W217*0.15)+(X217*0.7))*VLOOKUP(P217,'MunicípiosEstados'!$BC$2:$BE$221,3,FALSE),TRUE,0
)
</f>
        <v>20047.95</v>
      </c>
      <c r="AL217" s="25">
        <f t="shared" si="3"/>
        <v>46703.15</v>
      </c>
      <c r="AN217" s="31"/>
    </row>
    <row r="218" ht="22.5" hidden="1" customHeight="1">
      <c r="A218" s="15">
        <f t="shared" si="1"/>
        <v>217</v>
      </c>
      <c r="B218" s="16">
        <v>45995.44711141204</v>
      </c>
      <c r="C218" s="17" t="s">
        <v>487</v>
      </c>
      <c r="D218" s="27" t="s">
        <v>443</v>
      </c>
      <c r="E218" s="15" t="str">
        <f>VLOOKUP(G218,DiretoriaDepart.Coord.!$A$1:$C$72,2,FALSE)</f>
        <v>Extensão Rural</v>
      </c>
      <c r="F218" s="15" t="str">
        <f>VLOOKUP(G218,DiretoriaDepart.Coord.!$A$1:$C$72,3,FALSE)</f>
        <v>Projetos e Cadeias Produtivas</v>
      </c>
      <c r="G218" s="17" t="s">
        <v>488</v>
      </c>
      <c r="H218" s="15"/>
      <c r="I218" s="17" t="s">
        <v>1087</v>
      </c>
      <c r="J218" s="17" t="s">
        <v>728</v>
      </c>
      <c r="K218" s="17">
        <v>10.0</v>
      </c>
      <c r="L218" s="15"/>
      <c r="M218" s="17" t="s">
        <v>1088</v>
      </c>
      <c r="N218" s="17">
        <v>15.0</v>
      </c>
      <c r="O218" s="17" t="s">
        <v>714</v>
      </c>
      <c r="P218" s="17" t="s">
        <v>4</v>
      </c>
      <c r="Q218" s="20">
        <v>45803.333333333336</v>
      </c>
      <c r="R218" s="20">
        <v>45895.708333333336</v>
      </c>
      <c r="S218" s="17" t="s">
        <v>451</v>
      </c>
      <c r="T218" s="17" t="s">
        <v>452</v>
      </c>
      <c r="U218" s="21" t="s">
        <v>1089</v>
      </c>
      <c r="V218" s="21" t="s">
        <v>1090</v>
      </c>
      <c r="W218" s="22">
        <v>180.0</v>
      </c>
      <c r="X218" s="22">
        <v>60.0</v>
      </c>
      <c r="Y218" s="23">
        <v>0.0</v>
      </c>
      <c r="Z218" s="23">
        <v>0.0</v>
      </c>
      <c r="AA218" s="24">
        <v>0.0</v>
      </c>
      <c r="AB218" s="24">
        <v>0.0</v>
      </c>
      <c r="AC218" s="24">
        <v>0.0</v>
      </c>
      <c r="AD218" s="23">
        <v>0.0</v>
      </c>
      <c r="AE218" s="24">
        <v>0.0</v>
      </c>
      <c r="AF218" s="17" t="s">
        <v>464</v>
      </c>
      <c r="AG218" s="17">
        <v>8000.0</v>
      </c>
      <c r="AH218" s="17" t="s">
        <v>451</v>
      </c>
      <c r="AI218" s="25">
        <f>IF(AF218="Sim",INT((R218-Q218+1))*K218*VLOOKUP(P218,'Tabelas Auxiliares'!$A$1:$C$400,3,FALSE),0)</f>
        <v>21055.2</v>
      </c>
      <c r="AJ218" s="25">
        <f t="shared" si="2"/>
        <v>5600</v>
      </c>
      <c r="AK218" s="25">
        <f>IFS(
  O218="Acre",((W218*0.15)+(X218*0.7))*VLOOKUP(P218,'MunicípiosEstados'!$A$2:$B$23,2,FALSE),
  O218="Alagoas",((W218*0.15)+(X218*0.7))*VLOOKUP(P218,'MunicípiosEstados'!$C$2:$D$103,2,FALSE),
  O218="Amapá",((W218*0.15)+(X218*0.7))*VLOOKUP(P218,'MunicípiosEstados'!$E$2:$F$17,2,FALSE),
  O218="Amazonas",((W218*0.15)+(X218*0.7))*VLOOKUP(P218,'MunicípiosEstados'!$G$2:$H$63,2,FALSE),
  O218="Bahia",((W218*0.15)+(X218*0.7))*VLOOKUP(P218,'MunicípiosEstados'!$I$2:$J$418,2,FALSE),
  O218="Ceará",((W218*0.15)+(X218*0.7))*VLOOKUP(P218,'MunicípiosEstados'!$K$2:$L$185,2,FALSE),
  O218="Distrito Federal",((W218*0.15)+(X218*0.7))*VLOOKUP(P218,'MunicípiosEstados'!$M$2:$N$2,2,FALSE),
  O218="Espírito Santo",((W218*0.15)+(X218*0.7))*VLOOKUP(P218,'MunicípiosEstados'!$O$2:$P$79,2,FALSE),
  O218="Goiás",((W218*0.15)+(X218*0.7))*VLOOKUP(P218,'MunicípiosEstados'!$Q$2:$R$247,2,FALSE),
  O218="Maranhão",((W218*0.15)+(X218*0.7))*VLOOKUP(P218,'MunicípiosEstados'!$S$2:$T$218,2,FALSE),
  O218="Mato Grosso",((W218*0.15)+(X218*0.7))*VLOOKUP(P218,'MunicípiosEstados'!$U$2:$V$143,2,FALSE),
  O218="Mato Grosso do Sul",((W218*0.15)+(X218*0.7))*VLOOKUP(P218,'MunicípiosEstados'!$W$2:$X$80,2,FALSE),
  O218="Minas Gerais",((W218*0.15)+(X218*0.7))*VLOOKUP(P218,'MunicípiosEstados'!$Y$2:$Z$854,2,FALSE),
  O218="Pará",((W218*0.15)+(X218*0.7))*VLOOKUP(P218,'MunicípiosEstados'!$AA$2:$AB$145,2,FALSE),
  O218="Paraíba",((W218*0.15)+(X218*0.7))*VLOOKUP(P218,'MunicípiosEstados'!$AC$2:$AD$224,2,FALSE),
  O218="Paraná",((W218*0.15)+(X218*0.7))*VLOOKUP(P218,'MunicípiosEstados'!$AE$2:$AF$400,2,FALSE),
  O218="Pernambuco",((W218*0.15)+(X218*0.7))*VLOOKUP(P218,'MunicípiosEstados'!$AG$2:$AH$186,2,FALSE),
  O218="Piauí",((W218*0.15)+(X218*0.7))*VLOOKUP(P218,'MunicípiosEstados'!$AI$2:$AJ$225,2,FALSE),
  O218="Rio Grande do Norte",((W218*0.15)+(X218*0.7))*VLOOKUP(P218,'MunicípiosEstados'!$AK$2:$AL$168,2,FALSE),
  O218="Rio Grande do Sul",((W218*0.15)+(X218*0.7))*VLOOKUP(P218,'MunicípiosEstados'!$AM$2:$AN$498,2,FALSE),
  O218="Rio de Janeiro",((W218*0.15)+(X218*0.7))*VLOOKUP(P218,'MunicípiosEstados'!$AO$2:$AP$93,2,FALSE),
  O218="Rondônia",((W218*0.15)+(X218*0.7))*VLOOKUP(P218,'MunicípiosEstados'!$AQ$2:$AR$53,2,FALSE),
  O218="Roraima",((W218*0.15)+(X218*0.7))*VLOOKUP(P218,'MunicípiosEstados'!$AS$2:$AT$16,2,FALSE),
  O218="Santa Catarina",((W218*0.15)+(X218*0.7))*VLOOKUP(P218,'MunicípiosEstados'!$AU$2:$AV$296,2,FALSE),
  O218="São Paulo",((W218*0.15)+(X218*0.7))*VLOOKUP(P218,'MunicípiosEstados'!$AW$2:$AX$646,2,FALSE),
  O218="Sergipe",((W218*0.15)+(X218*0.7))*VLOOKUP(P218,'MunicípiosEstados'!$AY$2:$AZ$76,2,FALSE),
  O218="Tocantins",((W218*0.15)+(X218*0.7))*VLOOKUP(P218,'MunicípiosEstados'!$BA$2:$BB$140,2,FALSE),
  O218="Exterior",((W218*0.15)+(X218*0.7))*VLOOKUP(P218,'MunicípiosEstados'!$BC$2:$BE$221,3,FALSE),TRUE,0
)
</f>
        <v>20047.95</v>
      </c>
      <c r="AL218" s="25">
        <f t="shared" si="3"/>
        <v>46703.15</v>
      </c>
      <c r="AN218" s="31"/>
    </row>
    <row r="219" ht="22.5" hidden="1" customHeight="1">
      <c r="A219" s="15">
        <f t="shared" si="1"/>
        <v>218</v>
      </c>
      <c r="B219" s="16">
        <v>45995.448764444445</v>
      </c>
      <c r="C219" s="17" t="s">
        <v>487</v>
      </c>
      <c r="D219" s="27" t="s">
        <v>443</v>
      </c>
      <c r="E219" s="15" t="str">
        <f>VLOOKUP(G219,DiretoriaDepart.Coord.!$A$1:$C$72,2,FALSE)</f>
        <v>Extensão Rural</v>
      </c>
      <c r="F219" s="15" t="str">
        <f>VLOOKUP(G219,DiretoriaDepart.Coord.!$A$1:$C$72,3,FALSE)</f>
        <v>Projetos e Cadeias Produtivas</v>
      </c>
      <c r="G219" s="17" t="s">
        <v>488</v>
      </c>
      <c r="H219" s="15"/>
      <c r="I219" s="17" t="s">
        <v>1087</v>
      </c>
      <c r="J219" s="17" t="s">
        <v>728</v>
      </c>
      <c r="K219" s="17">
        <v>10.0</v>
      </c>
      <c r="L219" s="15"/>
      <c r="M219" s="17" t="s">
        <v>1088</v>
      </c>
      <c r="N219" s="17">
        <v>15.0</v>
      </c>
      <c r="O219" s="17" t="s">
        <v>714</v>
      </c>
      <c r="P219" s="17" t="s">
        <v>34</v>
      </c>
      <c r="Q219" s="20">
        <v>45810.333333333336</v>
      </c>
      <c r="R219" s="20">
        <v>45902.708333333336</v>
      </c>
      <c r="S219" s="17" t="s">
        <v>451</v>
      </c>
      <c r="T219" s="17" t="s">
        <v>452</v>
      </c>
      <c r="U219" s="21" t="s">
        <v>1089</v>
      </c>
      <c r="V219" s="21" t="s">
        <v>1090</v>
      </c>
      <c r="W219" s="22">
        <v>180.0</v>
      </c>
      <c r="X219" s="22">
        <v>60.0</v>
      </c>
      <c r="Y219" s="23">
        <v>0.0</v>
      </c>
      <c r="Z219" s="23">
        <v>0.0</v>
      </c>
      <c r="AA219" s="24">
        <v>0.0</v>
      </c>
      <c r="AB219" s="24">
        <v>0.0</v>
      </c>
      <c r="AC219" s="24">
        <v>0.0</v>
      </c>
      <c r="AD219" s="23">
        <v>0.0</v>
      </c>
      <c r="AE219" s="24">
        <v>0.0</v>
      </c>
      <c r="AF219" s="17" t="s">
        <v>464</v>
      </c>
      <c r="AG219" s="17">
        <v>8000.0</v>
      </c>
      <c r="AH219" s="17" t="s">
        <v>451</v>
      </c>
      <c r="AI219" s="25">
        <f>IF(AF219="Sim",INT((R219-Q219+1))*K219*VLOOKUP(P219,'Tabelas Auxiliares'!$A$1:$C$400,3,FALSE),0)</f>
        <v>21055.2</v>
      </c>
      <c r="AJ219" s="25">
        <f t="shared" si="2"/>
        <v>5600</v>
      </c>
      <c r="AK219" s="25">
        <f>IFS(
  O219="Acre",((W219*0.15)+(X219*0.7))*VLOOKUP(P219,'MunicípiosEstados'!$A$2:$B$23,2,FALSE),
  O219="Alagoas",((W219*0.15)+(X219*0.7))*VLOOKUP(P219,'MunicípiosEstados'!$C$2:$D$103,2,FALSE),
  O219="Amapá",((W219*0.15)+(X219*0.7))*VLOOKUP(P219,'MunicípiosEstados'!$E$2:$F$17,2,FALSE),
  O219="Amazonas",((W219*0.15)+(X219*0.7))*VLOOKUP(P219,'MunicípiosEstados'!$G$2:$H$63,2,FALSE),
  O219="Bahia",((W219*0.15)+(X219*0.7))*VLOOKUP(P219,'MunicípiosEstados'!$I$2:$J$418,2,FALSE),
  O219="Ceará",((W219*0.15)+(X219*0.7))*VLOOKUP(P219,'MunicípiosEstados'!$K$2:$L$185,2,FALSE),
  O219="Distrito Federal",((W219*0.15)+(X219*0.7))*VLOOKUP(P219,'MunicípiosEstados'!$M$2:$N$2,2,FALSE),
  O219="Espírito Santo",((W219*0.15)+(X219*0.7))*VLOOKUP(P219,'MunicípiosEstados'!$O$2:$P$79,2,FALSE),
  O219="Goiás",((W219*0.15)+(X219*0.7))*VLOOKUP(P219,'MunicípiosEstados'!$Q$2:$R$247,2,FALSE),
  O219="Maranhão",((W219*0.15)+(X219*0.7))*VLOOKUP(P219,'MunicípiosEstados'!$S$2:$T$218,2,FALSE),
  O219="Mato Grosso",((W219*0.15)+(X219*0.7))*VLOOKUP(P219,'MunicípiosEstados'!$U$2:$V$143,2,FALSE),
  O219="Mato Grosso do Sul",((W219*0.15)+(X219*0.7))*VLOOKUP(P219,'MunicípiosEstados'!$W$2:$X$80,2,FALSE),
  O219="Minas Gerais",((W219*0.15)+(X219*0.7))*VLOOKUP(P219,'MunicípiosEstados'!$Y$2:$Z$854,2,FALSE),
  O219="Pará",((W219*0.15)+(X219*0.7))*VLOOKUP(P219,'MunicípiosEstados'!$AA$2:$AB$145,2,FALSE),
  O219="Paraíba",((W219*0.15)+(X219*0.7))*VLOOKUP(P219,'MunicípiosEstados'!$AC$2:$AD$224,2,FALSE),
  O219="Paraná",((W219*0.15)+(X219*0.7))*VLOOKUP(P219,'MunicípiosEstados'!$AE$2:$AF$400,2,FALSE),
  O219="Pernambuco",((W219*0.15)+(X219*0.7))*VLOOKUP(P219,'MunicípiosEstados'!$AG$2:$AH$186,2,FALSE),
  O219="Piauí",((W219*0.15)+(X219*0.7))*VLOOKUP(P219,'MunicípiosEstados'!$AI$2:$AJ$225,2,FALSE),
  O219="Rio Grande do Norte",((W219*0.15)+(X219*0.7))*VLOOKUP(P219,'MunicípiosEstados'!$AK$2:$AL$168,2,FALSE),
  O219="Rio Grande do Sul",((W219*0.15)+(X219*0.7))*VLOOKUP(P219,'MunicípiosEstados'!$AM$2:$AN$498,2,FALSE),
  O219="Rio de Janeiro",((W219*0.15)+(X219*0.7))*VLOOKUP(P219,'MunicípiosEstados'!$AO$2:$AP$93,2,FALSE),
  O219="Rondônia",((W219*0.15)+(X219*0.7))*VLOOKUP(P219,'MunicípiosEstados'!$AQ$2:$AR$53,2,FALSE),
  O219="Roraima",((W219*0.15)+(X219*0.7))*VLOOKUP(P219,'MunicípiosEstados'!$AS$2:$AT$16,2,FALSE),
  O219="Santa Catarina",((W219*0.15)+(X219*0.7))*VLOOKUP(P219,'MunicípiosEstados'!$AU$2:$AV$296,2,FALSE),
  O219="São Paulo",((W219*0.15)+(X219*0.7))*VLOOKUP(P219,'MunicípiosEstados'!$AW$2:$AX$646,2,FALSE),
  O219="Sergipe",((W219*0.15)+(X219*0.7))*VLOOKUP(P219,'MunicípiosEstados'!$AY$2:$AZ$76,2,FALSE),
  O219="Tocantins",((W219*0.15)+(X219*0.7))*VLOOKUP(P219,'MunicípiosEstados'!$BA$2:$BB$140,2,FALSE),
  O219="Exterior",((W219*0.15)+(X219*0.7))*VLOOKUP(P219,'MunicípiosEstados'!$BC$2:$BE$221,3,FALSE),TRUE,0
)
</f>
        <v>20047.95</v>
      </c>
      <c r="AL219" s="25">
        <f t="shared" si="3"/>
        <v>46703.15</v>
      </c>
      <c r="AN219" s="31"/>
    </row>
    <row r="220" ht="22.5" hidden="1" customHeight="1">
      <c r="A220" s="15">
        <f t="shared" si="1"/>
        <v>219</v>
      </c>
      <c r="B220" s="16">
        <v>45995.452244699074</v>
      </c>
      <c r="C220" s="17" t="s">
        <v>487</v>
      </c>
      <c r="D220" s="27" t="s">
        <v>443</v>
      </c>
      <c r="E220" s="15" t="str">
        <f>VLOOKUP(G220,DiretoriaDepart.Coord.!$A$1:$C$72,2,FALSE)</f>
        <v>Extensão Rural</v>
      </c>
      <c r="F220" s="15" t="str">
        <f>VLOOKUP(G220,DiretoriaDepart.Coord.!$A$1:$C$72,3,FALSE)</f>
        <v>Projetos e Cadeias Produtivas</v>
      </c>
      <c r="G220" s="17" t="s">
        <v>488</v>
      </c>
      <c r="H220" s="15"/>
      <c r="I220" s="17" t="s">
        <v>1087</v>
      </c>
      <c r="J220" s="17" t="s">
        <v>728</v>
      </c>
      <c r="K220" s="17">
        <v>10.0</v>
      </c>
      <c r="L220" s="15"/>
      <c r="M220" s="17" t="s">
        <v>1088</v>
      </c>
      <c r="N220" s="17">
        <v>15.0</v>
      </c>
      <c r="O220" s="17" t="s">
        <v>714</v>
      </c>
      <c r="P220" s="17" t="s">
        <v>6</v>
      </c>
      <c r="Q220" s="20">
        <v>45817.333333333336</v>
      </c>
      <c r="R220" s="20">
        <v>45909.708333333336</v>
      </c>
      <c r="S220" s="17" t="s">
        <v>451</v>
      </c>
      <c r="T220" s="17" t="s">
        <v>452</v>
      </c>
      <c r="U220" s="21" t="s">
        <v>1089</v>
      </c>
      <c r="V220" s="21" t="s">
        <v>1090</v>
      </c>
      <c r="W220" s="22">
        <v>180.0</v>
      </c>
      <c r="X220" s="22">
        <v>60.0</v>
      </c>
      <c r="Y220" s="23">
        <v>0.0</v>
      </c>
      <c r="Z220" s="23">
        <v>0.0</v>
      </c>
      <c r="AA220" s="24">
        <v>0.0</v>
      </c>
      <c r="AB220" s="24">
        <v>0.0</v>
      </c>
      <c r="AC220" s="24">
        <v>0.0</v>
      </c>
      <c r="AD220" s="23">
        <v>0.0</v>
      </c>
      <c r="AE220" s="24">
        <v>0.0</v>
      </c>
      <c r="AF220" s="17" t="s">
        <v>464</v>
      </c>
      <c r="AG220" s="17">
        <v>8000.0</v>
      </c>
      <c r="AH220" s="17" t="s">
        <v>451</v>
      </c>
      <c r="AI220" s="25">
        <f>IF(AF220="Sim",INT((R220-Q220+1))*K220*VLOOKUP(P220,'Tabelas Auxiliares'!$A$1:$C$400,3,FALSE),0)</f>
        <v>21055.2</v>
      </c>
      <c r="AJ220" s="25">
        <f t="shared" si="2"/>
        <v>5600</v>
      </c>
      <c r="AK220" s="25">
        <f>IFS(
  O220="Acre",((W220*0.15)+(X220*0.7))*VLOOKUP(P220,'MunicípiosEstados'!$A$2:$B$23,2,FALSE),
  O220="Alagoas",((W220*0.15)+(X220*0.7))*VLOOKUP(P220,'MunicípiosEstados'!$C$2:$D$103,2,FALSE),
  O220="Amapá",((W220*0.15)+(X220*0.7))*VLOOKUP(P220,'MunicípiosEstados'!$E$2:$F$17,2,FALSE),
  O220="Amazonas",((W220*0.15)+(X220*0.7))*VLOOKUP(P220,'MunicípiosEstados'!$G$2:$H$63,2,FALSE),
  O220="Bahia",((W220*0.15)+(X220*0.7))*VLOOKUP(P220,'MunicípiosEstados'!$I$2:$J$418,2,FALSE),
  O220="Ceará",((W220*0.15)+(X220*0.7))*VLOOKUP(P220,'MunicípiosEstados'!$K$2:$L$185,2,FALSE),
  O220="Distrito Federal",((W220*0.15)+(X220*0.7))*VLOOKUP(P220,'MunicípiosEstados'!$M$2:$N$2,2,FALSE),
  O220="Espírito Santo",((W220*0.15)+(X220*0.7))*VLOOKUP(P220,'MunicípiosEstados'!$O$2:$P$79,2,FALSE),
  O220="Goiás",((W220*0.15)+(X220*0.7))*VLOOKUP(P220,'MunicípiosEstados'!$Q$2:$R$247,2,FALSE),
  O220="Maranhão",((W220*0.15)+(X220*0.7))*VLOOKUP(P220,'MunicípiosEstados'!$S$2:$T$218,2,FALSE),
  O220="Mato Grosso",((W220*0.15)+(X220*0.7))*VLOOKUP(P220,'MunicípiosEstados'!$U$2:$V$143,2,FALSE),
  O220="Mato Grosso do Sul",((W220*0.15)+(X220*0.7))*VLOOKUP(P220,'MunicípiosEstados'!$W$2:$X$80,2,FALSE),
  O220="Minas Gerais",((W220*0.15)+(X220*0.7))*VLOOKUP(P220,'MunicípiosEstados'!$Y$2:$Z$854,2,FALSE),
  O220="Pará",((W220*0.15)+(X220*0.7))*VLOOKUP(P220,'MunicípiosEstados'!$AA$2:$AB$145,2,FALSE),
  O220="Paraíba",((W220*0.15)+(X220*0.7))*VLOOKUP(P220,'MunicípiosEstados'!$AC$2:$AD$224,2,FALSE),
  O220="Paraná",((W220*0.15)+(X220*0.7))*VLOOKUP(P220,'MunicípiosEstados'!$AE$2:$AF$400,2,FALSE),
  O220="Pernambuco",((W220*0.15)+(X220*0.7))*VLOOKUP(P220,'MunicípiosEstados'!$AG$2:$AH$186,2,FALSE),
  O220="Piauí",((W220*0.15)+(X220*0.7))*VLOOKUP(P220,'MunicípiosEstados'!$AI$2:$AJ$225,2,FALSE),
  O220="Rio Grande do Norte",((W220*0.15)+(X220*0.7))*VLOOKUP(P220,'MunicípiosEstados'!$AK$2:$AL$168,2,FALSE),
  O220="Rio Grande do Sul",((W220*0.15)+(X220*0.7))*VLOOKUP(P220,'MunicípiosEstados'!$AM$2:$AN$498,2,FALSE),
  O220="Rio de Janeiro",((W220*0.15)+(X220*0.7))*VLOOKUP(P220,'MunicípiosEstados'!$AO$2:$AP$93,2,FALSE),
  O220="Rondônia",((W220*0.15)+(X220*0.7))*VLOOKUP(P220,'MunicípiosEstados'!$AQ$2:$AR$53,2,FALSE),
  O220="Roraima",((W220*0.15)+(X220*0.7))*VLOOKUP(P220,'MunicípiosEstados'!$AS$2:$AT$16,2,FALSE),
  O220="Santa Catarina",((W220*0.15)+(X220*0.7))*VLOOKUP(P220,'MunicípiosEstados'!$AU$2:$AV$296,2,FALSE),
  O220="São Paulo",((W220*0.15)+(X220*0.7))*VLOOKUP(P220,'MunicípiosEstados'!$AW$2:$AX$646,2,FALSE),
  O220="Sergipe",((W220*0.15)+(X220*0.7))*VLOOKUP(P220,'MunicípiosEstados'!$AY$2:$AZ$76,2,FALSE),
  O220="Tocantins",((W220*0.15)+(X220*0.7))*VLOOKUP(P220,'MunicípiosEstados'!$BA$2:$BB$140,2,FALSE),
  O220="Exterior",((W220*0.15)+(X220*0.7))*VLOOKUP(P220,'MunicípiosEstados'!$BC$2:$BE$221,3,FALSE),TRUE,0
)
</f>
        <v>25616.94</v>
      </c>
      <c r="AL220" s="25">
        <f t="shared" si="3"/>
        <v>52272.14</v>
      </c>
      <c r="AN220" s="31"/>
    </row>
    <row r="221" ht="22.5" hidden="1" customHeight="1">
      <c r="A221" s="15">
        <f t="shared" si="1"/>
        <v>220</v>
      </c>
      <c r="B221" s="16">
        <v>45995.45912694444</v>
      </c>
      <c r="C221" s="17" t="s">
        <v>487</v>
      </c>
      <c r="D221" s="27" t="s">
        <v>443</v>
      </c>
      <c r="E221" s="15" t="str">
        <f>VLOOKUP(G221,DiretoriaDepart.Coord.!$A$1:$C$72,2,FALSE)</f>
        <v>Extensão Rural</v>
      </c>
      <c r="F221" s="15" t="str">
        <f>VLOOKUP(G221,DiretoriaDepart.Coord.!$A$1:$C$72,3,FALSE)</f>
        <v>Projetos e Cadeias Produtivas</v>
      </c>
      <c r="G221" s="17" t="s">
        <v>488</v>
      </c>
      <c r="H221" s="15"/>
      <c r="I221" s="17" t="s">
        <v>1087</v>
      </c>
      <c r="J221" s="17" t="s">
        <v>728</v>
      </c>
      <c r="K221" s="17">
        <v>10.0</v>
      </c>
      <c r="L221" s="15"/>
      <c r="M221" s="17" t="s">
        <v>1088</v>
      </c>
      <c r="N221" s="17">
        <v>15.0</v>
      </c>
      <c r="O221" s="17" t="s">
        <v>714</v>
      </c>
      <c r="P221" s="17" t="s">
        <v>26</v>
      </c>
      <c r="Q221" s="20">
        <v>45824.333333333336</v>
      </c>
      <c r="R221" s="20">
        <v>45916.708333333336</v>
      </c>
      <c r="S221" s="17" t="s">
        <v>451</v>
      </c>
      <c r="T221" s="17" t="s">
        <v>452</v>
      </c>
      <c r="U221" s="21" t="s">
        <v>1089</v>
      </c>
      <c r="V221" s="21" t="s">
        <v>1090</v>
      </c>
      <c r="W221" s="22">
        <v>180.0</v>
      </c>
      <c r="X221" s="22">
        <v>60.0</v>
      </c>
      <c r="Y221" s="23">
        <v>0.0</v>
      </c>
      <c r="Z221" s="23">
        <v>0.0</v>
      </c>
      <c r="AA221" s="24">
        <v>0.0</v>
      </c>
      <c r="AB221" s="24">
        <v>0.0</v>
      </c>
      <c r="AC221" s="24">
        <v>0.0</v>
      </c>
      <c r="AD221" s="23">
        <v>0.0</v>
      </c>
      <c r="AE221" s="24">
        <v>0.0</v>
      </c>
      <c r="AF221" s="17" t="s">
        <v>464</v>
      </c>
      <c r="AG221" s="17">
        <v>8000.0</v>
      </c>
      <c r="AH221" s="17" t="s">
        <v>451</v>
      </c>
      <c r="AI221" s="25">
        <f>IF(AF221="Sim",INT((R221-Q221+1))*K221*VLOOKUP(P221,'Tabelas Auxiliares'!$A$1:$C$400,3,FALSE),0)</f>
        <v>21055.2</v>
      </c>
      <c r="AJ221" s="25">
        <f t="shared" si="2"/>
        <v>5600</v>
      </c>
      <c r="AK221" s="25">
        <f>IFS(
  O221="Acre",((W221*0.15)+(X221*0.7))*VLOOKUP(P221,'MunicípiosEstados'!$A$2:$B$23,2,FALSE),
  O221="Alagoas",((W221*0.15)+(X221*0.7))*VLOOKUP(P221,'MunicípiosEstados'!$C$2:$D$103,2,FALSE),
  O221="Amapá",((W221*0.15)+(X221*0.7))*VLOOKUP(P221,'MunicípiosEstados'!$E$2:$F$17,2,FALSE),
  O221="Amazonas",((W221*0.15)+(X221*0.7))*VLOOKUP(P221,'MunicípiosEstados'!$G$2:$H$63,2,FALSE),
  O221="Bahia",((W221*0.15)+(X221*0.7))*VLOOKUP(P221,'MunicípiosEstados'!$I$2:$J$418,2,FALSE),
  O221="Ceará",((W221*0.15)+(X221*0.7))*VLOOKUP(P221,'MunicípiosEstados'!$K$2:$L$185,2,FALSE),
  O221="Distrito Federal",((W221*0.15)+(X221*0.7))*VLOOKUP(P221,'MunicípiosEstados'!$M$2:$N$2,2,FALSE),
  O221="Espírito Santo",((W221*0.15)+(X221*0.7))*VLOOKUP(P221,'MunicípiosEstados'!$O$2:$P$79,2,FALSE),
  O221="Goiás",((W221*0.15)+(X221*0.7))*VLOOKUP(P221,'MunicípiosEstados'!$Q$2:$R$247,2,FALSE),
  O221="Maranhão",((W221*0.15)+(X221*0.7))*VLOOKUP(P221,'MunicípiosEstados'!$S$2:$T$218,2,FALSE),
  O221="Mato Grosso",((W221*0.15)+(X221*0.7))*VLOOKUP(P221,'MunicípiosEstados'!$U$2:$V$143,2,FALSE),
  O221="Mato Grosso do Sul",((W221*0.15)+(X221*0.7))*VLOOKUP(P221,'MunicípiosEstados'!$W$2:$X$80,2,FALSE),
  O221="Minas Gerais",((W221*0.15)+(X221*0.7))*VLOOKUP(P221,'MunicípiosEstados'!$Y$2:$Z$854,2,FALSE),
  O221="Pará",((W221*0.15)+(X221*0.7))*VLOOKUP(P221,'MunicípiosEstados'!$AA$2:$AB$145,2,FALSE),
  O221="Paraíba",((W221*0.15)+(X221*0.7))*VLOOKUP(P221,'MunicípiosEstados'!$AC$2:$AD$224,2,FALSE),
  O221="Paraná",((W221*0.15)+(X221*0.7))*VLOOKUP(P221,'MunicípiosEstados'!$AE$2:$AF$400,2,FALSE),
  O221="Pernambuco",((W221*0.15)+(X221*0.7))*VLOOKUP(P221,'MunicípiosEstados'!$AG$2:$AH$186,2,FALSE),
  O221="Piauí",((W221*0.15)+(X221*0.7))*VLOOKUP(P221,'MunicípiosEstados'!$AI$2:$AJ$225,2,FALSE),
  O221="Rio Grande do Norte",((W221*0.15)+(X221*0.7))*VLOOKUP(P221,'MunicípiosEstados'!$AK$2:$AL$168,2,FALSE),
  O221="Rio Grande do Sul",((W221*0.15)+(X221*0.7))*VLOOKUP(P221,'MunicípiosEstados'!$AM$2:$AN$498,2,FALSE),
  O221="Rio de Janeiro",((W221*0.15)+(X221*0.7))*VLOOKUP(P221,'MunicípiosEstados'!$AO$2:$AP$93,2,FALSE),
  O221="Rondônia",((W221*0.15)+(X221*0.7))*VLOOKUP(P221,'MunicípiosEstados'!$AQ$2:$AR$53,2,FALSE),
  O221="Roraima",((W221*0.15)+(X221*0.7))*VLOOKUP(P221,'MunicípiosEstados'!$AS$2:$AT$16,2,FALSE),
  O221="Santa Catarina",((W221*0.15)+(X221*0.7))*VLOOKUP(P221,'MunicípiosEstados'!$AU$2:$AV$296,2,FALSE),
  O221="São Paulo",((W221*0.15)+(X221*0.7))*VLOOKUP(P221,'MunicípiosEstados'!$AW$2:$AX$646,2,FALSE),
  O221="Sergipe",((W221*0.15)+(X221*0.7))*VLOOKUP(P221,'MunicípiosEstados'!$AY$2:$AZ$76,2,FALSE),
  O221="Tocantins",((W221*0.15)+(X221*0.7))*VLOOKUP(P221,'MunicípiosEstados'!$BA$2:$BB$140,2,FALSE),
  O221="Exterior",((W221*0.15)+(X221*0.7))*VLOOKUP(P221,'MunicípiosEstados'!$BC$2:$BE$221,3,FALSE),TRUE,0
)
</f>
        <v>20047.95</v>
      </c>
      <c r="AL221" s="25">
        <f t="shared" si="3"/>
        <v>46703.15</v>
      </c>
      <c r="AN221" s="31"/>
    </row>
    <row r="222" ht="22.5" hidden="1" customHeight="1">
      <c r="A222" s="15">
        <f t="shared" si="1"/>
        <v>221</v>
      </c>
      <c r="B222" s="16">
        <v>45995.55098572916</v>
      </c>
      <c r="C222" s="17" t="s">
        <v>487</v>
      </c>
      <c r="D222" s="27" t="s">
        <v>443</v>
      </c>
      <c r="E222" s="15" t="str">
        <f>VLOOKUP(G222,DiretoriaDepart.Coord.!$A$1:$C$72,2,FALSE)</f>
        <v>Extensão Rural</v>
      </c>
      <c r="F222" s="15" t="str">
        <f>VLOOKUP(G222,DiretoriaDepart.Coord.!$A$1:$C$72,3,FALSE)</f>
        <v>Projetos e Cadeias Produtivas</v>
      </c>
      <c r="G222" s="17" t="s">
        <v>488</v>
      </c>
      <c r="H222" s="15"/>
      <c r="I222" s="17" t="s">
        <v>1087</v>
      </c>
      <c r="J222" s="17" t="s">
        <v>728</v>
      </c>
      <c r="K222" s="17">
        <v>10.0</v>
      </c>
      <c r="L222" s="15"/>
      <c r="M222" s="17" t="s">
        <v>1088</v>
      </c>
      <c r="N222" s="17">
        <v>15.0</v>
      </c>
      <c r="O222" s="17" t="s">
        <v>714</v>
      </c>
      <c r="P222" s="17" t="s">
        <v>18</v>
      </c>
      <c r="Q222" s="20">
        <v>45831.333333333336</v>
      </c>
      <c r="R222" s="20">
        <v>45923.708333333336</v>
      </c>
      <c r="S222" s="17" t="s">
        <v>451</v>
      </c>
      <c r="T222" s="17" t="s">
        <v>452</v>
      </c>
      <c r="U222" s="21" t="s">
        <v>1089</v>
      </c>
      <c r="V222" s="21" t="s">
        <v>1090</v>
      </c>
      <c r="W222" s="22">
        <v>180.0</v>
      </c>
      <c r="X222" s="22">
        <v>60.0</v>
      </c>
      <c r="Y222" s="23">
        <v>0.0</v>
      </c>
      <c r="Z222" s="23">
        <v>0.0</v>
      </c>
      <c r="AA222" s="24">
        <v>0.0</v>
      </c>
      <c r="AB222" s="24">
        <v>0.0</v>
      </c>
      <c r="AC222" s="24">
        <v>0.0</v>
      </c>
      <c r="AD222" s="23">
        <v>0.0</v>
      </c>
      <c r="AE222" s="24">
        <v>0.0</v>
      </c>
      <c r="AF222" s="17" t="s">
        <v>464</v>
      </c>
      <c r="AG222" s="17">
        <v>8000.0</v>
      </c>
      <c r="AH222" s="17" t="s">
        <v>451</v>
      </c>
      <c r="AI222" s="25">
        <f>IF(AF222="Sim",INT((R222-Q222+1))*K222*VLOOKUP(P222,'Tabelas Auxiliares'!$A$1:$C$400,3,FALSE),0)</f>
        <v>21055.2</v>
      </c>
      <c r="AJ222" s="25">
        <f t="shared" si="2"/>
        <v>5600</v>
      </c>
      <c r="AK222" s="25">
        <f>IFS(
  O222="Acre",((W222*0.15)+(X222*0.7))*VLOOKUP(P222,'MunicípiosEstados'!$A$2:$B$23,2,FALSE),
  O222="Alagoas",((W222*0.15)+(X222*0.7))*VLOOKUP(P222,'MunicípiosEstados'!$C$2:$D$103,2,FALSE),
  O222="Amapá",((W222*0.15)+(X222*0.7))*VLOOKUP(P222,'MunicípiosEstados'!$E$2:$F$17,2,FALSE),
  O222="Amazonas",((W222*0.15)+(X222*0.7))*VLOOKUP(P222,'MunicípiosEstados'!$G$2:$H$63,2,FALSE),
  O222="Bahia",((W222*0.15)+(X222*0.7))*VLOOKUP(P222,'MunicípiosEstados'!$I$2:$J$418,2,FALSE),
  O222="Ceará",((W222*0.15)+(X222*0.7))*VLOOKUP(P222,'MunicípiosEstados'!$K$2:$L$185,2,FALSE),
  O222="Distrito Federal",((W222*0.15)+(X222*0.7))*VLOOKUP(P222,'MunicípiosEstados'!$M$2:$N$2,2,FALSE),
  O222="Espírito Santo",((W222*0.15)+(X222*0.7))*VLOOKUP(P222,'MunicípiosEstados'!$O$2:$P$79,2,FALSE),
  O222="Goiás",((W222*0.15)+(X222*0.7))*VLOOKUP(P222,'MunicípiosEstados'!$Q$2:$R$247,2,FALSE),
  O222="Maranhão",((W222*0.15)+(X222*0.7))*VLOOKUP(P222,'MunicípiosEstados'!$S$2:$T$218,2,FALSE),
  O222="Mato Grosso",((W222*0.15)+(X222*0.7))*VLOOKUP(P222,'MunicípiosEstados'!$U$2:$V$143,2,FALSE),
  O222="Mato Grosso do Sul",((W222*0.15)+(X222*0.7))*VLOOKUP(P222,'MunicípiosEstados'!$W$2:$X$80,2,FALSE),
  O222="Minas Gerais",((W222*0.15)+(X222*0.7))*VLOOKUP(P222,'MunicípiosEstados'!$Y$2:$Z$854,2,FALSE),
  O222="Pará",((W222*0.15)+(X222*0.7))*VLOOKUP(P222,'MunicípiosEstados'!$AA$2:$AB$145,2,FALSE),
  O222="Paraíba",((W222*0.15)+(X222*0.7))*VLOOKUP(P222,'MunicípiosEstados'!$AC$2:$AD$224,2,FALSE),
  O222="Paraná",((W222*0.15)+(X222*0.7))*VLOOKUP(P222,'MunicípiosEstados'!$AE$2:$AF$400,2,FALSE),
  O222="Pernambuco",((W222*0.15)+(X222*0.7))*VLOOKUP(P222,'MunicípiosEstados'!$AG$2:$AH$186,2,FALSE),
  O222="Piauí",((W222*0.15)+(X222*0.7))*VLOOKUP(P222,'MunicípiosEstados'!$AI$2:$AJ$225,2,FALSE),
  O222="Rio Grande do Norte",((W222*0.15)+(X222*0.7))*VLOOKUP(P222,'MunicípiosEstados'!$AK$2:$AL$168,2,FALSE),
  O222="Rio Grande do Sul",((W222*0.15)+(X222*0.7))*VLOOKUP(P222,'MunicípiosEstados'!$AM$2:$AN$498,2,FALSE),
  O222="Rio de Janeiro",((W222*0.15)+(X222*0.7))*VLOOKUP(P222,'MunicípiosEstados'!$AO$2:$AP$93,2,FALSE),
  O222="Rondônia",((W222*0.15)+(X222*0.7))*VLOOKUP(P222,'MunicípiosEstados'!$AQ$2:$AR$53,2,FALSE),
  O222="Roraima",((W222*0.15)+(X222*0.7))*VLOOKUP(P222,'MunicípiosEstados'!$AS$2:$AT$16,2,FALSE),
  O222="Santa Catarina",((W222*0.15)+(X222*0.7))*VLOOKUP(P222,'MunicípiosEstados'!$AU$2:$AV$296,2,FALSE),
  O222="São Paulo",((W222*0.15)+(X222*0.7))*VLOOKUP(P222,'MunicípiosEstados'!$AW$2:$AX$646,2,FALSE),
  O222="Sergipe",((W222*0.15)+(X222*0.7))*VLOOKUP(P222,'MunicípiosEstados'!$AY$2:$AZ$76,2,FALSE),
  O222="Tocantins",((W222*0.15)+(X222*0.7))*VLOOKUP(P222,'MunicípiosEstados'!$BA$2:$BB$140,2,FALSE),
  O222="Exterior",((W222*0.15)+(X222*0.7))*VLOOKUP(P222,'MunicípiosEstados'!$BC$2:$BE$221,3,FALSE),TRUE,0
)
</f>
        <v>20047.95</v>
      </c>
      <c r="AL222" s="25">
        <f t="shared" si="3"/>
        <v>46703.15</v>
      </c>
      <c r="AN222" s="31"/>
    </row>
    <row r="223" ht="22.5" hidden="1" customHeight="1">
      <c r="A223" s="15">
        <f t="shared" si="1"/>
        <v>222</v>
      </c>
      <c r="B223" s="16">
        <v>45995.5547687037</v>
      </c>
      <c r="C223" s="17" t="s">
        <v>487</v>
      </c>
      <c r="D223" s="27" t="s">
        <v>443</v>
      </c>
      <c r="E223" s="15" t="str">
        <f>VLOOKUP(G223,DiretoriaDepart.Coord.!$A$1:$C$72,2,FALSE)</f>
        <v>Extensão Rural</v>
      </c>
      <c r="F223" s="15" t="str">
        <f>VLOOKUP(G223,DiretoriaDepart.Coord.!$A$1:$C$72,3,FALSE)</f>
        <v>Projetos e Cadeias Produtivas</v>
      </c>
      <c r="G223" s="17" t="s">
        <v>488</v>
      </c>
      <c r="H223" s="15"/>
      <c r="I223" s="17" t="s">
        <v>1087</v>
      </c>
      <c r="J223" s="17" t="s">
        <v>728</v>
      </c>
      <c r="K223" s="17">
        <v>10.0</v>
      </c>
      <c r="L223" s="15"/>
      <c r="M223" s="17" t="s">
        <v>1088</v>
      </c>
      <c r="N223" s="17">
        <v>15.0</v>
      </c>
      <c r="O223" s="17" t="s">
        <v>714</v>
      </c>
      <c r="P223" s="17" t="s">
        <v>95</v>
      </c>
      <c r="Q223" s="20">
        <v>45838.333333333336</v>
      </c>
      <c r="R223" s="20">
        <v>45930.708333333336</v>
      </c>
      <c r="S223" s="17" t="s">
        <v>451</v>
      </c>
      <c r="T223" s="17" t="s">
        <v>452</v>
      </c>
      <c r="U223" s="21" t="s">
        <v>1089</v>
      </c>
      <c r="V223" s="21" t="s">
        <v>1090</v>
      </c>
      <c r="W223" s="22">
        <v>180.0</v>
      </c>
      <c r="X223" s="22">
        <v>60.0</v>
      </c>
      <c r="Y223" s="23">
        <v>0.0</v>
      </c>
      <c r="Z223" s="23">
        <v>0.0</v>
      </c>
      <c r="AA223" s="24">
        <v>0.0</v>
      </c>
      <c r="AB223" s="24">
        <v>0.0</v>
      </c>
      <c r="AC223" s="24">
        <v>0.0</v>
      </c>
      <c r="AD223" s="23">
        <v>0.0</v>
      </c>
      <c r="AE223" s="24">
        <v>0.0</v>
      </c>
      <c r="AF223" s="17" t="s">
        <v>464</v>
      </c>
      <c r="AG223" s="17">
        <v>8000.0</v>
      </c>
      <c r="AH223" s="17" t="s">
        <v>451</v>
      </c>
      <c r="AI223" s="25">
        <f>IF(AF223="Sim",INT((R223-Q223+1))*K223*VLOOKUP(P223,'Tabelas Auxiliares'!$A$1:$C$400,3,FALSE),0)</f>
        <v>21055.2</v>
      </c>
      <c r="AJ223" s="25">
        <f t="shared" si="2"/>
        <v>5600</v>
      </c>
      <c r="AK223" s="25">
        <f>IFS(
  O223="Acre",((W223*0.15)+(X223*0.7))*VLOOKUP(P223,'MunicípiosEstados'!$A$2:$B$23,2,FALSE),
  O223="Alagoas",((W223*0.15)+(X223*0.7))*VLOOKUP(P223,'MunicípiosEstados'!$C$2:$D$103,2,FALSE),
  O223="Amapá",((W223*0.15)+(X223*0.7))*VLOOKUP(P223,'MunicípiosEstados'!$E$2:$F$17,2,FALSE),
  O223="Amazonas",((W223*0.15)+(X223*0.7))*VLOOKUP(P223,'MunicípiosEstados'!$G$2:$H$63,2,FALSE),
  O223="Bahia",((W223*0.15)+(X223*0.7))*VLOOKUP(P223,'MunicípiosEstados'!$I$2:$J$418,2,FALSE),
  O223="Ceará",((W223*0.15)+(X223*0.7))*VLOOKUP(P223,'MunicípiosEstados'!$K$2:$L$185,2,FALSE),
  O223="Distrito Federal",((W223*0.15)+(X223*0.7))*VLOOKUP(P223,'MunicípiosEstados'!$M$2:$N$2,2,FALSE),
  O223="Espírito Santo",((W223*0.15)+(X223*0.7))*VLOOKUP(P223,'MunicípiosEstados'!$O$2:$P$79,2,FALSE),
  O223="Goiás",((W223*0.15)+(X223*0.7))*VLOOKUP(P223,'MunicípiosEstados'!$Q$2:$R$247,2,FALSE),
  O223="Maranhão",((W223*0.15)+(X223*0.7))*VLOOKUP(P223,'MunicípiosEstados'!$S$2:$T$218,2,FALSE),
  O223="Mato Grosso",((W223*0.15)+(X223*0.7))*VLOOKUP(P223,'MunicípiosEstados'!$U$2:$V$143,2,FALSE),
  O223="Mato Grosso do Sul",((W223*0.15)+(X223*0.7))*VLOOKUP(P223,'MunicípiosEstados'!$W$2:$X$80,2,FALSE),
  O223="Minas Gerais",((W223*0.15)+(X223*0.7))*VLOOKUP(P223,'MunicípiosEstados'!$Y$2:$Z$854,2,FALSE),
  O223="Pará",((W223*0.15)+(X223*0.7))*VLOOKUP(P223,'MunicípiosEstados'!$AA$2:$AB$145,2,FALSE),
  O223="Paraíba",((W223*0.15)+(X223*0.7))*VLOOKUP(P223,'MunicípiosEstados'!$AC$2:$AD$224,2,FALSE),
  O223="Paraná",((W223*0.15)+(X223*0.7))*VLOOKUP(P223,'MunicípiosEstados'!$AE$2:$AF$400,2,FALSE),
  O223="Pernambuco",((W223*0.15)+(X223*0.7))*VLOOKUP(P223,'MunicípiosEstados'!$AG$2:$AH$186,2,FALSE),
  O223="Piauí",((W223*0.15)+(X223*0.7))*VLOOKUP(P223,'MunicípiosEstados'!$AI$2:$AJ$225,2,FALSE),
  O223="Rio Grande do Norte",((W223*0.15)+(X223*0.7))*VLOOKUP(P223,'MunicípiosEstados'!$AK$2:$AL$168,2,FALSE),
  O223="Rio Grande do Sul",((W223*0.15)+(X223*0.7))*VLOOKUP(P223,'MunicípiosEstados'!$AM$2:$AN$498,2,FALSE),
  O223="Rio de Janeiro",((W223*0.15)+(X223*0.7))*VLOOKUP(P223,'MunicípiosEstados'!$AO$2:$AP$93,2,FALSE),
  O223="Rondônia",((W223*0.15)+(X223*0.7))*VLOOKUP(P223,'MunicípiosEstados'!$AQ$2:$AR$53,2,FALSE),
  O223="Roraima",((W223*0.15)+(X223*0.7))*VLOOKUP(P223,'MunicípiosEstados'!$AS$2:$AT$16,2,FALSE),
  O223="Santa Catarina",((W223*0.15)+(X223*0.7))*VLOOKUP(P223,'MunicípiosEstados'!$AU$2:$AV$296,2,FALSE),
  O223="São Paulo",((W223*0.15)+(X223*0.7))*VLOOKUP(P223,'MunicípiosEstados'!$AW$2:$AX$646,2,FALSE),
  O223="Sergipe",((W223*0.15)+(X223*0.7))*VLOOKUP(P223,'MunicípiosEstados'!$AY$2:$AZ$76,2,FALSE),
  O223="Tocantins",((W223*0.15)+(X223*0.7))*VLOOKUP(P223,'MunicípiosEstados'!$BA$2:$BB$140,2,FALSE),
  O223="Exterior",((W223*0.15)+(X223*0.7))*VLOOKUP(P223,'MunicípiosEstados'!$BC$2:$BE$221,3,FALSE),TRUE,0
)
</f>
        <v>20047.95</v>
      </c>
      <c r="AL223" s="25">
        <f t="shared" si="3"/>
        <v>46703.15</v>
      </c>
      <c r="AN223" s="31"/>
    </row>
    <row r="224" ht="22.5" hidden="1" customHeight="1">
      <c r="A224" s="15">
        <f t="shared" si="1"/>
        <v>223</v>
      </c>
      <c r="B224" s="16">
        <v>45995.58431298611</v>
      </c>
      <c r="C224" s="17" t="s">
        <v>487</v>
      </c>
      <c r="D224" s="27" t="s">
        <v>443</v>
      </c>
      <c r="E224" s="15" t="str">
        <f>VLOOKUP(G224,DiretoriaDepart.Coord.!$A$1:$C$72,2,FALSE)</f>
        <v>Extensão Rural</v>
      </c>
      <c r="F224" s="15" t="str">
        <f>VLOOKUP(G224,DiretoriaDepart.Coord.!$A$1:$C$72,3,FALSE)</f>
        <v>Projetos e Cadeias Produtivas</v>
      </c>
      <c r="G224" s="17" t="s">
        <v>488</v>
      </c>
      <c r="H224" s="15"/>
      <c r="I224" s="17" t="s">
        <v>1091</v>
      </c>
      <c r="J224" s="17" t="s">
        <v>728</v>
      </c>
      <c r="K224" s="17">
        <v>20.0</v>
      </c>
      <c r="L224" s="15"/>
      <c r="M224" s="17" t="s">
        <v>970</v>
      </c>
      <c r="N224" s="17">
        <v>0.0</v>
      </c>
      <c r="O224" s="17" t="s">
        <v>714</v>
      </c>
      <c r="P224" s="17" t="s">
        <v>14</v>
      </c>
      <c r="Q224" s="20">
        <v>45748.333333333336</v>
      </c>
      <c r="R224" s="20">
        <v>45748.708333333336</v>
      </c>
      <c r="S224" s="17" t="s">
        <v>451</v>
      </c>
      <c r="T224" s="17" t="s">
        <v>452</v>
      </c>
      <c r="U224" s="28" t="s">
        <v>1092</v>
      </c>
      <c r="V224" s="28" t="s">
        <v>1093</v>
      </c>
      <c r="W224" s="22">
        <v>30.0</v>
      </c>
      <c r="X224" s="22">
        <v>10.0</v>
      </c>
      <c r="Y224" s="23">
        <v>0.0</v>
      </c>
      <c r="Z224" s="23">
        <v>0.0</v>
      </c>
      <c r="AA224" s="24">
        <v>0.0</v>
      </c>
      <c r="AB224" s="24">
        <v>0.0</v>
      </c>
      <c r="AC224" s="24">
        <v>0.0</v>
      </c>
      <c r="AD224" s="23">
        <v>0.0</v>
      </c>
      <c r="AE224" s="24">
        <v>0.0</v>
      </c>
      <c r="AF224" s="17" t="s">
        <v>464</v>
      </c>
      <c r="AG224" s="17">
        <v>2000.0</v>
      </c>
      <c r="AH224" s="17" t="s">
        <v>464</v>
      </c>
      <c r="AI224" s="25">
        <f>IF(AF224="Sim",INT((R224-Q224+1))*K224*VLOOKUP(P224,'Tabelas Auxiliares'!$A$1:$C$400,3,FALSE),0)</f>
        <v>452.8</v>
      </c>
      <c r="AJ224" s="25">
        <f t="shared" si="2"/>
        <v>1400</v>
      </c>
      <c r="AK224" s="25">
        <f>IFS(
  O224="Acre",((W224*0.15)+(X224*0.7))*VLOOKUP(P224,'MunicípiosEstados'!$A$2:$B$23,2,FALSE),
  O224="Alagoas",((W224*0.15)+(X224*0.7))*VLOOKUP(P224,'MunicípiosEstados'!$C$2:$D$103,2,FALSE),
  O224="Amapá",((W224*0.15)+(X224*0.7))*VLOOKUP(P224,'MunicípiosEstados'!$E$2:$F$17,2,FALSE),
  O224="Amazonas",((W224*0.15)+(X224*0.7))*VLOOKUP(P224,'MunicípiosEstados'!$G$2:$H$63,2,FALSE),
  O224="Bahia",((W224*0.15)+(X224*0.7))*VLOOKUP(P224,'MunicípiosEstados'!$I$2:$J$418,2,FALSE),
  O224="Ceará",((W224*0.15)+(X224*0.7))*VLOOKUP(P224,'MunicípiosEstados'!$K$2:$L$185,2,FALSE),
  O224="Distrito Federal",((W224*0.15)+(X224*0.7))*VLOOKUP(P224,'MunicípiosEstados'!$M$2:$N$2,2,FALSE),
  O224="Espírito Santo",((W224*0.15)+(X224*0.7))*VLOOKUP(P224,'MunicípiosEstados'!$O$2:$P$79,2,FALSE),
  O224="Goiás",((W224*0.15)+(X224*0.7))*VLOOKUP(P224,'MunicípiosEstados'!$Q$2:$R$247,2,FALSE),
  O224="Maranhão",((W224*0.15)+(X224*0.7))*VLOOKUP(P224,'MunicípiosEstados'!$S$2:$T$218,2,FALSE),
  O224="Mato Grosso",((W224*0.15)+(X224*0.7))*VLOOKUP(P224,'MunicípiosEstados'!$U$2:$V$143,2,FALSE),
  O224="Mato Grosso do Sul",((W224*0.15)+(X224*0.7))*VLOOKUP(P224,'MunicípiosEstados'!$W$2:$X$80,2,FALSE),
  O224="Minas Gerais",((W224*0.15)+(X224*0.7))*VLOOKUP(P224,'MunicípiosEstados'!$Y$2:$Z$854,2,FALSE),
  O224="Pará",((W224*0.15)+(X224*0.7))*VLOOKUP(P224,'MunicípiosEstados'!$AA$2:$AB$145,2,FALSE),
  O224="Paraíba",((W224*0.15)+(X224*0.7))*VLOOKUP(P224,'MunicípiosEstados'!$AC$2:$AD$224,2,FALSE),
  O224="Paraná",((W224*0.15)+(X224*0.7))*VLOOKUP(P224,'MunicípiosEstados'!$AE$2:$AF$400,2,FALSE),
  O224="Pernambuco",((W224*0.15)+(X224*0.7))*VLOOKUP(P224,'MunicípiosEstados'!$AG$2:$AH$186,2,FALSE),
  O224="Piauí",((W224*0.15)+(X224*0.7))*VLOOKUP(P224,'MunicípiosEstados'!$AI$2:$AJ$225,2,FALSE),
  O224="Rio Grande do Norte",((W224*0.15)+(X224*0.7))*VLOOKUP(P224,'MunicípiosEstados'!$AK$2:$AL$168,2,FALSE),
  O224="Rio Grande do Sul",((W224*0.15)+(X224*0.7))*VLOOKUP(P224,'MunicípiosEstados'!$AM$2:$AN$498,2,FALSE),
  O224="Rio de Janeiro",((W224*0.15)+(X224*0.7))*VLOOKUP(P224,'MunicípiosEstados'!$AO$2:$AP$93,2,FALSE),
  O224="Rondônia",((W224*0.15)+(X224*0.7))*VLOOKUP(P224,'MunicípiosEstados'!$AQ$2:$AR$53,2,FALSE),
  O224="Roraima",((W224*0.15)+(X224*0.7))*VLOOKUP(P224,'MunicípiosEstados'!$AS$2:$AT$16,2,FALSE),
  O224="Santa Catarina",((W224*0.15)+(X224*0.7))*VLOOKUP(P224,'MunicípiosEstados'!$AU$2:$AV$296,2,FALSE),
  O224="São Paulo",((W224*0.15)+(X224*0.7))*VLOOKUP(P224,'MunicípiosEstados'!$AW$2:$AX$646,2,FALSE),
  O224="Sergipe",((W224*0.15)+(X224*0.7))*VLOOKUP(P224,'MunicípiosEstados'!$AY$2:$AZ$76,2,FALSE),
  O224="Tocantins",((W224*0.15)+(X224*0.7))*VLOOKUP(P224,'MunicípiosEstados'!$BA$2:$BB$140,2,FALSE),
  O224="Exterior",((W224*0.15)+(X224*0.7))*VLOOKUP(P224,'MunicípiosEstados'!$BC$2:$BE$221,3,FALSE),TRUE,0
)
</f>
        <v>3341.325</v>
      </c>
      <c r="AL224" s="25">
        <f t="shared" si="3"/>
        <v>5194.125</v>
      </c>
      <c r="AN224" s="31"/>
    </row>
    <row r="225" ht="22.5" hidden="1" customHeight="1">
      <c r="A225" s="15">
        <f t="shared" si="1"/>
        <v>224</v>
      </c>
      <c r="B225" s="16">
        <v>45995.611779212966</v>
      </c>
      <c r="C225" s="17" t="s">
        <v>487</v>
      </c>
      <c r="D225" s="27" t="s">
        <v>443</v>
      </c>
      <c r="E225" s="15" t="str">
        <f>VLOOKUP(G225,DiretoriaDepart.Coord.!$A$1:$C$72,2,FALSE)</f>
        <v>Extensão Rural</v>
      </c>
      <c r="F225" s="15" t="str">
        <f>VLOOKUP(G225,DiretoriaDepart.Coord.!$A$1:$C$72,3,FALSE)</f>
        <v>Projetos e Cadeias Produtivas</v>
      </c>
      <c r="G225" s="17" t="s">
        <v>488</v>
      </c>
      <c r="H225" s="15"/>
      <c r="I225" s="17" t="s">
        <v>1091</v>
      </c>
      <c r="J225" s="17" t="s">
        <v>728</v>
      </c>
      <c r="K225" s="17">
        <v>20.0</v>
      </c>
      <c r="L225" s="15"/>
      <c r="M225" s="17" t="s">
        <v>970</v>
      </c>
      <c r="N225" s="17">
        <v>0.0</v>
      </c>
      <c r="O225" s="17" t="s">
        <v>714</v>
      </c>
      <c r="P225" s="17" t="s">
        <v>6</v>
      </c>
      <c r="Q225" s="20">
        <v>45755.333333333336</v>
      </c>
      <c r="R225" s="20">
        <v>45755.708333333336</v>
      </c>
      <c r="S225" s="17" t="s">
        <v>451</v>
      </c>
      <c r="T225" s="17" t="s">
        <v>452</v>
      </c>
      <c r="U225" s="28" t="s">
        <v>1303</v>
      </c>
      <c r="V225" s="28" t="s">
        <v>1304</v>
      </c>
      <c r="W225" s="22">
        <v>30.0</v>
      </c>
      <c r="X225" s="22">
        <v>10.0</v>
      </c>
      <c r="Y225" s="23">
        <v>0.0</v>
      </c>
      <c r="Z225" s="23">
        <v>0.0</v>
      </c>
      <c r="AA225" s="24">
        <v>0.0</v>
      </c>
      <c r="AB225" s="24">
        <v>0.0</v>
      </c>
      <c r="AC225" s="24">
        <v>0.0</v>
      </c>
      <c r="AD225" s="23">
        <v>0.0</v>
      </c>
      <c r="AE225" s="24">
        <v>0.0</v>
      </c>
      <c r="AF225" s="17" t="s">
        <v>464</v>
      </c>
      <c r="AG225" s="17">
        <v>2000.0</v>
      </c>
      <c r="AH225" s="17" t="s">
        <v>464</v>
      </c>
      <c r="AI225" s="25">
        <f>IF(AF225="Sim",INT((R225-Q225+1))*K225*VLOOKUP(P225,'Tabelas Auxiliares'!$A$1:$C$400,3,FALSE),0)</f>
        <v>452.8</v>
      </c>
      <c r="AJ225" s="25">
        <f t="shared" si="2"/>
        <v>1400</v>
      </c>
      <c r="AK225" s="25">
        <f>IFS(
  O225="Acre",((W225*0.15)+(X225*0.7))*VLOOKUP(P225,'MunicípiosEstados'!$A$2:$B$23,2,FALSE),
  O225="Alagoas",((W225*0.15)+(X225*0.7))*VLOOKUP(P225,'MunicípiosEstados'!$C$2:$D$103,2,FALSE),
  O225="Amapá",((W225*0.15)+(X225*0.7))*VLOOKUP(P225,'MunicípiosEstados'!$E$2:$F$17,2,FALSE),
  O225="Amazonas",((W225*0.15)+(X225*0.7))*VLOOKUP(P225,'MunicípiosEstados'!$G$2:$H$63,2,FALSE),
  O225="Bahia",((W225*0.15)+(X225*0.7))*VLOOKUP(P225,'MunicípiosEstados'!$I$2:$J$418,2,FALSE),
  O225="Ceará",((W225*0.15)+(X225*0.7))*VLOOKUP(P225,'MunicípiosEstados'!$K$2:$L$185,2,FALSE),
  O225="Distrito Federal",((W225*0.15)+(X225*0.7))*VLOOKUP(P225,'MunicípiosEstados'!$M$2:$N$2,2,FALSE),
  O225="Espírito Santo",((W225*0.15)+(X225*0.7))*VLOOKUP(P225,'MunicípiosEstados'!$O$2:$P$79,2,FALSE),
  O225="Goiás",((W225*0.15)+(X225*0.7))*VLOOKUP(P225,'MunicípiosEstados'!$Q$2:$R$247,2,FALSE),
  O225="Maranhão",((W225*0.15)+(X225*0.7))*VLOOKUP(P225,'MunicípiosEstados'!$S$2:$T$218,2,FALSE),
  O225="Mato Grosso",((W225*0.15)+(X225*0.7))*VLOOKUP(P225,'MunicípiosEstados'!$U$2:$V$143,2,FALSE),
  O225="Mato Grosso do Sul",((W225*0.15)+(X225*0.7))*VLOOKUP(P225,'MunicípiosEstados'!$W$2:$X$80,2,FALSE),
  O225="Minas Gerais",((W225*0.15)+(X225*0.7))*VLOOKUP(P225,'MunicípiosEstados'!$Y$2:$Z$854,2,FALSE),
  O225="Pará",((W225*0.15)+(X225*0.7))*VLOOKUP(P225,'MunicípiosEstados'!$AA$2:$AB$145,2,FALSE),
  O225="Paraíba",((W225*0.15)+(X225*0.7))*VLOOKUP(P225,'MunicípiosEstados'!$AC$2:$AD$224,2,FALSE),
  O225="Paraná",((W225*0.15)+(X225*0.7))*VLOOKUP(P225,'MunicípiosEstados'!$AE$2:$AF$400,2,FALSE),
  O225="Pernambuco",((W225*0.15)+(X225*0.7))*VLOOKUP(P225,'MunicípiosEstados'!$AG$2:$AH$186,2,FALSE),
  O225="Piauí",((W225*0.15)+(X225*0.7))*VLOOKUP(P225,'MunicípiosEstados'!$AI$2:$AJ$225,2,FALSE),
  O225="Rio Grande do Norte",((W225*0.15)+(X225*0.7))*VLOOKUP(P225,'MunicípiosEstados'!$AK$2:$AL$168,2,FALSE),
  O225="Rio Grande do Sul",((W225*0.15)+(X225*0.7))*VLOOKUP(P225,'MunicípiosEstados'!$AM$2:$AN$498,2,FALSE),
  O225="Rio de Janeiro",((W225*0.15)+(X225*0.7))*VLOOKUP(P225,'MunicípiosEstados'!$AO$2:$AP$93,2,FALSE),
  O225="Rondônia",((W225*0.15)+(X225*0.7))*VLOOKUP(P225,'MunicípiosEstados'!$AQ$2:$AR$53,2,FALSE),
  O225="Roraima",((W225*0.15)+(X225*0.7))*VLOOKUP(P225,'MunicípiosEstados'!$AS$2:$AT$16,2,FALSE),
  O225="Santa Catarina",((W225*0.15)+(X225*0.7))*VLOOKUP(P225,'MunicípiosEstados'!$AU$2:$AV$296,2,FALSE),
  O225="São Paulo",((W225*0.15)+(X225*0.7))*VLOOKUP(P225,'MunicípiosEstados'!$AW$2:$AX$646,2,FALSE),
  O225="Sergipe",((W225*0.15)+(X225*0.7))*VLOOKUP(P225,'MunicípiosEstados'!$AY$2:$AZ$76,2,FALSE),
  O225="Tocantins",((W225*0.15)+(X225*0.7))*VLOOKUP(P225,'MunicípiosEstados'!$BA$2:$BB$140,2,FALSE),
  O225="Exterior",((W225*0.15)+(X225*0.7))*VLOOKUP(P225,'MunicípiosEstados'!$BC$2:$BE$221,3,FALSE),TRUE,0
)
</f>
        <v>4269.49</v>
      </c>
      <c r="AL225" s="25">
        <f t="shared" si="3"/>
        <v>6122.29</v>
      </c>
      <c r="AN225" s="31"/>
    </row>
    <row r="226" ht="22.5" hidden="1" customHeight="1">
      <c r="A226" s="15">
        <f t="shared" si="1"/>
        <v>225</v>
      </c>
      <c r="B226" s="16">
        <v>45995.72799042824</v>
      </c>
      <c r="C226" s="17" t="s">
        <v>1305</v>
      </c>
      <c r="D226" s="27" t="s">
        <v>443</v>
      </c>
      <c r="E226" s="15" t="str">
        <f>VLOOKUP(G226,DiretoriaDepart.Coord.!$A$1:$C$72,2,FALSE)</f>
        <v>Pesquisa e Inovação</v>
      </c>
      <c r="F226" s="15" t="str">
        <f>VLOOKUP(G226,DiretoriaDepart.Coord.!$A$1:$C$72,3,FALSE)</f>
        <v>Inovação e Comunicação Científica</v>
      </c>
      <c r="G226" s="19" t="s">
        <v>1306</v>
      </c>
      <c r="H226" s="15"/>
      <c r="I226" s="17" t="s">
        <v>1307</v>
      </c>
      <c r="J226" s="17" t="s">
        <v>459</v>
      </c>
      <c r="K226" s="17">
        <v>2.0</v>
      </c>
      <c r="L226" s="17" t="s">
        <v>1308</v>
      </c>
      <c r="M226" s="17" t="s">
        <v>1309</v>
      </c>
      <c r="N226" s="17">
        <v>2.0</v>
      </c>
      <c r="O226" s="17" t="s">
        <v>714</v>
      </c>
      <c r="P226" s="17" t="s">
        <v>6</v>
      </c>
      <c r="Q226" s="20">
        <v>45760.333333333336</v>
      </c>
      <c r="R226" s="20">
        <v>45760.708333333336</v>
      </c>
      <c r="S226" s="17" t="s">
        <v>464</v>
      </c>
      <c r="T226" s="17" t="s">
        <v>452</v>
      </c>
      <c r="U226" s="21" t="s">
        <v>1310</v>
      </c>
      <c r="V226" s="21" t="s">
        <v>1311</v>
      </c>
      <c r="W226" s="22">
        <v>12.0</v>
      </c>
      <c r="X226" s="22">
        <v>3.0</v>
      </c>
      <c r="Y226" s="23">
        <v>350.0</v>
      </c>
      <c r="Z226" s="23">
        <v>0.0</v>
      </c>
      <c r="AA226" s="24">
        <v>0.0</v>
      </c>
      <c r="AB226" s="24">
        <v>0.0</v>
      </c>
      <c r="AC226" s="24">
        <v>50.0</v>
      </c>
      <c r="AD226" s="23">
        <v>0.0</v>
      </c>
      <c r="AE226" s="24">
        <v>0.0</v>
      </c>
      <c r="AF226" s="17" t="s">
        <v>451</v>
      </c>
      <c r="AG226" s="17">
        <v>887.0</v>
      </c>
      <c r="AH226" s="17" t="s">
        <v>451</v>
      </c>
      <c r="AI226" s="25">
        <f>IF(AF226="Sim",INT((R226-Q226+1))*K226*VLOOKUP(P226,'Tabelas Auxiliares'!$A$1:$C$400,3,FALSE),0)</f>
        <v>0</v>
      </c>
      <c r="AJ226" s="25">
        <f t="shared" si="2"/>
        <v>620.9</v>
      </c>
      <c r="AK226" s="25">
        <f>IFS(
  O226="Acre",((W226*0.15)+(X226*0.7))*VLOOKUP(P226,'MunicípiosEstados'!$A$2:$B$23,2,FALSE),
  O226="Alagoas",((W226*0.15)+(X226*0.7))*VLOOKUP(P226,'MunicípiosEstados'!$C$2:$D$103,2,FALSE),
  O226="Amapá",((W226*0.15)+(X226*0.7))*VLOOKUP(P226,'MunicípiosEstados'!$E$2:$F$17,2,FALSE),
  O226="Amazonas",((W226*0.15)+(X226*0.7))*VLOOKUP(P226,'MunicípiosEstados'!$G$2:$H$63,2,FALSE),
  O226="Bahia",((W226*0.15)+(X226*0.7))*VLOOKUP(P226,'MunicípiosEstados'!$I$2:$J$418,2,FALSE),
  O226="Ceará",((W226*0.15)+(X226*0.7))*VLOOKUP(P226,'MunicípiosEstados'!$K$2:$L$185,2,FALSE),
  O226="Distrito Federal",((W226*0.15)+(X226*0.7))*VLOOKUP(P226,'MunicípiosEstados'!$M$2:$N$2,2,FALSE),
  O226="Espírito Santo",((W226*0.15)+(X226*0.7))*VLOOKUP(P226,'MunicípiosEstados'!$O$2:$P$79,2,FALSE),
  O226="Goiás",((W226*0.15)+(X226*0.7))*VLOOKUP(P226,'MunicípiosEstados'!$Q$2:$R$247,2,FALSE),
  O226="Maranhão",((W226*0.15)+(X226*0.7))*VLOOKUP(P226,'MunicípiosEstados'!$S$2:$T$218,2,FALSE),
  O226="Mato Grosso",((W226*0.15)+(X226*0.7))*VLOOKUP(P226,'MunicípiosEstados'!$U$2:$V$143,2,FALSE),
  O226="Mato Grosso do Sul",((W226*0.15)+(X226*0.7))*VLOOKUP(P226,'MunicípiosEstados'!$W$2:$X$80,2,FALSE),
  O226="Minas Gerais",((W226*0.15)+(X226*0.7))*VLOOKUP(P226,'MunicípiosEstados'!$Y$2:$Z$854,2,FALSE),
  O226="Pará",((W226*0.15)+(X226*0.7))*VLOOKUP(P226,'MunicípiosEstados'!$AA$2:$AB$145,2,FALSE),
  O226="Paraíba",((W226*0.15)+(X226*0.7))*VLOOKUP(P226,'MunicípiosEstados'!$AC$2:$AD$224,2,FALSE),
  O226="Paraná",((W226*0.15)+(X226*0.7))*VLOOKUP(P226,'MunicípiosEstados'!$AE$2:$AF$400,2,FALSE),
  O226="Pernambuco",((W226*0.15)+(X226*0.7))*VLOOKUP(P226,'MunicípiosEstados'!$AG$2:$AH$186,2,FALSE),
  O226="Piauí",((W226*0.15)+(X226*0.7))*VLOOKUP(P226,'MunicípiosEstados'!$AI$2:$AJ$225,2,FALSE),
  O226="Rio Grande do Norte",((W226*0.15)+(X226*0.7))*VLOOKUP(P226,'MunicípiosEstados'!$AK$2:$AL$168,2,FALSE),
  O226="Rio Grande do Sul",((W226*0.15)+(X226*0.7))*VLOOKUP(P226,'MunicípiosEstados'!$AM$2:$AN$498,2,FALSE),
  O226="Rio de Janeiro",((W226*0.15)+(X226*0.7))*VLOOKUP(P226,'MunicípiosEstados'!$AO$2:$AP$93,2,FALSE),
  O226="Rondônia",((W226*0.15)+(X226*0.7))*VLOOKUP(P226,'MunicípiosEstados'!$AQ$2:$AR$53,2,FALSE),
  O226="Roraima",((W226*0.15)+(X226*0.7))*VLOOKUP(P226,'MunicípiosEstados'!$AS$2:$AT$16,2,FALSE),
  O226="Santa Catarina",((W226*0.15)+(X226*0.7))*VLOOKUP(P226,'MunicípiosEstados'!$AU$2:$AV$296,2,FALSE),
  O226="São Paulo",((W226*0.15)+(X226*0.7))*VLOOKUP(P226,'MunicípiosEstados'!$AW$2:$AX$646,2,FALSE),
  O226="Sergipe",((W226*0.15)+(X226*0.7))*VLOOKUP(P226,'MunicípiosEstados'!$AY$2:$AZ$76,2,FALSE),
  O226="Tocantins",((W226*0.15)+(X226*0.7))*VLOOKUP(P226,'MunicípiosEstados'!$BA$2:$BB$140,2,FALSE),
  O226="Exterior",((W226*0.15)+(X226*0.7))*VLOOKUP(P226,'MunicípiosEstados'!$BC$2:$BE$221,3,FALSE),TRUE,0
)
</f>
        <v>1447.914</v>
      </c>
      <c r="AL226" s="25">
        <f t="shared" si="3"/>
        <v>2468.814</v>
      </c>
      <c r="AN226" s="26"/>
    </row>
    <row r="227" ht="22.5" hidden="1" customHeight="1">
      <c r="A227" s="15">
        <f t="shared" si="1"/>
        <v>226</v>
      </c>
      <c r="B227" s="16">
        <v>45995.73750427083</v>
      </c>
      <c r="C227" s="17" t="s">
        <v>1305</v>
      </c>
      <c r="D227" s="27" t="s">
        <v>443</v>
      </c>
      <c r="E227" s="15" t="str">
        <f>VLOOKUP(G227,DiretoriaDepart.Coord.!$A$1:$C$72,2,FALSE)</f>
        <v>Pesquisa e Inovação</v>
      </c>
      <c r="F227" s="15" t="str">
        <f>VLOOKUP(G227,DiretoriaDepart.Coord.!$A$1:$C$72,3,FALSE)</f>
        <v>Pesquisa e Capacitação</v>
      </c>
      <c r="G227" s="17" t="s">
        <v>501</v>
      </c>
      <c r="H227" s="15"/>
      <c r="I227" s="17" t="s">
        <v>1312</v>
      </c>
      <c r="J227" s="17" t="s">
        <v>490</v>
      </c>
      <c r="K227" s="17">
        <v>2.0</v>
      </c>
      <c r="L227" s="17">
        <v>2.0</v>
      </c>
      <c r="M227" s="17" t="s">
        <v>1313</v>
      </c>
      <c r="N227" s="17">
        <v>200.0</v>
      </c>
      <c r="O227" s="17" t="s">
        <v>714</v>
      </c>
      <c r="P227" s="17" t="s">
        <v>138</v>
      </c>
      <c r="Q227" s="20">
        <v>45894.333333333336</v>
      </c>
      <c r="R227" s="20">
        <v>45897.708333333336</v>
      </c>
      <c r="S227" s="17" t="s">
        <v>464</v>
      </c>
      <c r="T227" s="17" t="s">
        <v>452</v>
      </c>
      <c r="U227" s="21" t="s">
        <v>1314</v>
      </c>
      <c r="V227" s="21" t="s">
        <v>1315</v>
      </c>
      <c r="W227" s="22">
        <v>24.0</v>
      </c>
      <c r="X227" s="22">
        <v>5.0</v>
      </c>
      <c r="Y227" s="23">
        <v>1000.0</v>
      </c>
      <c r="Z227" s="23">
        <v>100.0</v>
      </c>
      <c r="AA227" s="24">
        <v>0.0</v>
      </c>
      <c r="AB227" s="24">
        <v>0.0</v>
      </c>
      <c r="AC227" s="24">
        <v>350.0</v>
      </c>
      <c r="AD227" s="23">
        <v>200.0</v>
      </c>
      <c r="AE227" s="24">
        <v>0.0</v>
      </c>
      <c r="AF227" s="17" t="s">
        <v>451</v>
      </c>
      <c r="AG227" s="17">
        <v>1300.0</v>
      </c>
      <c r="AH227" s="17" t="s">
        <v>451</v>
      </c>
      <c r="AI227" s="25">
        <f>IF(AF227="Sim",INT((R227-Q227+1))*K227*VLOOKUP(P227,'Tabelas Auxiliares'!$A$1:$C$400,3,FALSE),0)</f>
        <v>0</v>
      </c>
      <c r="AJ227" s="25">
        <f t="shared" si="2"/>
        <v>910</v>
      </c>
      <c r="AK227" s="25">
        <f>IFS(
  O227="Acre",((W227*0.15)+(X227*0.7))*VLOOKUP(P227,'MunicípiosEstados'!$A$2:$B$23,2,FALSE),
  O227="Alagoas",((W227*0.15)+(X227*0.7))*VLOOKUP(P227,'MunicípiosEstados'!$C$2:$D$103,2,FALSE),
  O227="Amapá",((W227*0.15)+(X227*0.7))*VLOOKUP(P227,'MunicípiosEstados'!$E$2:$F$17,2,FALSE),
  O227="Amazonas",((W227*0.15)+(X227*0.7))*VLOOKUP(P227,'MunicípiosEstados'!$G$2:$H$63,2,FALSE),
  O227="Bahia",((W227*0.15)+(X227*0.7))*VLOOKUP(P227,'MunicípiosEstados'!$I$2:$J$418,2,FALSE),
  O227="Ceará",((W227*0.15)+(X227*0.7))*VLOOKUP(P227,'MunicípiosEstados'!$K$2:$L$185,2,FALSE),
  O227="Distrito Federal",((W227*0.15)+(X227*0.7))*VLOOKUP(P227,'MunicípiosEstados'!$M$2:$N$2,2,FALSE),
  O227="Espírito Santo",((W227*0.15)+(X227*0.7))*VLOOKUP(P227,'MunicípiosEstados'!$O$2:$P$79,2,FALSE),
  O227="Goiás",((W227*0.15)+(X227*0.7))*VLOOKUP(P227,'MunicípiosEstados'!$Q$2:$R$247,2,FALSE),
  O227="Maranhão",((W227*0.15)+(X227*0.7))*VLOOKUP(P227,'MunicípiosEstados'!$S$2:$T$218,2,FALSE),
  O227="Mato Grosso",((W227*0.15)+(X227*0.7))*VLOOKUP(P227,'MunicípiosEstados'!$U$2:$V$143,2,FALSE),
  O227="Mato Grosso do Sul",((W227*0.15)+(X227*0.7))*VLOOKUP(P227,'MunicípiosEstados'!$W$2:$X$80,2,FALSE),
  O227="Minas Gerais",((W227*0.15)+(X227*0.7))*VLOOKUP(P227,'MunicípiosEstados'!$Y$2:$Z$854,2,FALSE),
  O227="Pará",((W227*0.15)+(X227*0.7))*VLOOKUP(P227,'MunicípiosEstados'!$AA$2:$AB$145,2,FALSE),
  O227="Paraíba",((W227*0.15)+(X227*0.7))*VLOOKUP(P227,'MunicípiosEstados'!$AC$2:$AD$224,2,FALSE),
  O227="Paraná",((W227*0.15)+(X227*0.7))*VLOOKUP(P227,'MunicípiosEstados'!$AE$2:$AF$400,2,FALSE),
  O227="Pernambuco",((W227*0.15)+(X227*0.7))*VLOOKUP(P227,'MunicípiosEstados'!$AG$2:$AH$186,2,FALSE),
  O227="Piauí",((W227*0.15)+(X227*0.7))*VLOOKUP(P227,'MunicípiosEstados'!$AI$2:$AJ$225,2,FALSE),
  O227="Rio Grande do Norte",((W227*0.15)+(X227*0.7))*VLOOKUP(P227,'MunicípiosEstados'!$AK$2:$AL$168,2,FALSE),
  O227="Rio Grande do Sul",((W227*0.15)+(X227*0.7))*VLOOKUP(P227,'MunicípiosEstados'!$AM$2:$AN$498,2,FALSE),
  O227="Rio de Janeiro",((W227*0.15)+(X227*0.7))*VLOOKUP(P227,'MunicípiosEstados'!$AO$2:$AP$93,2,FALSE),
  O227="Rondônia",((W227*0.15)+(X227*0.7))*VLOOKUP(P227,'MunicípiosEstados'!$AQ$2:$AR$53,2,FALSE),
  O227="Roraima",((W227*0.15)+(X227*0.7))*VLOOKUP(P227,'MunicípiosEstados'!$AS$2:$AT$16,2,FALSE),
  O227="Santa Catarina",((W227*0.15)+(X227*0.7))*VLOOKUP(P227,'MunicípiosEstados'!$AU$2:$AV$296,2,FALSE),
  O227="São Paulo",((W227*0.15)+(X227*0.7))*VLOOKUP(P227,'MunicípiosEstados'!$AW$2:$AX$646,2,FALSE),
  O227="Sergipe",((W227*0.15)+(X227*0.7))*VLOOKUP(P227,'MunicípiosEstados'!$AY$2:$AZ$76,2,FALSE),
  O227="Tocantins",((W227*0.15)+(X227*0.7))*VLOOKUP(P227,'MunicípiosEstados'!$BA$2:$BB$140,2,FALSE),
  O227="Exterior",((W227*0.15)+(X227*0.7))*VLOOKUP(P227,'MunicípiosEstados'!$BC$2:$BE$221,3,FALSE),TRUE,0
)
</f>
        <v>2062.905</v>
      </c>
      <c r="AL227" s="25">
        <f t="shared" si="3"/>
        <v>4622.905</v>
      </c>
      <c r="AN227" s="26"/>
    </row>
    <row r="228" ht="22.5" hidden="1" customHeight="1">
      <c r="A228" s="15">
        <f t="shared" si="1"/>
        <v>227</v>
      </c>
      <c r="B228" s="16">
        <v>45996.45181626157</v>
      </c>
      <c r="C228" s="17" t="s">
        <v>487</v>
      </c>
      <c r="D228" s="27" t="s">
        <v>443</v>
      </c>
      <c r="E228" s="15" t="str">
        <f>VLOOKUP(G228,DiretoriaDepart.Coord.!$A$1:$C$72,2,FALSE)</f>
        <v>Extensão Rural</v>
      </c>
      <c r="F228" s="15" t="str">
        <f>VLOOKUP(G228,DiretoriaDepart.Coord.!$A$1:$C$72,3,FALSE)</f>
        <v>Projetos e Cadeias Produtivas</v>
      </c>
      <c r="G228" s="17" t="s">
        <v>488</v>
      </c>
      <c r="H228" s="15"/>
      <c r="I228" s="17" t="s">
        <v>1091</v>
      </c>
      <c r="J228" s="17" t="s">
        <v>728</v>
      </c>
      <c r="K228" s="17">
        <v>20.0</v>
      </c>
      <c r="L228" s="15"/>
      <c r="M228" s="17" t="s">
        <v>970</v>
      </c>
      <c r="N228" s="17">
        <v>0.0</v>
      </c>
      <c r="O228" s="17" t="s">
        <v>714</v>
      </c>
      <c r="P228" s="17" t="s">
        <v>21</v>
      </c>
      <c r="Q228" s="20">
        <v>45762.333333333336</v>
      </c>
      <c r="R228" s="20">
        <v>45762.708333333336</v>
      </c>
      <c r="S228" s="17" t="s">
        <v>451</v>
      </c>
      <c r="T228" s="17" t="s">
        <v>452</v>
      </c>
      <c r="U228" s="28" t="s">
        <v>1303</v>
      </c>
      <c r="V228" s="28" t="s">
        <v>1304</v>
      </c>
      <c r="W228" s="22">
        <v>30.0</v>
      </c>
      <c r="X228" s="22">
        <v>10.0</v>
      </c>
      <c r="Y228" s="23">
        <v>0.0</v>
      </c>
      <c r="Z228" s="23">
        <v>0.0</v>
      </c>
      <c r="AA228" s="24">
        <v>0.0</v>
      </c>
      <c r="AB228" s="24">
        <v>0.0</v>
      </c>
      <c r="AC228" s="24">
        <v>0.0</v>
      </c>
      <c r="AD228" s="23">
        <v>0.0</v>
      </c>
      <c r="AE228" s="24">
        <v>0.0</v>
      </c>
      <c r="AF228" s="17" t="s">
        <v>464</v>
      </c>
      <c r="AG228" s="17">
        <v>2000.0</v>
      </c>
      <c r="AH228" s="17" t="s">
        <v>464</v>
      </c>
      <c r="AI228" s="25">
        <f>IF(AF228="Sim",INT((R228-Q228+1))*K228*VLOOKUP(P228,'Tabelas Auxiliares'!$A$1:$C$400,3,FALSE),0)</f>
        <v>426.6</v>
      </c>
      <c r="AJ228" s="25">
        <f t="shared" si="2"/>
        <v>1400</v>
      </c>
      <c r="AK228" s="25">
        <f>IFS(
  O228="Acre",((W228*0.15)+(X228*0.7))*VLOOKUP(P228,'MunicípiosEstados'!$A$2:$B$23,2,FALSE),
  O228="Alagoas",((W228*0.15)+(X228*0.7))*VLOOKUP(P228,'MunicípiosEstados'!$C$2:$D$103,2,FALSE),
  O228="Amapá",((W228*0.15)+(X228*0.7))*VLOOKUP(P228,'MunicípiosEstados'!$E$2:$F$17,2,FALSE),
  O228="Amazonas",((W228*0.15)+(X228*0.7))*VLOOKUP(P228,'MunicípiosEstados'!$G$2:$H$63,2,FALSE),
  O228="Bahia",((W228*0.15)+(X228*0.7))*VLOOKUP(P228,'MunicípiosEstados'!$I$2:$J$418,2,FALSE),
  O228="Ceará",((W228*0.15)+(X228*0.7))*VLOOKUP(P228,'MunicípiosEstados'!$K$2:$L$185,2,FALSE),
  O228="Distrito Federal",((W228*0.15)+(X228*0.7))*VLOOKUP(P228,'MunicípiosEstados'!$M$2:$N$2,2,FALSE),
  O228="Espírito Santo",((W228*0.15)+(X228*0.7))*VLOOKUP(P228,'MunicípiosEstados'!$O$2:$P$79,2,FALSE),
  O228="Goiás",((W228*0.15)+(X228*0.7))*VLOOKUP(P228,'MunicípiosEstados'!$Q$2:$R$247,2,FALSE),
  O228="Maranhão",((W228*0.15)+(X228*0.7))*VLOOKUP(P228,'MunicípiosEstados'!$S$2:$T$218,2,FALSE),
  O228="Mato Grosso",((W228*0.15)+(X228*0.7))*VLOOKUP(P228,'MunicípiosEstados'!$U$2:$V$143,2,FALSE),
  O228="Mato Grosso do Sul",((W228*0.15)+(X228*0.7))*VLOOKUP(P228,'MunicípiosEstados'!$W$2:$X$80,2,FALSE),
  O228="Minas Gerais",((W228*0.15)+(X228*0.7))*VLOOKUP(P228,'MunicípiosEstados'!$Y$2:$Z$854,2,FALSE),
  O228="Pará",((W228*0.15)+(X228*0.7))*VLOOKUP(P228,'MunicípiosEstados'!$AA$2:$AB$145,2,FALSE),
  O228="Paraíba",((W228*0.15)+(X228*0.7))*VLOOKUP(P228,'MunicípiosEstados'!$AC$2:$AD$224,2,FALSE),
  O228="Paraná",((W228*0.15)+(X228*0.7))*VLOOKUP(P228,'MunicípiosEstados'!$AE$2:$AF$400,2,FALSE),
  O228="Pernambuco",((W228*0.15)+(X228*0.7))*VLOOKUP(P228,'MunicípiosEstados'!$AG$2:$AH$186,2,FALSE),
  O228="Piauí",((W228*0.15)+(X228*0.7))*VLOOKUP(P228,'MunicípiosEstados'!$AI$2:$AJ$225,2,FALSE),
  O228="Rio Grande do Norte",((W228*0.15)+(X228*0.7))*VLOOKUP(P228,'MunicípiosEstados'!$AK$2:$AL$168,2,FALSE),
  O228="Rio Grande do Sul",((W228*0.15)+(X228*0.7))*VLOOKUP(P228,'MunicípiosEstados'!$AM$2:$AN$498,2,FALSE),
  O228="Rio de Janeiro",((W228*0.15)+(X228*0.7))*VLOOKUP(P228,'MunicípiosEstados'!$AO$2:$AP$93,2,FALSE),
  O228="Rondônia",((W228*0.15)+(X228*0.7))*VLOOKUP(P228,'MunicípiosEstados'!$AQ$2:$AR$53,2,FALSE),
  O228="Roraima",((W228*0.15)+(X228*0.7))*VLOOKUP(P228,'MunicípiosEstados'!$AS$2:$AT$16,2,FALSE),
  O228="Santa Catarina",((W228*0.15)+(X228*0.7))*VLOOKUP(P228,'MunicípiosEstados'!$AU$2:$AV$296,2,FALSE),
  O228="São Paulo",((W228*0.15)+(X228*0.7))*VLOOKUP(P228,'MunicípiosEstados'!$AW$2:$AX$646,2,FALSE),
  O228="Sergipe",((W228*0.15)+(X228*0.7))*VLOOKUP(P228,'MunicípiosEstados'!$AY$2:$AZ$76,2,FALSE),
  O228="Tocantins",((W228*0.15)+(X228*0.7))*VLOOKUP(P228,'MunicípiosEstados'!$BA$2:$BB$140,2,FALSE),
  O228="Exterior",((W228*0.15)+(X228*0.7))*VLOOKUP(P228,'MunicípiosEstados'!$BC$2:$BE$221,3,FALSE),TRUE,0
)
</f>
        <v>3341.325</v>
      </c>
      <c r="AL228" s="25">
        <f t="shared" si="3"/>
        <v>5167.925</v>
      </c>
      <c r="AN228" s="31"/>
    </row>
    <row r="229" ht="22.5" hidden="1" customHeight="1">
      <c r="A229" s="15">
        <f t="shared" si="1"/>
        <v>228</v>
      </c>
      <c r="B229" s="16">
        <v>45996.45360983796</v>
      </c>
      <c r="C229" s="17" t="s">
        <v>487</v>
      </c>
      <c r="D229" s="27" t="s">
        <v>443</v>
      </c>
      <c r="E229" s="15" t="str">
        <f>VLOOKUP(G229,DiretoriaDepart.Coord.!$A$1:$C$72,2,FALSE)</f>
        <v>Extensão Rural</v>
      </c>
      <c r="F229" s="15" t="str">
        <f>VLOOKUP(G229,DiretoriaDepart.Coord.!$A$1:$C$72,3,FALSE)</f>
        <v>Projetos e Cadeias Produtivas</v>
      </c>
      <c r="G229" s="17" t="s">
        <v>488</v>
      </c>
      <c r="H229" s="15"/>
      <c r="I229" s="17" t="s">
        <v>1091</v>
      </c>
      <c r="J229" s="17" t="s">
        <v>728</v>
      </c>
      <c r="K229" s="17">
        <v>20.0</v>
      </c>
      <c r="L229" s="15"/>
      <c r="M229" s="17" t="s">
        <v>970</v>
      </c>
      <c r="N229" s="17">
        <v>0.0</v>
      </c>
      <c r="O229" s="17" t="s">
        <v>714</v>
      </c>
      <c r="P229" s="17" t="s">
        <v>49</v>
      </c>
      <c r="Q229" s="20">
        <v>45769.333333333336</v>
      </c>
      <c r="R229" s="20">
        <v>45769.708333333336</v>
      </c>
      <c r="S229" s="17" t="s">
        <v>451</v>
      </c>
      <c r="T229" s="17" t="s">
        <v>452</v>
      </c>
      <c r="U229" s="28" t="s">
        <v>1303</v>
      </c>
      <c r="V229" s="28" t="s">
        <v>1304</v>
      </c>
      <c r="W229" s="22">
        <v>30.0</v>
      </c>
      <c r="X229" s="22">
        <v>10.0</v>
      </c>
      <c r="Y229" s="23">
        <v>0.0</v>
      </c>
      <c r="Z229" s="23">
        <v>0.0</v>
      </c>
      <c r="AA229" s="24">
        <v>0.0</v>
      </c>
      <c r="AB229" s="24">
        <v>0.0</v>
      </c>
      <c r="AC229" s="24">
        <v>0.0</v>
      </c>
      <c r="AD229" s="23">
        <v>0.0</v>
      </c>
      <c r="AE229" s="24">
        <v>0.0</v>
      </c>
      <c r="AF229" s="17" t="s">
        <v>464</v>
      </c>
      <c r="AG229" s="17">
        <v>2000.0</v>
      </c>
      <c r="AH229" s="17" t="s">
        <v>464</v>
      </c>
      <c r="AI229" s="25">
        <f>IF(AF229="Sim",INT((R229-Q229+1))*K229*VLOOKUP(P229,'Tabelas Auxiliares'!$A$1:$C$400,3,FALSE),0)</f>
        <v>431.6</v>
      </c>
      <c r="AJ229" s="25">
        <f t="shared" si="2"/>
        <v>1400</v>
      </c>
      <c r="AK229" s="25">
        <f>IFS(
  O229="Acre",((W229*0.15)+(X229*0.7))*VLOOKUP(P229,'MunicípiosEstados'!$A$2:$B$23,2,FALSE),
  O229="Alagoas",((W229*0.15)+(X229*0.7))*VLOOKUP(P229,'MunicípiosEstados'!$C$2:$D$103,2,FALSE),
  O229="Amapá",((W229*0.15)+(X229*0.7))*VLOOKUP(P229,'MunicípiosEstados'!$E$2:$F$17,2,FALSE),
  O229="Amazonas",((W229*0.15)+(X229*0.7))*VLOOKUP(P229,'MunicípiosEstados'!$G$2:$H$63,2,FALSE),
  O229="Bahia",((W229*0.15)+(X229*0.7))*VLOOKUP(P229,'MunicípiosEstados'!$I$2:$J$418,2,FALSE),
  O229="Ceará",((W229*0.15)+(X229*0.7))*VLOOKUP(P229,'MunicípiosEstados'!$K$2:$L$185,2,FALSE),
  O229="Distrito Federal",((W229*0.15)+(X229*0.7))*VLOOKUP(P229,'MunicípiosEstados'!$M$2:$N$2,2,FALSE),
  O229="Espírito Santo",((W229*0.15)+(X229*0.7))*VLOOKUP(P229,'MunicípiosEstados'!$O$2:$P$79,2,FALSE),
  O229="Goiás",((W229*0.15)+(X229*0.7))*VLOOKUP(P229,'MunicípiosEstados'!$Q$2:$R$247,2,FALSE),
  O229="Maranhão",((W229*0.15)+(X229*0.7))*VLOOKUP(P229,'MunicípiosEstados'!$S$2:$T$218,2,FALSE),
  O229="Mato Grosso",((W229*0.15)+(X229*0.7))*VLOOKUP(P229,'MunicípiosEstados'!$U$2:$V$143,2,FALSE),
  O229="Mato Grosso do Sul",((W229*0.15)+(X229*0.7))*VLOOKUP(P229,'MunicípiosEstados'!$W$2:$X$80,2,FALSE),
  O229="Minas Gerais",((W229*0.15)+(X229*0.7))*VLOOKUP(P229,'MunicípiosEstados'!$Y$2:$Z$854,2,FALSE),
  O229="Pará",((W229*0.15)+(X229*0.7))*VLOOKUP(P229,'MunicípiosEstados'!$AA$2:$AB$145,2,FALSE),
  O229="Paraíba",((W229*0.15)+(X229*0.7))*VLOOKUP(P229,'MunicípiosEstados'!$AC$2:$AD$224,2,FALSE),
  O229="Paraná",((W229*0.15)+(X229*0.7))*VLOOKUP(P229,'MunicípiosEstados'!$AE$2:$AF$400,2,FALSE),
  O229="Pernambuco",((W229*0.15)+(X229*0.7))*VLOOKUP(P229,'MunicípiosEstados'!$AG$2:$AH$186,2,FALSE),
  O229="Piauí",((W229*0.15)+(X229*0.7))*VLOOKUP(P229,'MunicípiosEstados'!$AI$2:$AJ$225,2,FALSE),
  O229="Rio Grande do Norte",((W229*0.15)+(X229*0.7))*VLOOKUP(P229,'MunicípiosEstados'!$AK$2:$AL$168,2,FALSE),
  O229="Rio Grande do Sul",((W229*0.15)+(X229*0.7))*VLOOKUP(P229,'MunicípiosEstados'!$AM$2:$AN$498,2,FALSE),
  O229="Rio de Janeiro",((W229*0.15)+(X229*0.7))*VLOOKUP(P229,'MunicípiosEstados'!$AO$2:$AP$93,2,FALSE),
  O229="Rondônia",((W229*0.15)+(X229*0.7))*VLOOKUP(P229,'MunicípiosEstados'!$AQ$2:$AR$53,2,FALSE),
  O229="Roraima",((W229*0.15)+(X229*0.7))*VLOOKUP(P229,'MunicípiosEstados'!$AS$2:$AT$16,2,FALSE),
  O229="Santa Catarina",((W229*0.15)+(X229*0.7))*VLOOKUP(P229,'MunicípiosEstados'!$AU$2:$AV$296,2,FALSE),
  O229="São Paulo",((W229*0.15)+(X229*0.7))*VLOOKUP(P229,'MunicípiosEstados'!$AW$2:$AX$646,2,FALSE),
  O229="Sergipe",((W229*0.15)+(X229*0.7))*VLOOKUP(P229,'MunicípiosEstados'!$AY$2:$AZ$76,2,FALSE),
  O229="Tocantins",((W229*0.15)+(X229*0.7))*VLOOKUP(P229,'MunicípiosEstados'!$BA$2:$BB$140,2,FALSE),
  O229="Exterior",((W229*0.15)+(X229*0.7))*VLOOKUP(P229,'MunicípiosEstados'!$BC$2:$BE$221,3,FALSE),TRUE,0
)
</f>
        <v>3341.325</v>
      </c>
      <c r="AL229" s="25">
        <f t="shared" si="3"/>
        <v>5172.925</v>
      </c>
      <c r="AN229" s="31"/>
    </row>
    <row r="230" ht="22.5" hidden="1" customHeight="1">
      <c r="A230" s="15">
        <f t="shared" si="1"/>
        <v>229</v>
      </c>
      <c r="B230" s="16">
        <v>45996.46078112269</v>
      </c>
      <c r="C230" s="17" t="s">
        <v>487</v>
      </c>
      <c r="D230" s="27" t="s">
        <v>443</v>
      </c>
      <c r="E230" s="15" t="str">
        <f>VLOOKUP(G230,DiretoriaDepart.Coord.!$A$1:$C$72,2,FALSE)</f>
        <v>Extensão Rural</v>
      </c>
      <c r="F230" s="15" t="str">
        <f>VLOOKUP(G230,DiretoriaDepart.Coord.!$A$1:$C$72,3,FALSE)</f>
        <v>Projetos e Cadeias Produtivas</v>
      </c>
      <c r="G230" s="17" t="s">
        <v>488</v>
      </c>
      <c r="H230" s="15"/>
      <c r="I230" s="17" t="s">
        <v>1098</v>
      </c>
      <c r="J230" s="17" t="s">
        <v>728</v>
      </c>
      <c r="K230" s="17">
        <v>20.0</v>
      </c>
      <c r="L230" s="15"/>
      <c r="M230" s="17" t="s">
        <v>1074</v>
      </c>
      <c r="N230" s="17">
        <v>0.0</v>
      </c>
      <c r="O230" s="17" t="s">
        <v>714</v>
      </c>
      <c r="P230" s="17" t="s">
        <v>4</v>
      </c>
      <c r="Q230" s="20">
        <v>45789.333333333336</v>
      </c>
      <c r="R230" s="20">
        <v>45790.708333333336</v>
      </c>
      <c r="S230" s="17" t="s">
        <v>451</v>
      </c>
      <c r="T230" s="17" t="s">
        <v>452</v>
      </c>
      <c r="U230" s="28" t="s">
        <v>1099</v>
      </c>
      <c r="V230" s="28" t="s">
        <v>1100</v>
      </c>
      <c r="W230" s="22">
        <v>100.0</v>
      </c>
      <c r="X230" s="22">
        <v>40.0</v>
      </c>
      <c r="Y230" s="23">
        <v>0.0</v>
      </c>
      <c r="Z230" s="23">
        <v>0.0</v>
      </c>
      <c r="AA230" s="24">
        <v>0.0</v>
      </c>
      <c r="AB230" s="24">
        <v>0.0</v>
      </c>
      <c r="AC230" s="24">
        <v>0.0</v>
      </c>
      <c r="AD230" s="23">
        <v>0.0</v>
      </c>
      <c r="AE230" s="24">
        <v>0.0</v>
      </c>
      <c r="AF230" s="17" t="s">
        <v>464</v>
      </c>
      <c r="AG230" s="17">
        <v>3000.0</v>
      </c>
      <c r="AH230" s="17" t="s">
        <v>451</v>
      </c>
      <c r="AI230" s="25">
        <f>IF(AF230="Sim",INT((R230-Q230+1))*K230*VLOOKUP(P230,'Tabelas Auxiliares'!$A$1:$C$400,3,FALSE),0)</f>
        <v>905.6</v>
      </c>
      <c r="AJ230" s="25">
        <f t="shared" si="2"/>
        <v>2100</v>
      </c>
      <c r="AK230" s="25">
        <f>IFS(
  O230="Acre",((W230*0.15)+(X230*0.7))*VLOOKUP(P230,'MunicípiosEstados'!$A$2:$B$23,2,FALSE),
  O230="Alagoas",((W230*0.15)+(X230*0.7))*VLOOKUP(P230,'MunicípiosEstados'!$C$2:$D$103,2,FALSE),
  O230="Amapá",((W230*0.15)+(X230*0.7))*VLOOKUP(P230,'MunicípiosEstados'!$E$2:$F$17,2,FALSE),
  O230="Amazonas",((W230*0.15)+(X230*0.7))*VLOOKUP(P230,'MunicípiosEstados'!$G$2:$H$63,2,FALSE),
  O230="Bahia",((W230*0.15)+(X230*0.7))*VLOOKUP(P230,'MunicípiosEstados'!$I$2:$J$418,2,FALSE),
  O230="Ceará",((W230*0.15)+(X230*0.7))*VLOOKUP(P230,'MunicípiosEstados'!$K$2:$L$185,2,FALSE),
  O230="Distrito Federal",((W230*0.15)+(X230*0.7))*VLOOKUP(P230,'MunicípiosEstados'!$M$2:$N$2,2,FALSE),
  O230="Espírito Santo",((W230*0.15)+(X230*0.7))*VLOOKUP(P230,'MunicípiosEstados'!$O$2:$P$79,2,FALSE),
  O230="Goiás",((W230*0.15)+(X230*0.7))*VLOOKUP(P230,'MunicípiosEstados'!$Q$2:$R$247,2,FALSE),
  O230="Maranhão",((W230*0.15)+(X230*0.7))*VLOOKUP(P230,'MunicípiosEstados'!$S$2:$T$218,2,FALSE),
  O230="Mato Grosso",((W230*0.15)+(X230*0.7))*VLOOKUP(P230,'MunicípiosEstados'!$U$2:$V$143,2,FALSE),
  O230="Mato Grosso do Sul",((W230*0.15)+(X230*0.7))*VLOOKUP(P230,'MunicípiosEstados'!$W$2:$X$80,2,FALSE),
  O230="Minas Gerais",((W230*0.15)+(X230*0.7))*VLOOKUP(P230,'MunicípiosEstados'!$Y$2:$Z$854,2,FALSE),
  O230="Pará",((W230*0.15)+(X230*0.7))*VLOOKUP(P230,'MunicípiosEstados'!$AA$2:$AB$145,2,FALSE),
  O230="Paraíba",((W230*0.15)+(X230*0.7))*VLOOKUP(P230,'MunicípiosEstados'!$AC$2:$AD$224,2,FALSE),
  O230="Paraná",((W230*0.15)+(X230*0.7))*VLOOKUP(P230,'MunicípiosEstados'!$AE$2:$AF$400,2,FALSE),
  O230="Pernambuco",((W230*0.15)+(X230*0.7))*VLOOKUP(P230,'MunicípiosEstados'!$AG$2:$AH$186,2,FALSE),
  O230="Piauí",((W230*0.15)+(X230*0.7))*VLOOKUP(P230,'MunicípiosEstados'!$AI$2:$AJ$225,2,FALSE),
  O230="Rio Grande do Norte",((W230*0.15)+(X230*0.7))*VLOOKUP(P230,'MunicípiosEstados'!$AK$2:$AL$168,2,FALSE),
  O230="Rio Grande do Sul",((W230*0.15)+(X230*0.7))*VLOOKUP(P230,'MunicípiosEstados'!$AM$2:$AN$498,2,FALSE),
  O230="Rio de Janeiro",((W230*0.15)+(X230*0.7))*VLOOKUP(P230,'MunicípiosEstados'!$AO$2:$AP$93,2,FALSE),
  O230="Rondônia",((W230*0.15)+(X230*0.7))*VLOOKUP(P230,'MunicípiosEstados'!$AQ$2:$AR$53,2,FALSE),
  O230="Roraima",((W230*0.15)+(X230*0.7))*VLOOKUP(P230,'MunicípiosEstados'!$AS$2:$AT$16,2,FALSE),
  O230="Santa Catarina",((W230*0.15)+(X230*0.7))*VLOOKUP(P230,'MunicípiosEstados'!$AU$2:$AV$296,2,FALSE),
  O230="São Paulo",((W230*0.15)+(X230*0.7))*VLOOKUP(P230,'MunicípiosEstados'!$AW$2:$AX$646,2,FALSE),
  O230="Sergipe",((W230*0.15)+(X230*0.7))*VLOOKUP(P230,'MunicípiosEstados'!$AY$2:$AZ$76,2,FALSE),
  O230="Tocantins",((W230*0.15)+(X230*0.7))*VLOOKUP(P230,'MunicípiosEstados'!$BA$2:$BB$140,2,FALSE),
  O230="Exterior",((W230*0.15)+(X230*0.7))*VLOOKUP(P230,'MunicípiosEstados'!$BC$2:$BE$221,3,FALSE),TRUE,0
)
</f>
        <v>12493.65</v>
      </c>
      <c r="AL230" s="25">
        <f t="shared" si="3"/>
        <v>15499.25</v>
      </c>
      <c r="AN230" s="31"/>
    </row>
    <row r="231" ht="22.5" hidden="1" customHeight="1">
      <c r="A231" s="15">
        <f t="shared" si="1"/>
        <v>230</v>
      </c>
      <c r="B231" s="16">
        <v>45996.56535396991</v>
      </c>
      <c r="C231" s="17" t="s">
        <v>1316</v>
      </c>
      <c r="D231" s="27" t="s">
        <v>456</v>
      </c>
      <c r="E231" s="15" t="str">
        <f>VLOOKUP(G231,DiretoriaDepart.Coord.!$A$1:$C$72,2,FALSE)</f>
        <v>Pesquisa e Inovação</v>
      </c>
      <c r="F231" s="15" t="str">
        <f>VLOOKUP(G231,DiretoriaDepart.Coord.!$A$1:$C$72,3,FALSE)</f>
        <v>Inovação e Comunicação Científica</v>
      </c>
      <c r="G231" s="17" t="s">
        <v>537</v>
      </c>
      <c r="H231" s="15"/>
      <c r="I231" s="17" t="s">
        <v>1317</v>
      </c>
      <c r="J231" s="17" t="s">
        <v>883</v>
      </c>
      <c r="K231" s="17">
        <v>2.0</v>
      </c>
      <c r="L231" s="17" t="s">
        <v>1318</v>
      </c>
      <c r="M231" s="17" t="s">
        <v>1319</v>
      </c>
      <c r="N231" s="17">
        <v>150.0</v>
      </c>
      <c r="O231" s="17" t="s">
        <v>714</v>
      </c>
      <c r="P231" s="17" t="s">
        <v>6</v>
      </c>
      <c r="Q231" s="20">
        <v>45759.333333333336</v>
      </c>
      <c r="R231" s="20">
        <v>45759.708333333336</v>
      </c>
      <c r="S231" s="17" t="s">
        <v>464</v>
      </c>
      <c r="T231" s="17" t="s">
        <v>452</v>
      </c>
      <c r="U231" s="21" t="s">
        <v>1320</v>
      </c>
      <c r="V231" s="21" t="s">
        <v>1321</v>
      </c>
      <c r="W231" s="22">
        <v>12.0</v>
      </c>
      <c r="X231" s="22">
        <v>2.0</v>
      </c>
      <c r="Y231" s="23">
        <v>350.0</v>
      </c>
      <c r="Z231" s="23">
        <v>0.0</v>
      </c>
      <c r="AA231" s="24">
        <v>0.0</v>
      </c>
      <c r="AB231" s="24">
        <v>0.0</v>
      </c>
      <c r="AC231" s="24">
        <v>0.0</v>
      </c>
      <c r="AD231" s="23">
        <v>0.0</v>
      </c>
      <c r="AE231" s="24">
        <v>0.0</v>
      </c>
      <c r="AF231" s="17" t="s">
        <v>451</v>
      </c>
      <c r="AG231" s="17">
        <v>850.0</v>
      </c>
      <c r="AH231" s="17" t="s">
        <v>451</v>
      </c>
      <c r="AI231" s="25">
        <f>IF(AF231="Sim",INT((R231-Q231+1))*K231*VLOOKUP(P231,'Tabelas Auxiliares'!$A$1:$C$400,3,FALSE),0)</f>
        <v>0</v>
      </c>
      <c r="AJ231" s="25">
        <f t="shared" si="2"/>
        <v>595</v>
      </c>
      <c r="AK231" s="25">
        <f>IFS(
  O231="Acre",((W231*0.15)+(X231*0.7))*VLOOKUP(P231,'MunicípiosEstados'!$A$2:$B$23,2,FALSE),
  O231="Alagoas",((W231*0.15)+(X231*0.7))*VLOOKUP(P231,'MunicípiosEstados'!$C$2:$D$103,2,FALSE),
  O231="Amapá",((W231*0.15)+(X231*0.7))*VLOOKUP(P231,'MunicípiosEstados'!$E$2:$F$17,2,FALSE),
  O231="Amazonas",((W231*0.15)+(X231*0.7))*VLOOKUP(P231,'MunicípiosEstados'!$G$2:$H$63,2,FALSE),
  O231="Bahia",((W231*0.15)+(X231*0.7))*VLOOKUP(P231,'MunicípiosEstados'!$I$2:$J$418,2,FALSE),
  O231="Ceará",((W231*0.15)+(X231*0.7))*VLOOKUP(P231,'MunicípiosEstados'!$K$2:$L$185,2,FALSE),
  O231="Distrito Federal",((W231*0.15)+(X231*0.7))*VLOOKUP(P231,'MunicípiosEstados'!$M$2:$N$2,2,FALSE),
  O231="Espírito Santo",((W231*0.15)+(X231*0.7))*VLOOKUP(P231,'MunicípiosEstados'!$O$2:$P$79,2,FALSE),
  O231="Goiás",((W231*0.15)+(X231*0.7))*VLOOKUP(P231,'MunicípiosEstados'!$Q$2:$R$247,2,FALSE),
  O231="Maranhão",((W231*0.15)+(X231*0.7))*VLOOKUP(P231,'MunicípiosEstados'!$S$2:$T$218,2,FALSE),
  O231="Mato Grosso",((W231*0.15)+(X231*0.7))*VLOOKUP(P231,'MunicípiosEstados'!$U$2:$V$143,2,FALSE),
  O231="Mato Grosso do Sul",((W231*0.15)+(X231*0.7))*VLOOKUP(P231,'MunicípiosEstados'!$W$2:$X$80,2,FALSE),
  O231="Minas Gerais",((W231*0.15)+(X231*0.7))*VLOOKUP(P231,'MunicípiosEstados'!$Y$2:$Z$854,2,FALSE),
  O231="Pará",((W231*0.15)+(X231*0.7))*VLOOKUP(P231,'MunicípiosEstados'!$AA$2:$AB$145,2,FALSE),
  O231="Paraíba",((W231*0.15)+(X231*0.7))*VLOOKUP(P231,'MunicípiosEstados'!$AC$2:$AD$224,2,FALSE),
  O231="Paraná",((W231*0.15)+(X231*0.7))*VLOOKUP(P231,'MunicípiosEstados'!$AE$2:$AF$400,2,FALSE),
  O231="Pernambuco",((W231*0.15)+(X231*0.7))*VLOOKUP(P231,'MunicípiosEstados'!$AG$2:$AH$186,2,FALSE),
  O231="Piauí",((W231*0.15)+(X231*0.7))*VLOOKUP(P231,'MunicípiosEstados'!$AI$2:$AJ$225,2,FALSE),
  O231="Rio Grande do Norte",((W231*0.15)+(X231*0.7))*VLOOKUP(P231,'MunicípiosEstados'!$AK$2:$AL$168,2,FALSE),
  O231="Rio Grande do Sul",((W231*0.15)+(X231*0.7))*VLOOKUP(P231,'MunicípiosEstados'!$AM$2:$AN$498,2,FALSE),
  O231="Rio de Janeiro",((W231*0.15)+(X231*0.7))*VLOOKUP(P231,'MunicípiosEstados'!$AO$2:$AP$93,2,FALSE),
  O231="Rondônia",((W231*0.15)+(X231*0.7))*VLOOKUP(P231,'MunicípiosEstados'!$AQ$2:$AR$53,2,FALSE),
  O231="Roraima",((W231*0.15)+(X231*0.7))*VLOOKUP(P231,'MunicípiosEstados'!$AS$2:$AT$16,2,FALSE),
  O231="Santa Catarina",((W231*0.15)+(X231*0.7))*VLOOKUP(P231,'MunicípiosEstados'!$AU$2:$AV$296,2,FALSE),
  O231="São Paulo",((W231*0.15)+(X231*0.7))*VLOOKUP(P231,'MunicípiosEstados'!$AW$2:$AX$646,2,FALSE),
  O231="Sergipe",((W231*0.15)+(X231*0.7))*VLOOKUP(P231,'MunicípiosEstados'!$AY$2:$AZ$76,2,FALSE),
  O231="Tocantins",((W231*0.15)+(X231*0.7))*VLOOKUP(P231,'MunicípiosEstados'!$BA$2:$BB$140,2,FALSE),
  O231="Exterior",((W231*0.15)+(X231*0.7))*VLOOKUP(P231,'MunicípiosEstados'!$BC$2:$BE$221,3,FALSE),TRUE,0
)
</f>
        <v>1188.032</v>
      </c>
      <c r="AL231" s="25">
        <f t="shared" si="3"/>
        <v>2133.032</v>
      </c>
      <c r="AN231" s="29" t="s">
        <v>1322</v>
      </c>
    </row>
    <row r="232" ht="22.5" hidden="1" customHeight="1">
      <c r="A232" s="15">
        <f t="shared" si="1"/>
        <v>231</v>
      </c>
      <c r="B232" s="16">
        <v>45996.57759409722</v>
      </c>
      <c r="C232" s="17" t="s">
        <v>887</v>
      </c>
      <c r="D232" s="27" t="s">
        <v>443</v>
      </c>
      <c r="E232" s="15" t="str">
        <f>VLOOKUP(G232,DiretoriaDepart.Coord.!$A$1:$C$72,2,FALSE)</f>
        <v>Extensão Rural</v>
      </c>
      <c r="F232" s="15" t="str">
        <f>VLOOKUP(G232,DiretoriaDepart.Coord.!$A$1:$C$72,3,FALSE)</f>
        <v>Políticas Públicas</v>
      </c>
      <c r="G232" s="17" t="s">
        <v>888</v>
      </c>
      <c r="H232" s="15"/>
      <c r="I232" s="17" t="s">
        <v>1323</v>
      </c>
      <c r="J232" s="17" t="s">
        <v>728</v>
      </c>
      <c r="K232" s="17">
        <v>50.0</v>
      </c>
      <c r="L232" s="15"/>
      <c r="M232" s="17" t="s">
        <v>804</v>
      </c>
      <c r="N232" s="17">
        <v>10.0</v>
      </c>
      <c r="O232" s="17" t="s">
        <v>714</v>
      </c>
      <c r="P232" s="17" t="s">
        <v>6</v>
      </c>
      <c r="Q232" s="20">
        <v>45809.333333333336</v>
      </c>
      <c r="R232" s="20">
        <v>45810.708333333336</v>
      </c>
      <c r="S232" s="17" t="s">
        <v>451</v>
      </c>
      <c r="T232" s="17" t="s">
        <v>1000</v>
      </c>
      <c r="U232" s="21" t="s">
        <v>1324</v>
      </c>
      <c r="V232" s="21" t="s">
        <v>1325</v>
      </c>
      <c r="W232" s="22">
        <v>270.0</v>
      </c>
      <c r="X232" s="22">
        <v>90.0</v>
      </c>
      <c r="Y232" s="23">
        <v>0.0</v>
      </c>
      <c r="Z232" s="23">
        <v>0.0</v>
      </c>
      <c r="AA232" s="24">
        <v>0.0</v>
      </c>
      <c r="AB232" s="24">
        <v>0.0</v>
      </c>
      <c r="AC232" s="24">
        <v>0.0</v>
      </c>
      <c r="AD232" s="23">
        <v>0.0</v>
      </c>
      <c r="AE232" s="24">
        <v>0.0</v>
      </c>
      <c r="AF232" s="17" t="s">
        <v>464</v>
      </c>
      <c r="AG232" s="17">
        <v>16244.0</v>
      </c>
      <c r="AH232" s="17" t="s">
        <v>451</v>
      </c>
      <c r="AI232" s="25">
        <f>IF(AF232="Sim",INT((R232-Q232+1))*K232*VLOOKUP(P232,'Tabelas Auxiliares'!$A$1:$C$400,3,FALSE),0)</f>
        <v>2264</v>
      </c>
      <c r="AJ232" s="25">
        <f t="shared" si="2"/>
        <v>11370.8</v>
      </c>
      <c r="AK232" s="25">
        <f>IFS(
  O232="Acre",((W232*0.15)+(X232*0.7))*VLOOKUP(P232,'MunicípiosEstados'!$A$2:$B$23,2,FALSE),
  O232="Alagoas",((W232*0.15)+(X232*0.7))*VLOOKUP(P232,'MunicípiosEstados'!$C$2:$D$103,2,FALSE),
  O232="Amapá",((W232*0.15)+(X232*0.7))*VLOOKUP(P232,'MunicípiosEstados'!$E$2:$F$17,2,FALSE),
  O232="Amazonas",((W232*0.15)+(X232*0.7))*VLOOKUP(P232,'MunicípiosEstados'!$G$2:$H$63,2,FALSE),
  O232="Bahia",((W232*0.15)+(X232*0.7))*VLOOKUP(P232,'MunicípiosEstados'!$I$2:$J$418,2,FALSE),
  O232="Ceará",((W232*0.15)+(X232*0.7))*VLOOKUP(P232,'MunicípiosEstados'!$K$2:$L$185,2,FALSE),
  O232="Distrito Federal",((W232*0.15)+(X232*0.7))*VLOOKUP(P232,'MunicípiosEstados'!$M$2:$N$2,2,FALSE),
  O232="Espírito Santo",((W232*0.15)+(X232*0.7))*VLOOKUP(P232,'MunicípiosEstados'!$O$2:$P$79,2,FALSE),
  O232="Goiás",((W232*0.15)+(X232*0.7))*VLOOKUP(P232,'MunicípiosEstados'!$Q$2:$R$247,2,FALSE),
  O232="Maranhão",((W232*0.15)+(X232*0.7))*VLOOKUP(P232,'MunicípiosEstados'!$S$2:$T$218,2,FALSE),
  O232="Mato Grosso",((W232*0.15)+(X232*0.7))*VLOOKUP(P232,'MunicípiosEstados'!$U$2:$V$143,2,FALSE),
  O232="Mato Grosso do Sul",((W232*0.15)+(X232*0.7))*VLOOKUP(P232,'MunicípiosEstados'!$W$2:$X$80,2,FALSE),
  O232="Minas Gerais",((W232*0.15)+(X232*0.7))*VLOOKUP(P232,'MunicípiosEstados'!$Y$2:$Z$854,2,FALSE),
  O232="Pará",((W232*0.15)+(X232*0.7))*VLOOKUP(P232,'MunicípiosEstados'!$AA$2:$AB$145,2,FALSE),
  O232="Paraíba",((W232*0.15)+(X232*0.7))*VLOOKUP(P232,'MunicípiosEstados'!$AC$2:$AD$224,2,FALSE),
  O232="Paraná",((W232*0.15)+(X232*0.7))*VLOOKUP(P232,'MunicípiosEstados'!$AE$2:$AF$400,2,FALSE),
  O232="Pernambuco",((W232*0.15)+(X232*0.7))*VLOOKUP(P232,'MunicípiosEstados'!$AG$2:$AH$186,2,FALSE),
  O232="Piauí",((W232*0.15)+(X232*0.7))*VLOOKUP(P232,'MunicípiosEstados'!$AI$2:$AJ$225,2,FALSE),
  O232="Rio Grande do Norte",((W232*0.15)+(X232*0.7))*VLOOKUP(P232,'MunicípiosEstados'!$AK$2:$AL$168,2,FALSE),
  O232="Rio Grande do Sul",((W232*0.15)+(X232*0.7))*VLOOKUP(P232,'MunicípiosEstados'!$AM$2:$AN$498,2,FALSE),
  O232="Rio de Janeiro",((W232*0.15)+(X232*0.7))*VLOOKUP(P232,'MunicípiosEstados'!$AO$2:$AP$93,2,FALSE),
  O232="Rondônia",((W232*0.15)+(X232*0.7))*VLOOKUP(P232,'MunicípiosEstados'!$AQ$2:$AR$53,2,FALSE),
  O232="Roraima",((W232*0.15)+(X232*0.7))*VLOOKUP(P232,'MunicípiosEstados'!$AS$2:$AT$16,2,FALSE),
  O232="Santa Catarina",((W232*0.15)+(X232*0.7))*VLOOKUP(P232,'MunicípiosEstados'!$AU$2:$AV$296,2,FALSE),
  O232="São Paulo",((W232*0.15)+(X232*0.7))*VLOOKUP(P232,'MunicípiosEstados'!$AW$2:$AX$646,2,FALSE),
  O232="Sergipe",((W232*0.15)+(X232*0.7))*VLOOKUP(P232,'MunicípiosEstados'!$AY$2:$AZ$76,2,FALSE),
  O232="Tocantins",((W232*0.15)+(X232*0.7))*VLOOKUP(P232,'MunicípiosEstados'!$BA$2:$BB$140,2,FALSE),
  O232="Exterior",((W232*0.15)+(X232*0.7))*VLOOKUP(P232,'MunicípiosEstados'!$BC$2:$BE$221,3,FALSE),TRUE,0
)
</f>
        <v>38425.41</v>
      </c>
      <c r="AL232" s="25">
        <f t="shared" si="3"/>
        <v>52060.21</v>
      </c>
      <c r="AN232" s="31"/>
    </row>
    <row r="233" ht="22.5" hidden="1" customHeight="1">
      <c r="A233" s="15">
        <f t="shared" si="1"/>
        <v>232</v>
      </c>
      <c r="B233" s="16">
        <v>45996.634182662034</v>
      </c>
      <c r="C233" s="17" t="s">
        <v>1326</v>
      </c>
      <c r="D233" s="27" t="s">
        <v>443</v>
      </c>
      <c r="E233" s="15" t="str">
        <f>VLOOKUP(G233,DiretoriaDepart.Coord.!$A$1:$C$72,2,FALSE)</f>
        <v>Extensão Rural</v>
      </c>
      <c r="F233" s="15" t="str">
        <f>VLOOKUP(G233,DiretoriaDepart.Coord.!$A$1:$C$72,3,FALSE)</f>
        <v>Sustentabilidade</v>
      </c>
      <c r="G233" s="17" t="s">
        <v>1032</v>
      </c>
      <c r="H233" s="15"/>
      <c r="I233" s="17" t="s">
        <v>1327</v>
      </c>
      <c r="J233" s="17" t="s">
        <v>728</v>
      </c>
      <c r="K233" s="17">
        <v>44.0</v>
      </c>
      <c r="L233" s="15"/>
      <c r="M233" s="17" t="s">
        <v>1328</v>
      </c>
      <c r="N233" s="17">
        <v>0.0</v>
      </c>
      <c r="O233" s="17" t="s">
        <v>714</v>
      </c>
      <c r="P233" s="17" t="s">
        <v>6</v>
      </c>
      <c r="Q233" s="20">
        <v>45741.333333333336</v>
      </c>
      <c r="R233" s="20">
        <v>45742.708333333336</v>
      </c>
      <c r="S233" s="17" t="s">
        <v>464</v>
      </c>
      <c r="T233" s="17" t="s">
        <v>452</v>
      </c>
      <c r="U233" s="21" t="s">
        <v>1329</v>
      </c>
      <c r="V233" s="21" t="s">
        <v>1330</v>
      </c>
      <c r="W233" s="22">
        <v>352.0</v>
      </c>
      <c r="X233" s="22">
        <v>88.0</v>
      </c>
      <c r="Y233" s="23">
        <v>0.0</v>
      </c>
      <c r="Z233" s="23">
        <v>500.0</v>
      </c>
      <c r="AA233" s="24">
        <v>0.0</v>
      </c>
      <c r="AB233" s="24">
        <v>0.0</v>
      </c>
      <c r="AC233" s="24">
        <v>0.0</v>
      </c>
      <c r="AD233" s="23">
        <v>0.0</v>
      </c>
      <c r="AE233" s="24">
        <v>0.0</v>
      </c>
      <c r="AF233" s="17" t="s">
        <v>464</v>
      </c>
      <c r="AG233" s="17">
        <v>16200.0</v>
      </c>
      <c r="AH233" s="17" t="s">
        <v>464</v>
      </c>
      <c r="AI233" s="25">
        <f>IF(AF233="Sim",INT((R233-Q233+1))*K233*VLOOKUP(P233,'Tabelas Auxiliares'!$A$1:$C$400,3,FALSE),0)</f>
        <v>1992.32</v>
      </c>
      <c r="AJ233" s="25">
        <f t="shared" si="2"/>
        <v>11340</v>
      </c>
      <c r="AK233" s="25">
        <f>IFS(
  O233="Acre",((W233*0.15)+(X233*0.7))*VLOOKUP(P233,'MunicípiosEstados'!$A$2:$B$23,2,FALSE),
  O233="Alagoas",((W233*0.15)+(X233*0.7))*VLOOKUP(P233,'MunicípiosEstados'!$C$2:$D$103,2,FALSE),
  O233="Amapá",((W233*0.15)+(X233*0.7))*VLOOKUP(P233,'MunicípiosEstados'!$E$2:$F$17,2,FALSE),
  O233="Amazonas",((W233*0.15)+(X233*0.7))*VLOOKUP(P233,'MunicípiosEstados'!$G$2:$H$63,2,FALSE),
  O233="Bahia",((W233*0.15)+(X233*0.7))*VLOOKUP(P233,'MunicípiosEstados'!$I$2:$J$418,2,FALSE),
  O233="Ceará",((W233*0.15)+(X233*0.7))*VLOOKUP(P233,'MunicípiosEstados'!$K$2:$L$185,2,FALSE),
  O233="Distrito Federal",((W233*0.15)+(X233*0.7))*VLOOKUP(P233,'MunicípiosEstados'!$M$2:$N$2,2,FALSE),
  O233="Espírito Santo",((W233*0.15)+(X233*0.7))*VLOOKUP(P233,'MunicípiosEstados'!$O$2:$P$79,2,FALSE),
  O233="Goiás",((W233*0.15)+(X233*0.7))*VLOOKUP(P233,'MunicípiosEstados'!$Q$2:$R$247,2,FALSE),
  O233="Maranhão",((W233*0.15)+(X233*0.7))*VLOOKUP(P233,'MunicípiosEstados'!$S$2:$T$218,2,FALSE),
  O233="Mato Grosso",((W233*0.15)+(X233*0.7))*VLOOKUP(P233,'MunicípiosEstados'!$U$2:$V$143,2,FALSE),
  O233="Mato Grosso do Sul",((W233*0.15)+(X233*0.7))*VLOOKUP(P233,'MunicípiosEstados'!$W$2:$X$80,2,FALSE),
  O233="Minas Gerais",((W233*0.15)+(X233*0.7))*VLOOKUP(P233,'MunicípiosEstados'!$Y$2:$Z$854,2,FALSE),
  O233="Pará",((W233*0.15)+(X233*0.7))*VLOOKUP(P233,'MunicípiosEstados'!$AA$2:$AB$145,2,FALSE),
  O233="Paraíba",((W233*0.15)+(X233*0.7))*VLOOKUP(P233,'MunicípiosEstados'!$AC$2:$AD$224,2,FALSE),
  O233="Paraná",((W233*0.15)+(X233*0.7))*VLOOKUP(P233,'MunicípiosEstados'!$AE$2:$AF$400,2,FALSE),
  O233="Pernambuco",((W233*0.15)+(X233*0.7))*VLOOKUP(P233,'MunicípiosEstados'!$AG$2:$AH$186,2,FALSE),
  O233="Piauí",((W233*0.15)+(X233*0.7))*VLOOKUP(P233,'MunicípiosEstados'!$AI$2:$AJ$225,2,FALSE),
  O233="Rio Grande do Norte",((W233*0.15)+(X233*0.7))*VLOOKUP(P233,'MunicípiosEstados'!$AK$2:$AL$168,2,FALSE),
  O233="Rio Grande do Sul",((W233*0.15)+(X233*0.7))*VLOOKUP(P233,'MunicípiosEstados'!$AM$2:$AN$498,2,FALSE),
  O233="Rio de Janeiro",((W233*0.15)+(X233*0.7))*VLOOKUP(P233,'MunicípiosEstados'!$AO$2:$AP$93,2,FALSE),
  O233="Rondônia",((W233*0.15)+(X233*0.7))*VLOOKUP(P233,'MunicípiosEstados'!$AQ$2:$AR$53,2,FALSE),
  O233="Roraima",((W233*0.15)+(X233*0.7))*VLOOKUP(P233,'MunicípiosEstados'!$AS$2:$AT$16,2,FALSE),
  O233="Santa Catarina",((W233*0.15)+(X233*0.7))*VLOOKUP(P233,'MunicípiosEstados'!$AU$2:$AV$296,2,FALSE),
  O233="São Paulo",((W233*0.15)+(X233*0.7))*VLOOKUP(P233,'MunicípiosEstados'!$AW$2:$AX$646,2,FALSE),
  O233="Sergipe",((W233*0.15)+(X233*0.7))*VLOOKUP(P233,'MunicípiosEstados'!$AY$2:$AZ$76,2,FALSE),
  O233="Tocantins",((W233*0.15)+(X233*0.7))*VLOOKUP(P233,'MunicípiosEstados'!$BA$2:$BB$140,2,FALSE),
  O233="Exterior",((W233*0.15)+(X233*0.7))*VLOOKUP(P233,'MunicípiosEstados'!$BC$2:$BE$221,3,FALSE),TRUE,0
)
</f>
        <v>42472.144</v>
      </c>
      <c r="AL233" s="25">
        <f t="shared" si="3"/>
        <v>56304.464</v>
      </c>
      <c r="AN233" s="31"/>
    </row>
    <row r="234" ht="22.5" hidden="1" customHeight="1">
      <c r="A234" s="15">
        <f t="shared" si="1"/>
        <v>233</v>
      </c>
      <c r="B234" s="16">
        <v>45996.64334375</v>
      </c>
      <c r="C234" s="17" t="s">
        <v>1326</v>
      </c>
      <c r="D234" s="27" t="s">
        <v>443</v>
      </c>
      <c r="E234" s="15" t="str">
        <f>VLOOKUP(G234,DiretoriaDepart.Coord.!$A$1:$C$72,2,FALSE)</f>
        <v>Extensão Rural</v>
      </c>
      <c r="F234" s="15" t="str">
        <f>VLOOKUP(G234,DiretoriaDepart.Coord.!$A$1:$C$72,3,FALSE)</f>
        <v>Sustentabilidade</v>
      </c>
      <c r="G234" s="17" t="s">
        <v>1032</v>
      </c>
      <c r="H234" s="15"/>
      <c r="I234" s="17" t="s">
        <v>1331</v>
      </c>
      <c r="J234" s="17" t="s">
        <v>728</v>
      </c>
      <c r="K234" s="17">
        <v>44.0</v>
      </c>
      <c r="L234" s="15"/>
      <c r="M234" s="17" t="s">
        <v>1328</v>
      </c>
      <c r="N234" s="17">
        <v>0.0</v>
      </c>
      <c r="O234" s="17" t="s">
        <v>714</v>
      </c>
      <c r="P234" s="17" t="s">
        <v>6</v>
      </c>
      <c r="Q234" s="20">
        <v>45761.333333333336</v>
      </c>
      <c r="R234" s="20">
        <v>45763.708333333336</v>
      </c>
      <c r="S234" s="17" t="s">
        <v>464</v>
      </c>
      <c r="T234" s="17" t="s">
        <v>452</v>
      </c>
      <c r="U234" s="21" t="s">
        <v>1332</v>
      </c>
      <c r="V234" s="21" t="s">
        <v>1330</v>
      </c>
      <c r="W234" s="22">
        <v>440.0</v>
      </c>
      <c r="X234" s="22">
        <v>176.0</v>
      </c>
      <c r="Y234" s="23">
        <v>0.0</v>
      </c>
      <c r="Z234" s="23">
        <v>500.0</v>
      </c>
      <c r="AA234" s="24">
        <v>0.0</v>
      </c>
      <c r="AB234" s="24">
        <v>0.0</v>
      </c>
      <c r="AC234" s="24">
        <v>0.0</v>
      </c>
      <c r="AD234" s="23">
        <v>0.0</v>
      </c>
      <c r="AE234" s="24">
        <v>0.0</v>
      </c>
      <c r="AF234" s="17" t="s">
        <v>464</v>
      </c>
      <c r="AG234" s="17">
        <v>16200.0</v>
      </c>
      <c r="AH234" s="17" t="s">
        <v>464</v>
      </c>
      <c r="AI234" s="25">
        <f>IF(AF234="Sim",INT((R234-Q234+1))*K234*VLOOKUP(P234,'Tabelas Auxiliares'!$A$1:$C$400,3,FALSE),0)</f>
        <v>2988.48</v>
      </c>
      <c r="AJ234" s="25">
        <f t="shared" si="2"/>
        <v>11340</v>
      </c>
      <c r="AK234" s="25">
        <f>IFS(
  O234="Acre",((W234*0.15)+(X234*0.7))*VLOOKUP(P234,'MunicípiosEstados'!$A$2:$B$23,2,FALSE),
  O234="Alagoas",((W234*0.15)+(X234*0.7))*VLOOKUP(P234,'MunicípiosEstados'!$C$2:$D$103,2,FALSE),
  O234="Amapá",((W234*0.15)+(X234*0.7))*VLOOKUP(P234,'MunicípiosEstados'!$E$2:$F$17,2,FALSE),
  O234="Amazonas",((W234*0.15)+(X234*0.7))*VLOOKUP(P234,'MunicípiosEstados'!$G$2:$H$63,2,FALSE),
  O234="Bahia",((W234*0.15)+(X234*0.7))*VLOOKUP(P234,'MunicípiosEstados'!$I$2:$J$418,2,FALSE),
  O234="Ceará",((W234*0.15)+(X234*0.7))*VLOOKUP(P234,'MunicípiosEstados'!$K$2:$L$185,2,FALSE),
  O234="Distrito Federal",((W234*0.15)+(X234*0.7))*VLOOKUP(P234,'MunicípiosEstados'!$M$2:$N$2,2,FALSE),
  O234="Espírito Santo",((W234*0.15)+(X234*0.7))*VLOOKUP(P234,'MunicípiosEstados'!$O$2:$P$79,2,FALSE),
  O234="Goiás",((W234*0.15)+(X234*0.7))*VLOOKUP(P234,'MunicípiosEstados'!$Q$2:$R$247,2,FALSE),
  O234="Maranhão",((W234*0.15)+(X234*0.7))*VLOOKUP(P234,'MunicípiosEstados'!$S$2:$T$218,2,FALSE),
  O234="Mato Grosso",((W234*0.15)+(X234*0.7))*VLOOKUP(P234,'MunicípiosEstados'!$U$2:$V$143,2,FALSE),
  O234="Mato Grosso do Sul",((W234*0.15)+(X234*0.7))*VLOOKUP(P234,'MunicípiosEstados'!$W$2:$X$80,2,FALSE),
  O234="Minas Gerais",((W234*0.15)+(X234*0.7))*VLOOKUP(P234,'MunicípiosEstados'!$Y$2:$Z$854,2,FALSE),
  O234="Pará",((W234*0.15)+(X234*0.7))*VLOOKUP(P234,'MunicípiosEstados'!$AA$2:$AB$145,2,FALSE),
  O234="Paraíba",((W234*0.15)+(X234*0.7))*VLOOKUP(P234,'MunicípiosEstados'!$AC$2:$AD$224,2,FALSE),
  O234="Paraná",((W234*0.15)+(X234*0.7))*VLOOKUP(P234,'MunicípiosEstados'!$AE$2:$AF$400,2,FALSE),
  O234="Pernambuco",((W234*0.15)+(X234*0.7))*VLOOKUP(P234,'MunicípiosEstados'!$AG$2:$AH$186,2,FALSE),
  O234="Piauí",((W234*0.15)+(X234*0.7))*VLOOKUP(P234,'MunicípiosEstados'!$AI$2:$AJ$225,2,FALSE),
  O234="Rio Grande do Norte",((W234*0.15)+(X234*0.7))*VLOOKUP(P234,'MunicípiosEstados'!$AK$2:$AL$168,2,FALSE),
  O234="Rio Grande do Sul",((W234*0.15)+(X234*0.7))*VLOOKUP(P234,'MunicípiosEstados'!$AM$2:$AN$498,2,FALSE),
  O234="Rio de Janeiro",((W234*0.15)+(X234*0.7))*VLOOKUP(P234,'MunicípiosEstados'!$AO$2:$AP$93,2,FALSE),
  O234="Rondônia",((W234*0.15)+(X234*0.7))*VLOOKUP(P234,'MunicípiosEstados'!$AQ$2:$AR$53,2,FALSE),
  O234="Roraima",((W234*0.15)+(X234*0.7))*VLOOKUP(P234,'MunicípiosEstados'!$AS$2:$AT$16,2,FALSE),
  O234="Santa Catarina",((W234*0.15)+(X234*0.7))*VLOOKUP(P234,'MunicípiosEstados'!$AU$2:$AV$296,2,FALSE),
  O234="São Paulo",((W234*0.15)+(X234*0.7))*VLOOKUP(P234,'MunicípiosEstados'!$AW$2:$AX$646,2,FALSE),
  O234="Sergipe",((W234*0.15)+(X234*0.7))*VLOOKUP(P234,'MunicípiosEstados'!$AY$2:$AZ$76,2,FALSE),
  O234="Tocantins",((W234*0.15)+(X234*0.7))*VLOOKUP(P234,'MunicípiosEstados'!$BA$2:$BB$140,2,FALSE),
  O234="Exterior",((W234*0.15)+(X234*0.7))*VLOOKUP(P234,'MunicípiosEstados'!$BC$2:$BE$221,3,FALSE),TRUE,0
)
</f>
        <v>70242.392</v>
      </c>
      <c r="AL234" s="25">
        <f t="shared" si="3"/>
        <v>85070.872</v>
      </c>
      <c r="AN234" s="31"/>
    </row>
    <row r="235" ht="22.5" hidden="1" customHeight="1">
      <c r="A235" s="15">
        <f t="shared" si="1"/>
        <v>234</v>
      </c>
      <c r="B235" s="16">
        <v>45996.65221165509</v>
      </c>
      <c r="C235" s="17" t="s">
        <v>1326</v>
      </c>
      <c r="D235" s="27" t="s">
        <v>443</v>
      </c>
      <c r="E235" s="15" t="str">
        <f>VLOOKUP(G235,DiretoriaDepart.Coord.!$A$1:$C$72,2,FALSE)</f>
        <v>Extensão Rural</v>
      </c>
      <c r="F235" s="15" t="str">
        <f>VLOOKUP(G235,DiretoriaDepart.Coord.!$A$1:$C$72,3,FALSE)</f>
        <v>Sustentabilidade</v>
      </c>
      <c r="G235" s="17" t="s">
        <v>1032</v>
      </c>
      <c r="H235" s="15"/>
      <c r="I235" s="17" t="s">
        <v>1333</v>
      </c>
      <c r="J235" s="17" t="s">
        <v>728</v>
      </c>
      <c r="K235" s="17">
        <v>44.0</v>
      </c>
      <c r="L235" s="15"/>
      <c r="M235" s="17" t="s">
        <v>1328</v>
      </c>
      <c r="N235" s="17">
        <v>0.0</v>
      </c>
      <c r="O235" s="17" t="s">
        <v>714</v>
      </c>
      <c r="P235" s="17" t="s">
        <v>6</v>
      </c>
      <c r="Q235" s="20">
        <v>45804.333333333336</v>
      </c>
      <c r="R235" s="20">
        <v>45805.708333333336</v>
      </c>
      <c r="S235" s="17" t="s">
        <v>464</v>
      </c>
      <c r="T235" s="17" t="s">
        <v>452</v>
      </c>
      <c r="U235" s="21" t="s">
        <v>1334</v>
      </c>
      <c r="V235" s="21" t="s">
        <v>1330</v>
      </c>
      <c r="W235" s="22">
        <v>352.0</v>
      </c>
      <c r="X235" s="22">
        <v>132.0</v>
      </c>
      <c r="Y235" s="23">
        <v>0.0</v>
      </c>
      <c r="Z235" s="23">
        <v>500.0</v>
      </c>
      <c r="AA235" s="24">
        <v>0.0</v>
      </c>
      <c r="AB235" s="24">
        <v>0.0</v>
      </c>
      <c r="AC235" s="24">
        <v>0.0</v>
      </c>
      <c r="AD235" s="23">
        <v>0.0</v>
      </c>
      <c r="AE235" s="24">
        <v>0.0</v>
      </c>
      <c r="AF235" s="17" t="s">
        <v>464</v>
      </c>
      <c r="AG235" s="17">
        <v>16200.0</v>
      </c>
      <c r="AH235" s="17" t="s">
        <v>464</v>
      </c>
      <c r="AI235" s="25">
        <f>IF(AF235="Sim",INT((R235-Q235+1))*K235*VLOOKUP(P235,'Tabelas Auxiliares'!$A$1:$C$400,3,FALSE),0)</f>
        <v>1992.32</v>
      </c>
      <c r="AJ235" s="25">
        <f t="shared" si="2"/>
        <v>11340</v>
      </c>
      <c r="AK235" s="25">
        <f>IFS(
  O235="Acre",((W235*0.15)+(X235*0.7))*VLOOKUP(P235,'MunicípiosEstados'!$A$2:$B$23,2,FALSE),
  O235="Alagoas",((W235*0.15)+(X235*0.7))*VLOOKUP(P235,'MunicípiosEstados'!$C$2:$D$103,2,FALSE),
  O235="Amapá",((W235*0.15)+(X235*0.7))*VLOOKUP(P235,'MunicípiosEstados'!$E$2:$F$17,2,FALSE),
  O235="Amazonas",((W235*0.15)+(X235*0.7))*VLOOKUP(P235,'MunicípiosEstados'!$G$2:$H$63,2,FALSE),
  O235="Bahia",((W235*0.15)+(X235*0.7))*VLOOKUP(P235,'MunicípiosEstados'!$I$2:$J$418,2,FALSE),
  O235="Ceará",((W235*0.15)+(X235*0.7))*VLOOKUP(P235,'MunicípiosEstados'!$K$2:$L$185,2,FALSE),
  O235="Distrito Federal",((W235*0.15)+(X235*0.7))*VLOOKUP(P235,'MunicípiosEstados'!$M$2:$N$2,2,FALSE),
  O235="Espírito Santo",((W235*0.15)+(X235*0.7))*VLOOKUP(P235,'MunicípiosEstados'!$O$2:$P$79,2,FALSE),
  O235="Goiás",((W235*0.15)+(X235*0.7))*VLOOKUP(P235,'MunicípiosEstados'!$Q$2:$R$247,2,FALSE),
  O235="Maranhão",((W235*0.15)+(X235*0.7))*VLOOKUP(P235,'MunicípiosEstados'!$S$2:$T$218,2,FALSE),
  O235="Mato Grosso",((W235*0.15)+(X235*0.7))*VLOOKUP(P235,'MunicípiosEstados'!$U$2:$V$143,2,FALSE),
  O235="Mato Grosso do Sul",((W235*0.15)+(X235*0.7))*VLOOKUP(P235,'MunicípiosEstados'!$W$2:$X$80,2,FALSE),
  O235="Minas Gerais",((W235*0.15)+(X235*0.7))*VLOOKUP(P235,'MunicípiosEstados'!$Y$2:$Z$854,2,FALSE),
  O235="Pará",((W235*0.15)+(X235*0.7))*VLOOKUP(P235,'MunicípiosEstados'!$AA$2:$AB$145,2,FALSE),
  O235="Paraíba",((W235*0.15)+(X235*0.7))*VLOOKUP(P235,'MunicípiosEstados'!$AC$2:$AD$224,2,FALSE),
  O235="Paraná",((W235*0.15)+(X235*0.7))*VLOOKUP(P235,'MunicípiosEstados'!$AE$2:$AF$400,2,FALSE),
  O235="Pernambuco",((W235*0.15)+(X235*0.7))*VLOOKUP(P235,'MunicípiosEstados'!$AG$2:$AH$186,2,FALSE),
  O235="Piauí",((W235*0.15)+(X235*0.7))*VLOOKUP(P235,'MunicípiosEstados'!$AI$2:$AJ$225,2,FALSE),
  O235="Rio Grande do Norte",((W235*0.15)+(X235*0.7))*VLOOKUP(P235,'MunicípiosEstados'!$AK$2:$AL$168,2,FALSE),
  O235="Rio Grande do Sul",((W235*0.15)+(X235*0.7))*VLOOKUP(P235,'MunicípiosEstados'!$AM$2:$AN$498,2,FALSE),
  O235="Rio de Janeiro",((W235*0.15)+(X235*0.7))*VLOOKUP(P235,'MunicípiosEstados'!$AO$2:$AP$93,2,FALSE),
  O235="Rondônia",((W235*0.15)+(X235*0.7))*VLOOKUP(P235,'MunicípiosEstados'!$AQ$2:$AR$53,2,FALSE),
  O235="Roraima",((W235*0.15)+(X235*0.7))*VLOOKUP(P235,'MunicípiosEstados'!$AS$2:$AT$16,2,FALSE),
  O235="Santa Catarina",((W235*0.15)+(X235*0.7))*VLOOKUP(P235,'MunicípiosEstados'!$AU$2:$AV$296,2,FALSE),
  O235="São Paulo",((W235*0.15)+(X235*0.7))*VLOOKUP(P235,'MunicípiosEstados'!$AW$2:$AX$646,2,FALSE),
  O235="Sergipe",((W235*0.15)+(X235*0.7))*VLOOKUP(P235,'MunicípiosEstados'!$AY$2:$AZ$76,2,FALSE),
  O235="Tocantins",((W235*0.15)+(X235*0.7))*VLOOKUP(P235,'MunicípiosEstados'!$BA$2:$BB$140,2,FALSE),
  O235="Exterior",((W235*0.15)+(X235*0.7))*VLOOKUP(P235,'MunicípiosEstados'!$BC$2:$BE$221,3,FALSE),TRUE,0
)
</f>
        <v>53906.952</v>
      </c>
      <c r="AL235" s="25">
        <f t="shared" si="3"/>
        <v>67739.272</v>
      </c>
      <c r="AN235" s="31"/>
    </row>
    <row r="236" ht="22.5" hidden="1" customHeight="1">
      <c r="A236" s="15">
        <f t="shared" si="1"/>
        <v>235</v>
      </c>
      <c r="B236" s="16">
        <v>45996.657966388884</v>
      </c>
      <c r="C236" s="17" t="s">
        <v>1326</v>
      </c>
      <c r="D236" s="27" t="s">
        <v>443</v>
      </c>
      <c r="E236" s="15" t="str">
        <f>VLOOKUP(G236,DiretoriaDepart.Coord.!$A$1:$C$72,2,FALSE)</f>
        <v>Extensão Rural</v>
      </c>
      <c r="F236" s="15" t="str">
        <f>VLOOKUP(G236,DiretoriaDepart.Coord.!$A$1:$C$72,3,FALSE)</f>
        <v>Sustentabilidade</v>
      </c>
      <c r="G236" s="17" t="s">
        <v>1032</v>
      </c>
      <c r="H236" s="15"/>
      <c r="I236" s="17" t="s">
        <v>1335</v>
      </c>
      <c r="J236" s="17" t="s">
        <v>728</v>
      </c>
      <c r="K236" s="17">
        <v>44.0</v>
      </c>
      <c r="L236" s="15"/>
      <c r="M236" s="17" t="s">
        <v>1328</v>
      </c>
      <c r="N236" s="17">
        <v>0.0</v>
      </c>
      <c r="O236" s="17" t="s">
        <v>714</v>
      </c>
      <c r="P236" s="17" t="s">
        <v>6</v>
      </c>
      <c r="Q236" s="20">
        <v>45832.333333333336</v>
      </c>
      <c r="R236" s="20">
        <v>45833.708333333336</v>
      </c>
      <c r="S236" s="17" t="s">
        <v>464</v>
      </c>
      <c r="T236" s="17" t="s">
        <v>452</v>
      </c>
      <c r="U236" s="21" t="s">
        <v>1336</v>
      </c>
      <c r="V236" s="21" t="s">
        <v>1330</v>
      </c>
      <c r="W236" s="22">
        <v>352.0</v>
      </c>
      <c r="X236" s="22">
        <v>132.0</v>
      </c>
      <c r="Y236" s="23">
        <v>0.0</v>
      </c>
      <c r="Z236" s="23">
        <v>500.0</v>
      </c>
      <c r="AA236" s="24">
        <v>0.0</v>
      </c>
      <c r="AB236" s="24">
        <v>0.0</v>
      </c>
      <c r="AC236" s="24">
        <v>0.0</v>
      </c>
      <c r="AD236" s="23">
        <v>0.0</v>
      </c>
      <c r="AE236" s="24">
        <v>0.0</v>
      </c>
      <c r="AF236" s="17" t="s">
        <v>464</v>
      </c>
      <c r="AG236" s="17">
        <v>16200.0</v>
      </c>
      <c r="AH236" s="17" t="s">
        <v>464</v>
      </c>
      <c r="AI236" s="25">
        <f>IF(AF236="Sim",INT((R236-Q236+1))*K236*VLOOKUP(P236,'Tabelas Auxiliares'!$A$1:$C$400,3,FALSE),0)</f>
        <v>1992.32</v>
      </c>
      <c r="AJ236" s="25">
        <f t="shared" si="2"/>
        <v>11340</v>
      </c>
      <c r="AK236" s="25">
        <f>IFS(
  O236="Acre",((W236*0.15)+(X236*0.7))*VLOOKUP(P236,'MunicípiosEstados'!$A$2:$B$23,2,FALSE),
  O236="Alagoas",((W236*0.15)+(X236*0.7))*VLOOKUP(P236,'MunicípiosEstados'!$C$2:$D$103,2,FALSE),
  O236="Amapá",((W236*0.15)+(X236*0.7))*VLOOKUP(P236,'MunicípiosEstados'!$E$2:$F$17,2,FALSE),
  O236="Amazonas",((W236*0.15)+(X236*0.7))*VLOOKUP(P236,'MunicípiosEstados'!$G$2:$H$63,2,FALSE),
  O236="Bahia",((W236*0.15)+(X236*0.7))*VLOOKUP(P236,'MunicípiosEstados'!$I$2:$J$418,2,FALSE),
  O236="Ceará",((W236*0.15)+(X236*0.7))*VLOOKUP(P236,'MunicípiosEstados'!$K$2:$L$185,2,FALSE),
  O236="Distrito Federal",((W236*0.15)+(X236*0.7))*VLOOKUP(P236,'MunicípiosEstados'!$M$2:$N$2,2,FALSE),
  O236="Espírito Santo",((W236*0.15)+(X236*0.7))*VLOOKUP(P236,'MunicípiosEstados'!$O$2:$P$79,2,FALSE),
  O236="Goiás",((W236*0.15)+(X236*0.7))*VLOOKUP(P236,'MunicípiosEstados'!$Q$2:$R$247,2,FALSE),
  O236="Maranhão",((W236*0.15)+(X236*0.7))*VLOOKUP(P236,'MunicípiosEstados'!$S$2:$T$218,2,FALSE),
  O236="Mato Grosso",((W236*0.15)+(X236*0.7))*VLOOKUP(P236,'MunicípiosEstados'!$U$2:$V$143,2,FALSE),
  O236="Mato Grosso do Sul",((W236*0.15)+(X236*0.7))*VLOOKUP(P236,'MunicípiosEstados'!$W$2:$X$80,2,FALSE),
  O236="Minas Gerais",((W236*0.15)+(X236*0.7))*VLOOKUP(P236,'MunicípiosEstados'!$Y$2:$Z$854,2,FALSE),
  O236="Pará",((W236*0.15)+(X236*0.7))*VLOOKUP(P236,'MunicípiosEstados'!$AA$2:$AB$145,2,FALSE),
  O236="Paraíba",((W236*0.15)+(X236*0.7))*VLOOKUP(P236,'MunicípiosEstados'!$AC$2:$AD$224,2,FALSE),
  O236="Paraná",((W236*0.15)+(X236*0.7))*VLOOKUP(P236,'MunicípiosEstados'!$AE$2:$AF$400,2,FALSE),
  O236="Pernambuco",((W236*0.15)+(X236*0.7))*VLOOKUP(P236,'MunicípiosEstados'!$AG$2:$AH$186,2,FALSE),
  O236="Piauí",((W236*0.15)+(X236*0.7))*VLOOKUP(P236,'MunicípiosEstados'!$AI$2:$AJ$225,2,FALSE),
  O236="Rio Grande do Norte",((W236*0.15)+(X236*0.7))*VLOOKUP(P236,'MunicípiosEstados'!$AK$2:$AL$168,2,FALSE),
  O236="Rio Grande do Sul",((W236*0.15)+(X236*0.7))*VLOOKUP(P236,'MunicípiosEstados'!$AM$2:$AN$498,2,FALSE),
  O236="Rio de Janeiro",((W236*0.15)+(X236*0.7))*VLOOKUP(P236,'MunicípiosEstados'!$AO$2:$AP$93,2,FALSE),
  O236="Rondônia",((W236*0.15)+(X236*0.7))*VLOOKUP(P236,'MunicípiosEstados'!$AQ$2:$AR$53,2,FALSE),
  O236="Roraima",((W236*0.15)+(X236*0.7))*VLOOKUP(P236,'MunicípiosEstados'!$AS$2:$AT$16,2,FALSE),
  O236="Santa Catarina",((W236*0.15)+(X236*0.7))*VLOOKUP(P236,'MunicípiosEstados'!$AU$2:$AV$296,2,FALSE),
  O236="São Paulo",((W236*0.15)+(X236*0.7))*VLOOKUP(P236,'MunicípiosEstados'!$AW$2:$AX$646,2,FALSE),
  O236="Sergipe",((W236*0.15)+(X236*0.7))*VLOOKUP(P236,'MunicípiosEstados'!$AY$2:$AZ$76,2,FALSE),
  O236="Tocantins",((W236*0.15)+(X236*0.7))*VLOOKUP(P236,'MunicípiosEstados'!$BA$2:$BB$140,2,FALSE),
  O236="Exterior",((W236*0.15)+(X236*0.7))*VLOOKUP(P236,'MunicípiosEstados'!$BC$2:$BE$221,3,FALSE),TRUE,0
)
</f>
        <v>53906.952</v>
      </c>
      <c r="AL236" s="25">
        <f t="shared" si="3"/>
        <v>67739.272</v>
      </c>
      <c r="AN236" s="31"/>
    </row>
    <row r="237" ht="22.5" hidden="1" customHeight="1">
      <c r="A237" s="15">
        <f t="shared" si="1"/>
        <v>236</v>
      </c>
      <c r="B237" s="16">
        <v>45996.66156190972</v>
      </c>
      <c r="C237" s="17" t="s">
        <v>1326</v>
      </c>
      <c r="D237" s="27" t="s">
        <v>443</v>
      </c>
      <c r="E237" s="15" t="str">
        <f>VLOOKUP(G237,DiretoriaDepart.Coord.!$A$1:$C$72,2,FALSE)</f>
        <v>Extensão Rural</v>
      </c>
      <c r="F237" s="15" t="str">
        <f>VLOOKUP(G237,DiretoriaDepart.Coord.!$A$1:$C$72,3,FALSE)</f>
        <v>Sustentabilidade</v>
      </c>
      <c r="G237" s="17" t="s">
        <v>1032</v>
      </c>
      <c r="H237" s="15"/>
      <c r="I237" s="17" t="s">
        <v>1337</v>
      </c>
      <c r="J237" s="17" t="s">
        <v>728</v>
      </c>
      <c r="K237" s="17">
        <v>44.0</v>
      </c>
      <c r="L237" s="15"/>
      <c r="M237" s="17" t="s">
        <v>1328</v>
      </c>
      <c r="N237" s="17">
        <v>0.0</v>
      </c>
      <c r="O237" s="17" t="s">
        <v>714</v>
      </c>
      <c r="P237" s="17" t="s">
        <v>6</v>
      </c>
      <c r="Q237" s="20">
        <v>45830.333333333336</v>
      </c>
      <c r="R237" s="20">
        <v>45831.708333333336</v>
      </c>
      <c r="S237" s="17" t="s">
        <v>464</v>
      </c>
      <c r="T237" s="17" t="s">
        <v>452</v>
      </c>
      <c r="U237" s="21" t="s">
        <v>1338</v>
      </c>
      <c r="V237" s="21" t="s">
        <v>1330</v>
      </c>
      <c r="W237" s="22">
        <v>352.0</v>
      </c>
      <c r="X237" s="22">
        <v>132.0</v>
      </c>
      <c r="Y237" s="23">
        <v>0.0</v>
      </c>
      <c r="Z237" s="23">
        <v>500.0</v>
      </c>
      <c r="AA237" s="24">
        <v>0.0</v>
      </c>
      <c r="AB237" s="24">
        <v>0.0</v>
      </c>
      <c r="AC237" s="24">
        <v>0.0</v>
      </c>
      <c r="AD237" s="23">
        <v>0.0</v>
      </c>
      <c r="AE237" s="24">
        <v>0.0</v>
      </c>
      <c r="AF237" s="17" t="s">
        <v>464</v>
      </c>
      <c r="AG237" s="17">
        <v>16200.0</v>
      </c>
      <c r="AH237" s="17" t="s">
        <v>464</v>
      </c>
      <c r="AI237" s="25">
        <f>IF(AF237="Sim",INT((R237-Q237+1))*K237*VLOOKUP(P237,'Tabelas Auxiliares'!$A$1:$C$400,3,FALSE),0)</f>
        <v>1992.32</v>
      </c>
      <c r="AJ237" s="25">
        <f t="shared" si="2"/>
        <v>11340</v>
      </c>
      <c r="AK237" s="25">
        <f>IFS(
  O237="Acre",((W237*0.15)+(X237*0.7))*VLOOKUP(P237,'MunicípiosEstados'!$A$2:$B$23,2,FALSE),
  O237="Alagoas",((W237*0.15)+(X237*0.7))*VLOOKUP(P237,'MunicípiosEstados'!$C$2:$D$103,2,FALSE),
  O237="Amapá",((W237*0.15)+(X237*0.7))*VLOOKUP(P237,'MunicípiosEstados'!$E$2:$F$17,2,FALSE),
  O237="Amazonas",((W237*0.15)+(X237*0.7))*VLOOKUP(P237,'MunicípiosEstados'!$G$2:$H$63,2,FALSE),
  O237="Bahia",((W237*0.15)+(X237*0.7))*VLOOKUP(P237,'MunicípiosEstados'!$I$2:$J$418,2,FALSE),
  O237="Ceará",((W237*0.15)+(X237*0.7))*VLOOKUP(P237,'MunicípiosEstados'!$K$2:$L$185,2,FALSE),
  O237="Distrito Federal",((W237*0.15)+(X237*0.7))*VLOOKUP(P237,'MunicípiosEstados'!$M$2:$N$2,2,FALSE),
  O237="Espírito Santo",((W237*0.15)+(X237*0.7))*VLOOKUP(P237,'MunicípiosEstados'!$O$2:$P$79,2,FALSE),
  O237="Goiás",((W237*0.15)+(X237*0.7))*VLOOKUP(P237,'MunicípiosEstados'!$Q$2:$R$247,2,FALSE),
  O237="Maranhão",((W237*0.15)+(X237*0.7))*VLOOKUP(P237,'MunicípiosEstados'!$S$2:$T$218,2,FALSE),
  O237="Mato Grosso",((W237*0.15)+(X237*0.7))*VLOOKUP(P237,'MunicípiosEstados'!$U$2:$V$143,2,FALSE),
  O237="Mato Grosso do Sul",((W237*0.15)+(X237*0.7))*VLOOKUP(P237,'MunicípiosEstados'!$W$2:$X$80,2,FALSE),
  O237="Minas Gerais",((W237*0.15)+(X237*0.7))*VLOOKUP(P237,'MunicípiosEstados'!$Y$2:$Z$854,2,FALSE),
  O237="Pará",((W237*0.15)+(X237*0.7))*VLOOKUP(P237,'MunicípiosEstados'!$AA$2:$AB$145,2,FALSE),
  O237="Paraíba",((W237*0.15)+(X237*0.7))*VLOOKUP(P237,'MunicípiosEstados'!$AC$2:$AD$224,2,FALSE),
  O237="Paraná",((W237*0.15)+(X237*0.7))*VLOOKUP(P237,'MunicípiosEstados'!$AE$2:$AF$400,2,FALSE),
  O237="Pernambuco",((W237*0.15)+(X237*0.7))*VLOOKUP(P237,'MunicípiosEstados'!$AG$2:$AH$186,2,FALSE),
  O237="Piauí",((W237*0.15)+(X237*0.7))*VLOOKUP(P237,'MunicípiosEstados'!$AI$2:$AJ$225,2,FALSE),
  O237="Rio Grande do Norte",((W237*0.15)+(X237*0.7))*VLOOKUP(P237,'MunicípiosEstados'!$AK$2:$AL$168,2,FALSE),
  O237="Rio Grande do Sul",((W237*0.15)+(X237*0.7))*VLOOKUP(P237,'MunicípiosEstados'!$AM$2:$AN$498,2,FALSE),
  O237="Rio de Janeiro",((W237*0.15)+(X237*0.7))*VLOOKUP(P237,'MunicípiosEstados'!$AO$2:$AP$93,2,FALSE),
  O237="Rondônia",((W237*0.15)+(X237*0.7))*VLOOKUP(P237,'MunicípiosEstados'!$AQ$2:$AR$53,2,FALSE),
  O237="Roraima",((W237*0.15)+(X237*0.7))*VLOOKUP(P237,'MunicípiosEstados'!$AS$2:$AT$16,2,FALSE),
  O237="Santa Catarina",((W237*0.15)+(X237*0.7))*VLOOKUP(P237,'MunicípiosEstados'!$AU$2:$AV$296,2,FALSE),
  O237="São Paulo",((W237*0.15)+(X237*0.7))*VLOOKUP(P237,'MunicípiosEstados'!$AW$2:$AX$646,2,FALSE),
  O237="Sergipe",((W237*0.15)+(X237*0.7))*VLOOKUP(P237,'MunicípiosEstados'!$AY$2:$AZ$76,2,FALSE),
  O237="Tocantins",((W237*0.15)+(X237*0.7))*VLOOKUP(P237,'MunicípiosEstados'!$BA$2:$BB$140,2,FALSE),
  O237="Exterior",((W237*0.15)+(X237*0.7))*VLOOKUP(P237,'MunicípiosEstados'!$BC$2:$BE$221,3,FALSE),TRUE,0
)
</f>
        <v>53906.952</v>
      </c>
      <c r="AL237" s="25">
        <f t="shared" si="3"/>
        <v>67739.272</v>
      </c>
      <c r="AN237" s="31"/>
    </row>
    <row r="238" ht="22.5" hidden="1" customHeight="1">
      <c r="A238" s="15">
        <f t="shared" si="1"/>
        <v>237</v>
      </c>
      <c r="B238" s="16">
        <v>45996.664145902774</v>
      </c>
      <c r="C238" s="17" t="s">
        <v>1326</v>
      </c>
      <c r="D238" s="27" t="s">
        <v>443</v>
      </c>
      <c r="E238" s="15" t="str">
        <f>VLOOKUP(G238,DiretoriaDepart.Coord.!$A$1:$C$72,2,FALSE)</f>
        <v>Extensão Rural</v>
      </c>
      <c r="F238" s="15" t="str">
        <f>VLOOKUP(G238,DiretoriaDepart.Coord.!$A$1:$C$72,3,FALSE)</f>
        <v>Sustentabilidade</v>
      </c>
      <c r="G238" s="17" t="s">
        <v>1032</v>
      </c>
      <c r="H238" s="15"/>
      <c r="I238" s="17" t="s">
        <v>1339</v>
      </c>
      <c r="J238" s="17" t="s">
        <v>728</v>
      </c>
      <c r="K238" s="17">
        <v>44.0</v>
      </c>
      <c r="L238" s="15"/>
      <c r="M238" s="17" t="s">
        <v>1328</v>
      </c>
      <c r="N238" s="17">
        <v>0.0</v>
      </c>
      <c r="O238" s="17" t="s">
        <v>714</v>
      </c>
      <c r="P238" s="17" t="s">
        <v>6</v>
      </c>
      <c r="Q238" s="20">
        <v>45895.333333333336</v>
      </c>
      <c r="R238" s="20">
        <v>45896.708333333336</v>
      </c>
      <c r="S238" s="17" t="s">
        <v>464</v>
      </c>
      <c r="T238" s="17" t="s">
        <v>452</v>
      </c>
      <c r="U238" s="21" t="s">
        <v>1340</v>
      </c>
      <c r="V238" s="21" t="s">
        <v>1330</v>
      </c>
      <c r="W238" s="22">
        <v>352.0</v>
      </c>
      <c r="X238" s="22">
        <v>132.0</v>
      </c>
      <c r="Y238" s="23">
        <v>0.0</v>
      </c>
      <c r="Z238" s="23">
        <v>500.0</v>
      </c>
      <c r="AA238" s="24">
        <v>0.0</v>
      </c>
      <c r="AB238" s="24">
        <v>0.0</v>
      </c>
      <c r="AC238" s="24">
        <v>0.0</v>
      </c>
      <c r="AD238" s="23">
        <v>0.0</v>
      </c>
      <c r="AE238" s="24">
        <v>0.0</v>
      </c>
      <c r="AF238" s="17" t="s">
        <v>464</v>
      </c>
      <c r="AG238" s="17">
        <v>16200.0</v>
      </c>
      <c r="AH238" s="17" t="s">
        <v>464</v>
      </c>
      <c r="AI238" s="25">
        <f>IF(AF238="Sim",INT((R238-Q238+1))*K238*VLOOKUP(P238,'Tabelas Auxiliares'!$A$1:$C$400,3,FALSE),0)</f>
        <v>1992.32</v>
      </c>
      <c r="AJ238" s="25">
        <f t="shared" si="2"/>
        <v>11340</v>
      </c>
      <c r="AK238" s="25">
        <f>IFS(
  O238="Acre",((W238*0.15)+(X238*0.7))*VLOOKUP(P238,'MunicípiosEstados'!$A$2:$B$23,2,FALSE),
  O238="Alagoas",((W238*0.15)+(X238*0.7))*VLOOKUP(P238,'MunicípiosEstados'!$C$2:$D$103,2,FALSE),
  O238="Amapá",((W238*0.15)+(X238*0.7))*VLOOKUP(P238,'MunicípiosEstados'!$E$2:$F$17,2,FALSE),
  O238="Amazonas",((W238*0.15)+(X238*0.7))*VLOOKUP(P238,'MunicípiosEstados'!$G$2:$H$63,2,FALSE),
  O238="Bahia",((W238*0.15)+(X238*0.7))*VLOOKUP(P238,'MunicípiosEstados'!$I$2:$J$418,2,FALSE),
  O238="Ceará",((W238*0.15)+(X238*0.7))*VLOOKUP(P238,'MunicípiosEstados'!$K$2:$L$185,2,FALSE),
  O238="Distrito Federal",((W238*0.15)+(X238*0.7))*VLOOKUP(P238,'MunicípiosEstados'!$M$2:$N$2,2,FALSE),
  O238="Espírito Santo",((W238*0.15)+(X238*0.7))*VLOOKUP(P238,'MunicípiosEstados'!$O$2:$P$79,2,FALSE),
  O238="Goiás",((W238*0.15)+(X238*0.7))*VLOOKUP(P238,'MunicípiosEstados'!$Q$2:$R$247,2,FALSE),
  O238="Maranhão",((W238*0.15)+(X238*0.7))*VLOOKUP(P238,'MunicípiosEstados'!$S$2:$T$218,2,FALSE),
  O238="Mato Grosso",((W238*0.15)+(X238*0.7))*VLOOKUP(P238,'MunicípiosEstados'!$U$2:$V$143,2,FALSE),
  O238="Mato Grosso do Sul",((W238*0.15)+(X238*0.7))*VLOOKUP(P238,'MunicípiosEstados'!$W$2:$X$80,2,FALSE),
  O238="Minas Gerais",((W238*0.15)+(X238*0.7))*VLOOKUP(P238,'MunicípiosEstados'!$Y$2:$Z$854,2,FALSE),
  O238="Pará",((W238*0.15)+(X238*0.7))*VLOOKUP(P238,'MunicípiosEstados'!$AA$2:$AB$145,2,FALSE),
  O238="Paraíba",((W238*0.15)+(X238*0.7))*VLOOKUP(P238,'MunicípiosEstados'!$AC$2:$AD$224,2,FALSE),
  O238="Paraná",((W238*0.15)+(X238*0.7))*VLOOKUP(P238,'MunicípiosEstados'!$AE$2:$AF$400,2,FALSE),
  O238="Pernambuco",((W238*0.15)+(X238*0.7))*VLOOKUP(P238,'MunicípiosEstados'!$AG$2:$AH$186,2,FALSE),
  O238="Piauí",((W238*0.15)+(X238*0.7))*VLOOKUP(P238,'MunicípiosEstados'!$AI$2:$AJ$225,2,FALSE),
  O238="Rio Grande do Norte",((W238*0.15)+(X238*0.7))*VLOOKUP(P238,'MunicípiosEstados'!$AK$2:$AL$168,2,FALSE),
  O238="Rio Grande do Sul",((W238*0.15)+(X238*0.7))*VLOOKUP(P238,'MunicípiosEstados'!$AM$2:$AN$498,2,FALSE),
  O238="Rio de Janeiro",((W238*0.15)+(X238*0.7))*VLOOKUP(P238,'MunicípiosEstados'!$AO$2:$AP$93,2,FALSE),
  O238="Rondônia",((W238*0.15)+(X238*0.7))*VLOOKUP(P238,'MunicípiosEstados'!$AQ$2:$AR$53,2,FALSE),
  O238="Roraima",((W238*0.15)+(X238*0.7))*VLOOKUP(P238,'MunicípiosEstados'!$AS$2:$AT$16,2,FALSE),
  O238="Santa Catarina",((W238*0.15)+(X238*0.7))*VLOOKUP(P238,'MunicípiosEstados'!$AU$2:$AV$296,2,FALSE),
  O238="São Paulo",((W238*0.15)+(X238*0.7))*VLOOKUP(P238,'MunicípiosEstados'!$AW$2:$AX$646,2,FALSE),
  O238="Sergipe",((W238*0.15)+(X238*0.7))*VLOOKUP(P238,'MunicípiosEstados'!$AY$2:$AZ$76,2,FALSE),
  O238="Tocantins",((W238*0.15)+(X238*0.7))*VLOOKUP(P238,'MunicípiosEstados'!$BA$2:$BB$140,2,FALSE),
  O238="Exterior",((W238*0.15)+(X238*0.7))*VLOOKUP(P238,'MunicípiosEstados'!$BC$2:$BE$221,3,FALSE),TRUE,0
)
</f>
        <v>53906.952</v>
      </c>
      <c r="AL238" s="25">
        <f t="shared" si="3"/>
        <v>67739.272</v>
      </c>
      <c r="AN238" s="31"/>
    </row>
    <row r="239" ht="22.5" hidden="1" customHeight="1">
      <c r="A239" s="15">
        <f t="shared" si="1"/>
        <v>238</v>
      </c>
      <c r="B239" s="16">
        <v>45996.668348113424</v>
      </c>
      <c r="C239" s="17" t="s">
        <v>1326</v>
      </c>
      <c r="D239" s="27" t="s">
        <v>443</v>
      </c>
      <c r="E239" s="15" t="str">
        <f>VLOOKUP(G239,DiretoriaDepart.Coord.!$A$1:$C$72,2,FALSE)</f>
        <v>Extensão Rural</v>
      </c>
      <c r="F239" s="15" t="str">
        <f>VLOOKUP(G239,DiretoriaDepart.Coord.!$A$1:$C$72,3,FALSE)</f>
        <v>Sustentabilidade</v>
      </c>
      <c r="G239" s="17" t="s">
        <v>1032</v>
      </c>
      <c r="H239" s="15"/>
      <c r="I239" s="17" t="s">
        <v>1341</v>
      </c>
      <c r="J239" s="17" t="s">
        <v>728</v>
      </c>
      <c r="K239" s="17">
        <v>44.0</v>
      </c>
      <c r="L239" s="15"/>
      <c r="M239" s="17" t="s">
        <v>1328</v>
      </c>
      <c r="N239" s="17">
        <v>0.0</v>
      </c>
      <c r="O239" s="17" t="s">
        <v>714</v>
      </c>
      <c r="P239" s="17" t="s">
        <v>6</v>
      </c>
      <c r="Q239" s="20">
        <v>45923.333333333336</v>
      </c>
      <c r="R239" s="20">
        <v>45924.708333333336</v>
      </c>
      <c r="S239" s="17" t="s">
        <v>464</v>
      </c>
      <c r="T239" s="17" t="s">
        <v>452</v>
      </c>
      <c r="U239" s="21" t="s">
        <v>1342</v>
      </c>
      <c r="V239" s="21" t="s">
        <v>1330</v>
      </c>
      <c r="W239" s="22">
        <v>352.0</v>
      </c>
      <c r="X239" s="22">
        <v>132.0</v>
      </c>
      <c r="Y239" s="23">
        <v>0.0</v>
      </c>
      <c r="Z239" s="23">
        <v>500.0</v>
      </c>
      <c r="AA239" s="24">
        <v>0.0</v>
      </c>
      <c r="AB239" s="24">
        <v>0.0</v>
      </c>
      <c r="AC239" s="24">
        <v>0.0</v>
      </c>
      <c r="AD239" s="23">
        <v>0.0</v>
      </c>
      <c r="AE239" s="24">
        <v>0.0</v>
      </c>
      <c r="AF239" s="17" t="s">
        <v>464</v>
      </c>
      <c r="AG239" s="17">
        <v>16200.0</v>
      </c>
      <c r="AH239" s="17" t="s">
        <v>464</v>
      </c>
      <c r="AI239" s="25">
        <f>IF(AF239="Sim",INT((R239-Q239+1))*K239*VLOOKUP(P239,'Tabelas Auxiliares'!$A$1:$C$400,3,FALSE),0)</f>
        <v>1992.32</v>
      </c>
      <c r="AJ239" s="25">
        <f t="shared" si="2"/>
        <v>11340</v>
      </c>
      <c r="AK239" s="25">
        <f>IFS(
  O239="Acre",((W239*0.15)+(X239*0.7))*VLOOKUP(P239,'MunicípiosEstados'!$A$2:$B$23,2,FALSE),
  O239="Alagoas",((W239*0.15)+(X239*0.7))*VLOOKUP(P239,'MunicípiosEstados'!$C$2:$D$103,2,FALSE),
  O239="Amapá",((W239*0.15)+(X239*0.7))*VLOOKUP(P239,'MunicípiosEstados'!$E$2:$F$17,2,FALSE),
  O239="Amazonas",((W239*0.15)+(X239*0.7))*VLOOKUP(P239,'MunicípiosEstados'!$G$2:$H$63,2,FALSE),
  O239="Bahia",((W239*0.15)+(X239*0.7))*VLOOKUP(P239,'MunicípiosEstados'!$I$2:$J$418,2,FALSE),
  O239="Ceará",((W239*0.15)+(X239*0.7))*VLOOKUP(P239,'MunicípiosEstados'!$K$2:$L$185,2,FALSE),
  O239="Distrito Federal",((W239*0.15)+(X239*0.7))*VLOOKUP(P239,'MunicípiosEstados'!$M$2:$N$2,2,FALSE),
  O239="Espírito Santo",((W239*0.15)+(X239*0.7))*VLOOKUP(P239,'MunicípiosEstados'!$O$2:$P$79,2,FALSE),
  O239="Goiás",((W239*0.15)+(X239*0.7))*VLOOKUP(P239,'MunicípiosEstados'!$Q$2:$R$247,2,FALSE),
  O239="Maranhão",((W239*0.15)+(X239*0.7))*VLOOKUP(P239,'MunicípiosEstados'!$S$2:$T$218,2,FALSE),
  O239="Mato Grosso",((W239*0.15)+(X239*0.7))*VLOOKUP(P239,'MunicípiosEstados'!$U$2:$V$143,2,FALSE),
  O239="Mato Grosso do Sul",((W239*0.15)+(X239*0.7))*VLOOKUP(P239,'MunicípiosEstados'!$W$2:$X$80,2,FALSE),
  O239="Minas Gerais",((W239*0.15)+(X239*0.7))*VLOOKUP(P239,'MunicípiosEstados'!$Y$2:$Z$854,2,FALSE),
  O239="Pará",((W239*0.15)+(X239*0.7))*VLOOKUP(P239,'MunicípiosEstados'!$AA$2:$AB$145,2,FALSE),
  O239="Paraíba",((W239*0.15)+(X239*0.7))*VLOOKUP(P239,'MunicípiosEstados'!$AC$2:$AD$224,2,FALSE),
  O239="Paraná",((W239*0.15)+(X239*0.7))*VLOOKUP(P239,'MunicípiosEstados'!$AE$2:$AF$400,2,FALSE),
  O239="Pernambuco",((W239*0.15)+(X239*0.7))*VLOOKUP(P239,'MunicípiosEstados'!$AG$2:$AH$186,2,FALSE),
  O239="Piauí",((W239*0.15)+(X239*0.7))*VLOOKUP(P239,'MunicípiosEstados'!$AI$2:$AJ$225,2,FALSE),
  O239="Rio Grande do Norte",((W239*0.15)+(X239*0.7))*VLOOKUP(P239,'MunicípiosEstados'!$AK$2:$AL$168,2,FALSE),
  O239="Rio Grande do Sul",((W239*0.15)+(X239*0.7))*VLOOKUP(P239,'MunicípiosEstados'!$AM$2:$AN$498,2,FALSE),
  O239="Rio de Janeiro",((W239*0.15)+(X239*0.7))*VLOOKUP(P239,'MunicípiosEstados'!$AO$2:$AP$93,2,FALSE),
  O239="Rondônia",((W239*0.15)+(X239*0.7))*VLOOKUP(P239,'MunicípiosEstados'!$AQ$2:$AR$53,2,FALSE),
  O239="Roraima",((W239*0.15)+(X239*0.7))*VLOOKUP(P239,'MunicípiosEstados'!$AS$2:$AT$16,2,FALSE),
  O239="Santa Catarina",((W239*0.15)+(X239*0.7))*VLOOKUP(P239,'MunicípiosEstados'!$AU$2:$AV$296,2,FALSE),
  O239="São Paulo",((W239*0.15)+(X239*0.7))*VLOOKUP(P239,'MunicípiosEstados'!$AW$2:$AX$646,2,FALSE),
  O239="Sergipe",((W239*0.15)+(X239*0.7))*VLOOKUP(P239,'MunicípiosEstados'!$AY$2:$AZ$76,2,FALSE),
  O239="Tocantins",((W239*0.15)+(X239*0.7))*VLOOKUP(P239,'MunicípiosEstados'!$BA$2:$BB$140,2,FALSE),
  O239="Exterior",((W239*0.15)+(X239*0.7))*VLOOKUP(P239,'MunicípiosEstados'!$BC$2:$BE$221,3,FALSE),TRUE,0
)
</f>
        <v>53906.952</v>
      </c>
      <c r="AL239" s="25">
        <f t="shared" si="3"/>
        <v>67739.272</v>
      </c>
      <c r="AN239" s="31"/>
    </row>
    <row r="240" ht="22.5" hidden="1" customHeight="1">
      <c r="A240" s="15">
        <f t="shared" si="1"/>
        <v>239</v>
      </c>
      <c r="B240" s="16">
        <v>45996.67334767361</v>
      </c>
      <c r="C240" s="17" t="s">
        <v>1326</v>
      </c>
      <c r="D240" s="27" t="s">
        <v>443</v>
      </c>
      <c r="E240" s="15" t="str">
        <f>VLOOKUP(G240,DiretoriaDepart.Coord.!$A$1:$C$72,2,FALSE)</f>
        <v>Extensão Rural</v>
      </c>
      <c r="F240" s="15" t="str">
        <f>VLOOKUP(G240,DiretoriaDepart.Coord.!$A$1:$C$72,3,FALSE)</f>
        <v>Sustentabilidade</v>
      </c>
      <c r="G240" s="17" t="s">
        <v>1032</v>
      </c>
      <c r="H240" s="15"/>
      <c r="I240" s="17" t="s">
        <v>1343</v>
      </c>
      <c r="J240" s="17" t="s">
        <v>728</v>
      </c>
      <c r="K240" s="17">
        <v>44.0</v>
      </c>
      <c r="L240" s="15"/>
      <c r="M240" s="17" t="s">
        <v>1328</v>
      </c>
      <c r="N240" s="17">
        <v>0.0</v>
      </c>
      <c r="O240" s="17" t="s">
        <v>714</v>
      </c>
      <c r="P240" s="17" t="s">
        <v>6</v>
      </c>
      <c r="Q240" s="20">
        <v>45951.333333333336</v>
      </c>
      <c r="R240" s="20">
        <v>45952.708333333336</v>
      </c>
      <c r="S240" s="17" t="s">
        <v>464</v>
      </c>
      <c r="T240" s="17" t="s">
        <v>452</v>
      </c>
      <c r="U240" s="28" t="s">
        <v>1344</v>
      </c>
      <c r="V240" s="21" t="s">
        <v>1330</v>
      </c>
      <c r="W240" s="22">
        <v>352.0</v>
      </c>
      <c r="X240" s="22">
        <v>132.0</v>
      </c>
      <c r="Y240" s="23">
        <v>0.0</v>
      </c>
      <c r="Z240" s="23">
        <v>500.0</v>
      </c>
      <c r="AA240" s="24">
        <v>0.0</v>
      </c>
      <c r="AB240" s="24">
        <v>0.0</v>
      </c>
      <c r="AC240" s="24">
        <v>0.0</v>
      </c>
      <c r="AD240" s="23">
        <v>0.0</v>
      </c>
      <c r="AE240" s="24">
        <v>0.0</v>
      </c>
      <c r="AF240" s="17" t="s">
        <v>464</v>
      </c>
      <c r="AG240" s="17">
        <v>16200.0</v>
      </c>
      <c r="AH240" s="17" t="s">
        <v>464</v>
      </c>
      <c r="AI240" s="25">
        <f>IF(AF240="Sim",INT((R240-Q240+1))*K240*VLOOKUP(P240,'Tabelas Auxiliares'!$A$1:$C$400,3,FALSE),0)</f>
        <v>1992.32</v>
      </c>
      <c r="AJ240" s="25">
        <f t="shared" si="2"/>
        <v>11340</v>
      </c>
      <c r="AK240" s="25">
        <f>IFS(
  O240="Acre",((W240*0.15)+(X240*0.7))*VLOOKUP(P240,'MunicípiosEstados'!$A$2:$B$23,2,FALSE),
  O240="Alagoas",((W240*0.15)+(X240*0.7))*VLOOKUP(P240,'MunicípiosEstados'!$C$2:$D$103,2,FALSE),
  O240="Amapá",((W240*0.15)+(X240*0.7))*VLOOKUP(P240,'MunicípiosEstados'!$E$2:$F$17,2,FALSE),
  O240="Amazonas",((W240*0.15)+(X240*0.7))*VLOOKUP(P240,'MunicípiosEstados'!$G$2:$H$63,2,FALSE),
  O240="Bahia",((W240*0.15)+(X240*0.7))*VLOOKUP(P240,'MunicípiosEstados'!$I$2:$J$418,2,FALSE),
  O240="Ceará",((W240*0.15)+(X240*0.7))*VLOOKUP(P240,'MunicípiosEstados'!$K$2:$L$185,2,FALSE),
  O240="Distrito Federal",((W240*0.15)+(X240*0.7))*VLOOKUP(P240,'MunicípiosEstados'!$M$2:$N$2,2,FALSE),
  O240="Espírito Santo",((W240*0.15)+(X240*0.7))*VLOOKUP(P240,'MunicípiosEstados'!$O$2:$P$79,2,FALSE),
  O240="Goiás",((W240*0.15)+(X240*0.7))*VLOOKUP(P240,'MunicípiosEstados'!$Q$2:$R$247,2,FALSE),
  O240="Maranhão",((W240*0.15)+(X240*0.7))*VLOOKUP(P240,'MunicípiosEstados'!$S$2:$T$218,2,FALSE),
  O240="Mato Grosso",((W240*0.15)+(X240*0.7))*VLOOKUP(P240,'MunicípiosEstados'!$U$2:$V$143,2,FALSE),
  O240="Mato Grosso do Sul",((W240*0.15)+(X240*0.7))*VLOOKUP(P240,'MunicípiosEstados'!$W$2:$X$80,2,FALSE),
  O240="Minas Gerais",((W240*0.15)+(X240*0.7))*VLOOKUP(P240,'MunicípiosEstados'!$Y$2:$Z$854,2,FALSE),
  O240="Pará",((W240*0.15)+(X240*0.7))*VLOOKUP(P240,'MunicípiosEstados'!$AA$2:$AB$145,2,FALSE),
  O240="Paraíba",((W240*0.15)+(X240*0.7))*VLOOKUP(P240,'MunicípiosEstados'!$AC$2:$AD$224,2,FALSE),
  O240="Paraná",((W240*0.15)+(X240*0.7))*VLOOKUP(P240,'MunicípiosEstados'!$AE$2:$AF$400,2,FALSE),
  O240="Pernambuco",((W240*0.15)+(X240*0.7))*VLOOKUP(P240,'MunicípiosEstados'!$AG$2:$AH$186,2,FALSE),
  O240="Piauí",((W240*0.15)+(X240*0.7))*VLOOKUP(P240,'MunicípiosEstados'!$AI$2:$AJ$225,2,FALSE),
  O240="Rio Grande do Norte",((W240*0.15)+(X240*0.7))*VLOOKUP(P240,'MunicípiosEstados'!$AK$2:$AL$168,2,FALSE),
  O240="Rio Grande do Sul",((W240*0.15)+(X240*0.7))*VLOOKUP(P240,'MunicípiosEstados'!$AM$2:$AN$498,2,FALSE),
  O240="Rio de Janeiro",((W240*0.15)+(X240*0.7))*VLOOKUP(P240,'MunicípiosEstados'!$AO$2:$AP$93,2,FALSE),
  O240="Rondônia",((W240*0.15)+(X240*0.7))*VLOOKUP(P240,'MunicípiosEstados'!$AQ$2:$AR$53,2,FALSE),
  O240="Roraima",((W240*0.15)+(X240*0.7))*VLOOKUP(P240,'MunicípiosEstados'!$AS$2:$AT$16,2,FALSE),
  O240="Santa Catarina",((W240*0.15)+(X240*0.7))*VLOOKUP(P240,'MunicípiosEstados'!$AU$2:$AV$296,2,FALSE),
  O240="São Paulo",((W240*0.15)+(X240*0.7))*VLOOKUP(P240,'MunicípiosEstados'!$AW$2:$AX$646,2,FALSE),
  O240="Sergipe",((W240*0.15)+(X240*0.7))*VLOOKUP(P240,'MunicípiosEstados'!$AY$2:$AZ$76,2,FALSE),
  O240="Tocantins",((W240*0.15)+(X240*0.7))*VLOOKUP(P240,'MunicípiosEstados'!$BA$2:$BB$140,2,FALSE),
  O240="Exterior",((W240*0.15)+(X240*0.7))*VLOOKUP(P240,'MunicípiosEstados'!$BC$2:$BE$221,3,FALSE),TRUE,0
)
</f>
        <v>53906.952</v>
      </c>
      <c r="AL240" s="25">
        <f t="shared" si="3"/>
        <v>67739.272</v>
      </c>
      <c r="AN240" s="31"/>
    </row>
    <row r="241" ht="22.5" hidden="1" customHeight="1">
      <c r="A241" s="15">
        <f t="shared" si="1"/>
        <v>240</v>
      </c>
      <c r="B241" s="16">
        <v>45996.68179179398</v>
      </c>
      <c r="C241" s="17" t="s">
        <v>1326</v>
      </c>
      <c r="D241" s="27" t="s">
        <v>443</v>
      </c>
      <c r="E241" s="15" t="str">
        <f>VLOOKUP(G241,DiretoriaDepart.Coord.!$A$1:$C$72,2,FALSE)</f>
        <v>Extensão Rural</v>
      </c>
      <c r="F241" s="15" t="str">
        <f>VLOOKUP(G241,DiretoriaDepart.Coord.!$A$1:$C$72,3,FALSE)</f>
        <v>Sustentabilidade</v>
      </c>
      <c r="G241" s="17" t="s">
        <v>1032</v>
      </c>
      <c r="H241" s="15"/>
      <c r="I241" s="17" t="s">
        <v>1345</v>
      </c>
      <c r="J241" s="17" t="s">
        <v>719</v>
      </c>
      <c r="K241" s="17">
        <v>15.0</v>
      </c>
      <c r="L241" s="15"/>
      <c r="M241" s="17" t="s">
        <v>1328</v>
      </c>
      <c r="N241" s="17">
        <v>0.0</v>
      </c>
      <c r="O241" s="17" t="s">
        <v>714</v>
      </c>
      <c r="P241" s="17" t="s">
        <v>130</v>
      </c>
      <c r="Q241" s="20">
        <v>45726.333333333336</v>
      </c>
      <c r="R241" s="20">
        <v>45726.708333333336</v>
      </c>
      <c r="S241" s="17" t="s">
        <v>464</v>
      </c>
      <c r="T241" s="17" t="s">
        <v>452</v>
      </c>
      <c r="U241" s="28" t="s">
        <v>1346</v>
      </c>
      <c r="V241" s="21" t="s">
        <v>1347</v>
      </c>
      <c r="W241" s="22">
        <v>16.0</v>
      </c>
      <c r="X241" s="22">
        <v>2.0</v>
      </c>
      <c r="Y241" s="23">
        <v>0.0</v>
      </c>
      <c r="Z241" s="23">
        <v>500.0</v>
      </c>
      <c r="AA241" s="24">
        <v>0.0</v>
      </c>
      <c r="AB241" s="24">
        <v>0.0</v>
      </c>
      <c r="AC241" s="24">
        <v>0.0</v>
      </c>
      <c r="AD241" s="23">
        <v>0.0</v>
      </c>
      <c r="AE241" s="24">
        <v>0.0</v>
      </c>
      <c r="AF241" s="17" t="s">
        <v>464</v>
      </c>
      <c r="AG241" s="17">
        <v>1550.0</v>
      </c>
      <c r="AH241" s="17" t="s">
        <v>464</v>
      </c>
      <c r="AI241" s="25">
        <f>IF(AF241="Sim",INT((R241-Q241+1))*K241*VLOOKUP(P241,'Tabelas Auxiliares'!$A$1:$C$400,3,FALSE),0)</f>
        <v>339.6</v>
      </c>
      <c r="AJ241" s="25">
        <f t="shared" si="2"/>
        <v>1085</v>
      </c>
      <c r="AK241" s="25">
        <f>IFS(
  O241="Acre",((W241*0.15)+(X241*0.7))*VLOOKUP(P241,'MunicípiosEstados'!$A$2:$B$23,2,FALSE),
  O241="Alagoas",((W241*0.15)+(X241*0.7))*VLOOKUP(P241,'MunicípiosEstados'!$C$2:$D$103,2,FALSE),
  O241="Amapá",((W241*0.15)+(X241*0.7))*VLOOKUP(P241,'MunicípiosEstados'!$E$2:$F$17,2,FALSE),
  O241="Amazonas",((W241*0.15)+(X241*0.7))*VLOOKUP(P241,'MunicípiosEstados'!$G$2:$H$63,2,FALSE),
  O241="Bahia",((W241*0.15)+(X241*0.7))*VLOOKUP(P241,'MunicípiosEstados'!$I$2:$J$418,2,FALSE),
  O241="Ceará",((W241*0.15)+(X241*0.7))*VLOOKUP(P241,'MunicípiosEstados'!$K$2:$L$185,2,FALSE),
  O241="Distrito Federal",((W241*0.15)+(X241*0.7))*VLOOKUP(P241,'MunicípiosEstados'!$M$2:$N$2,2,FALSE),
  O241="Espírito Santo",((W241*0.15)+(X241*0.7))*VLOOKUP(P241,'MunicípiosEstados'!$O$2:$P$79,2,FALSE),
  O241="Goiás",((W241*0.15)+(X241*0.7))*VLOOKUP(P241,'MunicípiosEstados'!$Q$2:$R$247,2,FALSE),
  O241="Maranhão",((W241*0.15)+(X241*0.7))*VLOOKUP(P241,'MunicípiosEstados'!$S$2:$T$218,2,FALSE),
  O241="Mato Grosso",((W241*0.15)+(X241*0.7))*VLOOKUP(P241,'MunicípiosEstados'!$U$2:$V$143,2,FALSE),
  O241="Mato Grosso do Sul",((W241*0.15)+(X241*0.7))*VLOOKUP(P241,'MunicípiosEstados'!$W$2:$X$80,2,FALSE),
  O241="Minas Gerais",((W241*0.15)+(X241*0.7))*VLOOKUP(P241,'MunicípiosEstados'!$Y$2:$Z$854,2,FALSE),
  O241="Pará",((W241*0.15)+(X241*0.7))*VLOOKUP(P241,'MunicípiosEstados'!$AA$2:$AB$145,2,FALSE),
  O241="Paraíba",((W241*0.15)+(X241*0.7))*VLOOKUP(P241,'MunicípiosEstados'!$AC$2:$AD$224,2,FALSE),
  O241="Paraná",((W241*0.15)+(X241*0.7))*VLOOKUP(P241,'MunicípiosEstados'!$AE$2:$AF$400,2,FALSE),
  O241="Pernambuco",((W241*0.15)+(X241*0.7))*VLOOKUP(P241,'MunicípiosEstados'!$AG$2:$AH$186,2,FALSE),
  O241="Piauí",((W241*0.15)+(X241*0.7))*VLOOKUP(P241,'MunicípiosEstados'!$AI$2:$AJ$225,2,FALSE),
  O241="Rio Grande do Norte",((W241*0.15)+(X241*0.7))*VLOOKUP(P241,'MunicípiosEstados'!$AK$2:$AL$168,2,FALSE),
  O241="Rio Grande do Sul",((W241*0.15)+(X241*0.7))*VLOOKUP(P241,'MunicípiosEstados'!$AM$2:$AN$498,2,FALSE),
  O241="Rio de Janeiro",((W241*0.15)+(X241*0.7))*VLOOKUP(P241,'MunicípiosEstados'!$AO$2:$AP$93,2,FALSE),
  O241="Rondônia",((W241*0.15)+(X241*0.7))*VLOOKUP(P241,'MunicípiosEstados'!$AQ$2:$AR$53,2,FALSE),
  O241="Roraima",((W241*0.15)+(X241*0.7))*VLOOKUP(P241,'MunicípiosEstados'!$AS$2:$AT$16,2,FALSE),
  O241="Santa Catarina",((W241*0.15)+(X241*0.7))*VLOOKUP(P241,'MunicípiosEstados'!$AU$2:$AV$296,2,FALSE),
  O241="São Paulo",((W241*0.15)+(X241*0.7))*VLOOKUP(P241,'MunicípiosEstados'!$AW$2:$AX$646,2,FALSE),
  O241="Sergipe",((W241*0.15)+(X241*0.7))*VLOOKUP(P241,'MunicípiosEstados'!$AY$2:$AZ$76,2,FALSE),
  O241="Tocantins",((W241*0.15)+(X241*0.7))*VLOOKUP(P241,'MunicípiosEstados'!$BA$2:$BB$140,2,FALSE),
  O241="Exterior",((W241*0.15)+(X241*0.7))*VLOOKUP(P241,'MunicípiosEstados'!$BC$2:$BE$221,3,FALSE),TRUE,0
)
</f>
        <v>1104.09</v>
      </c>
      <c r="AL241" s="25">
        <f t="shared" si="3"/>
        <v>3028.69</v>
      </c>
      <c r="AN241" s="31"/>
    </row>
    <row r="242" ht="22.5" hidden="1" customHeight="1">
      <c r="A242" s="15">
        <f t="shared" si="1"/>
        <v>241</v>
      </c>
      <c r="B242" s="16">
        <v>45996.6863491088</v>
      </c>
      <c r="C242" s="17" t="s">
        <v>1326</v>
      </c>
      <c r="D242" s="27" t="s">
        <v>443</v>
      </c>
      <c r="E242" s="15" t="str">
        <f>VLOOKUP(G242,DiretoriaDepart.Coord.!$A$1:$C$72,2,FALSE)</f>
        <v>Extensão Rural</v>
      </c>
      <c r="F242" s="15" t="str">
        <f>VLOOKUP(G242,DiretoriaDepart.Coord.!$A$1:$C$72,3,FALSE)</f>
        <v>Sustentabilidade</v>
      </c>
      <c r="G242" s="17" t="s">
        <v>1032</v>
      </c>
      <c r="H242" s="15"/>
      <c r="I242" s="17" t="s">
        <v>1348</v>
      </c>
      <c r="J242" s="17" t="s">
        <v>719</v>
      </c>
      <c r="K242" s="17">
        <v>15.0</v>
      </c>
      <c r="L242" s="15"/>
      <c r="M242" s="17" t="s">
        <v>1328</v>
      </c>
      <c r="N242" s="17">
        <v>0.0</v>
      </c>
      <c r="O242" s="17" t="s">
        <v>714</v>
      </c>
      <c r="P242" s="17" t="s">
        <v>124</v>
      </c>
      <c r="Q242" s="20">
        <v>45755.333333333336</v>
      </c>
      <c r="R242" s="20">
        <v>45755.708333333336</v>
      </c>
      <c r="S242" s="17" t="s">
        <v>464</v>
      </c>
      <c r="T242" s="17" t="s">
        <v>452</v>
      </c>
      <c r="U242" s="21" t="s">
        <v>1349</v>
      </c>
      <c r="V242" s="21" t="s">
        <v>1347</v>
      </c>
      <c r="W242" s="22">
        <v>19.0</v>
      </c>
      <c r="X242" s="22">
        <v>2.0</v>
      </c>
      <c r="Y242" s="23">
        <v>0.0</v>
      </c>
      <c r="Z242" s="23">
        <v>500.0</v>
      </c>
      <c r="AA242" s="24">
        <v>0.0</v>
      </c>
      <c r="AB242" s="24">
        <v>0.0</v>
      </c>
      <c r="AC242" s="24">
        <v>0.0</v>
      </c>
      <c r="AD242" s="23">
        <v>0.0</v>
      </c>
      <c r="AE242" s="24">
        <v>0.0</v>
      </c>
      <c r="AF242" s="17" t="s">
        <v>464</v>
      </c>
      <c r="AG242" s="17">
        <v>1640.0</v>
      </c>
      <c r="AH242" s="17" t="s">
        <v>464</v>
      </c>
      <c r="AI242" s="25">
        <f>IF(AF242="Sim",INT((R242-Q242+1))*K242*VLOOKUP(P242,'Tabelas Auxiliares'!$A$1:$C$400,3,FALSE),0)</f>
        <v>339.6</v>
      </c>
      <c r="AJ242" s="25">
        <f t="shared" si="2"/>
        <v>1148</v>
      </c>
      <c r="AK242" s="25">
        <f>IFS(
  O242="Acre",((W242*0.15)+(X242*0.7))*VLOOKUP(P242,'MunicípiosEstados'!$A$2:$B$23,2,FALSE),
  O242="Alagoas",((W242*0.15)+(X242*0.7))*VLOOKUP(P242,'MunicípiosEstados'!$C$2:$D$103,2,FALSE),
  O242="Amapá",((W242*0.15)+(X242*0.7))*VLOOKUP(P242,'MunicípiosEstados'!$E$2:$F$17,2,FALSE),
  O242="Amazonas",((W242*0.15)+(X242*0.7))*VLOOKUP(P242,'MunicípiosEstados'!$G$2:$H$63,2,FALSE),
  O242="Bahia",((W242*0.15)+(X242*0.7))*VLOOKUP(P242,'MunicípiosEstados'!$I$2:$J$418,2,FALSE),
  O242="Ceará",((W242*0.15)+(X242*0.7))*VLOOKUP(P242,'MunicípiosEstados'!$K$2:$L$185,2,FALSE),
  O242="Distrito Federal",((W242*0.15)+(X242*0.7))*VLOOKUP(P242,'MunicípiosEstados'!$M$2:$N$2,2,FALSE),
  O242="Espírito Santo",((W242*0.15)+(X242*0.7))*VLOOKUP(P242,'MunicípiosEstados'!$O$2:$P$79,2,FALSE),
  O242="Goiás",((W242*0.15)+(X242*0.7))*VLOOKUP(P242,'MunicípiosEstados'!$Q$2:$R$247,2,FALSE),
  O242="Maranhão",((W242*0.15)+(X242*0.7))*VLOOKUP(P242,'MunicípiosEstados'!$S$2:$T$218,2,FALSE),
  O242="Mato Grosso",((W242*0.15)+(X242*0.7))*VLOOKUP(P242,'MunicípiosEstados'!$U$2:$V$143,2,FALSE),
  O242="Mato Grosso do Sul",((W242*0.15)+(X242*0.7))*VLOOKUP(P242,'MunicípiosEstados'!$W$2:$X$80,2,FALSE),
  O242="Minas Gerais",((W242*0.15)+(X242*0.7))*VLOOKUP(P242,'MunicípiosEstados'!$Y$2:$Z$854,2,FALSE),
  O242="Pará",((W242*0.15)+(X242*0.7))*VLOOKUP(P242,'MunicípiosEstados'!$AA$2:$AB$145,2,FALSE),
  O242="Paraíba",((W242*0.15)+(X242*0.7))*VLOOKUP(P242,'MunicípiosEstados'!$AC$2:$AD$224,2,FALSE),
  O242="Paraná",((W242*0.15)+(X242*0.7))*VLOOKUP(P242,'MunicípiosEstados'!$AE$2:$AF$400,2,FALSE),
  O242="Pernambuco",((W242*0.15)+(X242*0.7))*VLOOKUP(P242,'MunicípiosEstados'!$AG$2:$AH$186,2,FALSE),
  O242="Piauí",((W242*0.15)+(X242*0.7))*VLOOKUP(P242,'MunicípiosEstados'!$AI$2:$AJ$225,2,FALSE),
  O242="Rio Grande do Norte",((W242*0.15)+(X242*0.7))*VLOOKUP(P242,'MunicípiosEstados'!$AK$2:$AL$168,2,FALSE),
  O242="Rio Grande do Sul",((W242*0.15)+(X242*0.7))*VLOOKUP(P242,'MunicípiosEstados'!$AM$2:$AN$498,2,FALSE),
  O242="Rio de Janeiro",((W242*0.15)+(X242*0.7))*VLOOKUP(P242,'MunicípiosEstados'!$AO$2:$AP$93,2,FALSE),
  O242="Rondônia",((W242*0.15)+(X242*0.7))*VLOOKUP(P242,'MunicípiosEstados'!$AQ$2:$AR$53,2,FALSE),
  O242="Roraima",((W242*0.15)+(X242*0.7))*VLOOKUP(P242,'MunicípiosEstados'!$AS$2:$AT$16,2,FALSE),
  O242="Santa Catarina",((W242*0.15)+(X242*0.7))*VLOOKUP(P242,'MunicípiosEstados'!$AU$2:$AV$296,2,FALSE),
  O242="São Paulo",((W242*0.15)+(X242*0.7))*VLOOKUP(P242,'MunicípiosEstados'!$AW$2:$AX$646,2,FALSE),
  O242="Sergipe",((W242*0.15)+(X242*0.7))*VLOOKUP(P242,'MunicípiosEstados'!$AY$2:$AZ$76,2,FALSE),
  O242="Tocantins",((W242*0.15)+(X242*0.7))*VLOOKUP(P242,'MunicípiosEstados'!$BA$2:$BB$140,2,FALSE),
  O242="Exterior",((W242*0.15)+(X242*0.7))*VLOOKUP(P242,'MunicípiosEstados'!$BC$2:$BE$221,3,FALSE),TRUE,0
)
</f>
        <v>1234.8375</v>
      </c>
      <c r="AL242" s="25">
        <f t="shared" si="3"/>
        <v>3222.4375</v>
      </c>
      <c r="AN242" s="31"/>
    </row>
    <row r="243" ht="22.5" hidden="1" customHeight="1">
      <c r="A243" s="15">
        <f t="shared" si="1"/>
        <v>242</v>
      </c>
      <c r="B243" s="16">
        <v>45996.688765196755</v>
      </c>
      <c r="C243" s="17" t="s">
        <v>1326</v>
      </c>
      <c r="D243" s="27" t="s">
        <v>443</v>
      </c>
      <c r="E243" s="15" t="str">
        <f>VLOOKUP(G243,DiretoriaDepart.Coord.!$A$1:$C$72,2,FALSE)</f>
        <v>Extensão Rural</v>
      </c>
      <c r="F243" s="15" t="str">
        <f>VLOOKUP(G243,DiretoriaDepart.Coord.!$A$1:$C$72,3,FALSE)</f>
        <v>Sustentabilidade</v>
      </c>
      <c r="G243" s="17" t="s">
        <v>1032</v>
      </c>
      <c r="H243" s="15"/>
      <c r="I243" s="17" t="s">
        <v>1348</v>
      </c>
      <c r="J243" s="17" t="s">
        <v>719</v>
      </c>
      <c r="K243" s="17">
        <v>16.0</v>
      </c>
      <c r="L243" s="15"/>
      <c r="M243" s="17" t="s">
        <v>1328</v>
      </c>
      <c r="N243" s="17">
        <v>0.0</v>
      </c>
      <c r="O243" s="17" t="s">
        <v>714</v>
      </c>
      <c r="P243" s="17" t="s">
        <v>23</v>
      </c>
      <c r="Q243" s="20">
        <v>45783.333333333336</v>
      </c>
      <c r="R243" s="20">
        <v>45783.708333333336</v>
      </c>
      <c r="S243" s="17" t="s">
        <v>464</v>
      </c>
      <c r="T243" s="17" t="s">
        <v>452</v>
      </c>
      <c r="U243" s="28" t="s">
        <v>1349</v>
      </c>
      <c r="V243" s="21" t="s">
        <v>1347</v>
      </c>
      <c r="W243" s="22">
        <v>19.0</v>
      </c>
      <c r="X243" s="22">
        <v>2.0</v>
      </c>
      <c r="Y243" s="23">
        <v>0.0</v>
      </c>
      <c r="Z243" s="23">
        <v>500.0</v>
      </c>
      <c r="AA243" s="24">
        <v>0.0</v>
      </c>
      <c r="AB243" s="24">
        <v>0.0</v>
      </c>
      <c r="AC243" s="24">
        <v>0.0</v>
      </c>
      <c r="AD243" s="23">
        <v>0.0</v>
      </c>
      <c r="AE243" s="24">
        <v>0.0</v>
      </c>
      <c r="AF243" s="17" t="s">
        <v>464</v>
      </c>
      <c r="AG243" s="17">
        <v>1920.0</v>
      </c>
      <c r="AH243" s="17" t="s">
        <v>464</v>
      </c>
      <c r="AI243" s="25">
        <f>IF(AF243="Sim",INT((R243-Q243+1))*K243*VLOOKUP(P243,'Tabelas Auxiliares'!$A$1:$C$400,3,FALSE),0)</f>
        <v>362.24</v>
      </c>
      <c r="AJ243" s="25">
        <f t="shared" si="2"/>
        <v>1344</v>
      </c>
      <c r="AK243" s="25">
        <f>IFS(
  O243="Acre",((W243*0.15)+(X243*0.7))*VLOOKUP(P243,'MunicípiosEstados'!$A$2:$B$23,2,FALSE),
  O243="Alagoas",((W243*0.15)+(X243*0.7))*VLOOKUP(P243,'MunicípiosEstados'!$C$2:$D$103,2,FALSE),
  O243="Amapá",((W243*0.15)+(X243*0.7))*VLOOKUP(P243,'MunicípiosEstados'!$E$2:$F$17,2,FALSE),
  O243="Amazonas",((W243*0.15)+(X243*0.7))*VLOOKUP(P243,'MunicípiosEstados'!$G$2:$H$63,2,FALSE),
  O243="Bahia",((W243*0.15)+(X243*0.7))*VLOOKUP(P243,'MunicípiosEstados'!$I$2:$J$418,2,FALSE),
  O243="Ceará",((W243*0.15)+(X243*0.7))*VLOOKUP(P243,'MunicípiosEstados'!$K$2:$L$185,2,FALSE),
  O243="Distrito Federal",((W243*0.15)+(X243*0.7))*VLOOKUP(P243,'MunicípiosEstados'!$M$2:$N$2,2,FALSE),
  O243="Espírito Santo",((W243*0.15)+(X243*0.7))*VLOOKUP(P243,'MunicípiosEstados'!$O$2:$P$79,2,FALSE),
  O243="Goiás",((W243*0.15)+(X243*0.7))*VLOOKUP(P243,'MunicípiosEstados'!$Q$2:$R$247,2,FALSE),
  O243="Maranhão",((W243*0.15)+(X243*0.7))*VLOOKUP(P243,'MunicípiosEstados'!$S$2:$T$218,2,FALSE),
  O243="Mato Grosso",((W243*0.15)+(X243*0.7))*VLOOKUP(P243,'MunicípiosEstados'!$U$2:$V$143,2,FALSE),
  O243="Mato Grosso do Sul",((W243*0.15)+(X243*0.7))*VLOOKUP(P243,'MunicípiosEstados'!$W$2:$X$80,2,FALSE),
  O243="Minas Gerais",((W243*0.15)+(X243*0.7))*VLOOKUP(P243,'MunicípiosEstados'!$Y$2:$Z$854,2,FALSE),
  O243="Pará",((W243*0.15)+(X243*0.7))*VLOOKUP(P243,'MunicípiosEstados'!$AA$2:$AB$145,2,FALSE),
  O243="Paraíba",((W243*0.15)+(X243*0.7))*VLOOKUP(P243,'MunicípiosEstados'!$AC$2:$AD$224,2,FALSE),
  O243="Paraná",((W243*0.15)+(X243*0.7))*VLOOKUP(P243,'MunicípiosEstados'!$AE$2:$AF$400,2,FALSE),
  O243="Pernambuco",((W243*0.15)+(X243*0.7))*VLOOKUP(P243,'MunicípiosEstados'!$AG$2:$AH$186,2,FALSE),
  O243="Piauí",((W243*0.15)+(X243*0.7))*VLOOKUP(P243,'MunicípiosEstados'!$AI$2:$AJ$225,2,FALSE),
  O243="Rio Grande do Norte",((W243*0.15)+(X243*0.7))*VLOOKUP(P243,'MunicípiosEstados'!$AK$2:$AL$168,2,FALSE),
  O243="Rio Grande do Sul",((W243*0.15)+(X243*0.7))*VLOOKUP(P243,'MunicípiosEstados'!$AM$2:$AN$498,2,FALSE),
  O243="Rio de Janeiro",((W243*0.15)+(X243*0.7))*VLOOKUP(P243,'MunicípiosEstados'!$AO$2:$AP$93,2,FALSE),
  O243="Rondônia",((W243*0.15)+(X243*0.7))*VLOOKUP(P243,'MunicípiosEstados'!$AQ$2:$AR$53,2,FALSE),
  O243="Roraima",((W243*0.15)+(X243*0.7))*VLOOKUP(P243,'MunicípiosEstados'!$AS$2:$AT$16,2,FALSE),
  O243="Santa Catarina",((W243*0.15)+(X243*0.7))*VLOOKUP(P243,'MunicípiosEstados'!$AU$2:$AV$296,2,FALSE),
  O243="São Paulo",((W243*0.15)+(X243*0.7))*VLOOKUP(P243,'MunicípiosEstados'!$AW$2:$AX$646,2,FALSE),
  O243="Sergipe",((W243*0.15)+(X243*0.7))*VLOOKUP(P243,'MunicípiosEstados'!$AY$2:$AZ$76,2,FALSE),
  O243="Tocantins",((W243*0.15)+(X243*0.7))*VLOOKUP(P243,'MunicípiosEstados'!$BA$2:$BB$140,2,FALSE),
  O243="Exterior",((W243*0.15)+(X243*0.7))*VLOOKUP(P243,'MunicípiosEstados'!$BC$2:$BE$221,3,FALSE),TRUE,0
)
</f>
        <v>1234.8375</v>
      </c>
      <c r="AL243" s="25">
        <f t="shared" si="3"/>
        <v>3441.0775</v>
      </c>
      <c r="AN243" s="31"/>
    </row>
    <row r="244" ht="22.5" hidden="1" customHeight="1">
      <c r="A244" s="15">
        <f t="shared" si="1"/>
        <v>243</v>
      </c>
      <c r="B244" s="16">
        <v>45996.690655949074</v>
      </c>
      <c r="C244" s="17" t="s">
        <v>1326</v>
      </c>
      <c r="D244" s="27" t="s">
        <v>443</v>
      </c>
      <c r="E244" s="15" t="str">
        <f>VLOOKUP(G244,DiretoriaDepart.Coord.!$A$1:$C$72,2,FALSE)</f>
        <v>Extensão Rural</v>
      </c>
      <c r="F244" s="15" t="str">
        <f>VLOOKUP(G244,DiretoriaDepart.Coord.!$A$1:$C$72,3,FALSE)</f>
        <v>Sustentabilidade</v>
      </c>
      <c r="G244" s="17" t="s">
        <v>1032</v>
      </c>
      <c r="H244" s="15"/>
      <c r="I244" s="17" t="s">
        <v>1348</v>
      </c>
      <c r="J244" s="17" t="s">
        <v>719</v>
      </c>
      <c r="K244" s="17">
        <v>16.0</v>
      </c>
      <c r="L244" s="15"/>
      <c r="M244" s="17" t="s">
        <v>1328</v>
      </c>
      <c r="N244" s="17">
        <v>0.0</v>
      </c>
      <c r="O244" s="17" t="s">
        <v>714</v>
      </c>
      <c r="P244" s="17" t="s">
        <v>42</v>
      </c>
      <c r="Q244" s="20">
        <v>45817.333333333336</v>
      </c>
      <c r="R244" s="20">
        <v>45817.708333333336</v>
      </c>
      <c r="S244" s="17" t="s">
        <v>464</v>
      </c>
      <c r="T244" s="17" t="s">
        <v>452</v>
      </c>
      <c r="U244" s="28" t="s">
        <v>1349</v>
      </c>
      <c r="V244" s="21" t="s">
        <v>1347</v>
      </c>
      <c r="W244" s="22">
        <v>19.0</v>
      </c>
      <c r="X244" s="22">
        <v>2.0</v>
      </c>
      <c r="Y244" s="23">
        <v>0.0</v>
      </c>
      <c r="Z244" s="23">
        <v>500.0</v>
      </c>
      <c r="AA244" s="24">
        <v>0.0</v>
      </c>
      <c r="AB244" s="24">
        <v>0.0</v>
      </c>
      <c r="AC244" s="24">
        <v>0.0</v>
      </c>
      <c r="AD244" s="23">
        <v>0.0</v>
      </c>
      <c r="AE244" s="24">
        <v>0.0</v>
      </c>
      <c r="AF244" s="17" t="s">
        <v>464</v>
      </c>
      <c r="AG244" s="17">
        <v>2100.0</v>
      </c>
      <c r="AH244" s="17" t="s">
        <v>464</v>
      </c>
      <c r="AI244" s="25">
        <f>IF(AF244="Sim",INT((R244-Q244+1))*K244*VLOOKUP(P244,'Tabelas Auxiliares'!$A$1:$C$400,3,FALSE),0)</f>
        <v>362.24</v>
      </c>
      <c r="AJ244" s="25">
        <f t="shared" si="2"/>
        <v>1470</v>
      </c>
      <c r="AK244" s="25">
        <f>IFS(
  O244="Acre",((W244*0.15)+(X244*0.7))*VLOOKUP(P244,'MunicípiosEstados'!$A$2:$B$23,2,FALSE),
  O244="Alagoas",((W244*0.15)+(X244*0.7))*VLOOKUP(P244,'MunicípiosEstados'!$C$2:$D$103,2,FALSE),
  O244="Amapá",((W244*0.15)+(X244*0.7))*VLOOKUP(P244,'MunicípiosEstados'!$E$2:$F$17,2,FALSE),
  O244="Amazonas",((W244*0.15)+(X244*0.7))*VLOOKUP(P244,'MunicípiosEstados'!$G$2:$H$63,2,FALSE),
  O244="Bahia",((W244*0.15)+(X244*0.7))*VLOOKUP(P244,'MunicípiosEstados'!$I$2:$J$418,2,FALSE),
  O244="Ceará",((W244*0.15)+(X244*0.7))*VLOOKUP(P244,'MunicípiosEstados'!$K$2:$L$185,2,FALSE),
  O244="Distrito Federal",((W244*0.15)+(X244*0.7))*VLOOKUP(P244,'MunicípiosEstados'!$M$2:$N$2,2,FALSE),
  O244="Espírito Santo",((W244*0.15)+(X244*0.7))*VLOOKUP(P244,'MunicípiosEstados'!$O$2:$P$79,2,FALSE),
  O244="Goiás",((W244*0.15)+(X244*0.7))*VLOOKUP(P244,'MunicípiosEstados'!$Q$2:$R$247,2,FALSE),
  O244="Maranhão",((W244*0.15)+(X244*0.7))*VLOOKUP(P244,'MunicípiosEstados'!$S$2:$T$218,2,FALSE),
  O244="Mato Grosso",((W244*0.15)+(X244*0.7))*VLOOKUP(P244,'MunicípiosEstados'!$U$2:$V$143,2,FALSE),
  O244="Mato Grosso do Sul",((W244*0.15)+(X244*0.7))*VLOOKUP(P244,'MunicípiosEstados'!$W$2:$X$80,2,FALSE),
  O244="Minas Gerais",((W244*0.15)+(X244*0.7))*VLOOKUP(P244,'MunicípiosEstados'!$Y$2:$Z$854,2,FALSE),
  O244="Pará",((W244*0.15)+(X244*0.7))*VLOOKUP(P244,'MunicípiosEstados'!$AA$2:$AB$145,2,FALSE),
  O244="Paraíba",((W244*0.15)+(X244*0.7))*VLOOKUP(P244,'MunicípiosEstados'!$AC$2:$AD$224,2,FALSE),
  O244="Paraná",((W244*0.15)+(X244*0.7))*VLOOKUP(P244,'MunicípiosEstados'!$AE$2:$AF$400,2,FALSE),
  O244="Pernambuco",((W244*0.15)+(X244*0.7))*VLOOKUP(P244,'MunicípiosEstados'!$AG$2:$AH$186,2,FALSE),
  O244="Piauí",((W244*0.15)+(X244*0.7))*VLOOKUP(P244,'MunicípiosEstados'!$AI$2:$AJ$225,2,FALSE),
  O244="Rio Grande do Norte",((W244*0.15)+(X244*0.7))*VLOOKUP(P244,'MunicípiosEstados'!$AK$2:$AL$168,2,FALSE),
  O244="Rio Grande do Sul",((W244*0.15)+(X244*0.7))*VLOOKUP(P244,'MunicípiosEstados'!$AM$2:$AN$498,2,FALSE),
  O244="Rio de Janeiro",((W244*0.15)+(X244*0.7))*VLOOKUP(P244,'MunicípiosEstados'!$AO$2:$AP$93,2,FALSE),
  O244="Rondônia",((W244*0.15)+(X244*0.7))*VLOOKUP(P244,'MunicípiosEstados'!$AQ$2:$AR$53,2,FALSE),
  O244="Roraima",((W244*0.15)+(X244*0.7))*VLOOKUP(P244,'MunicípiosEstados'!$AS$2:$AT$16,2,FALSE),
  O244="Santa Catarina",((W244*0.15)+(X244*0.7))*VLOOKUP(P244,'MunicípiosEstados'!$AU$2:$AV$296,2,FALSE),
  O244="São Paulo",((W244*0.15)+(X244*0.7))*VLOOKUP(P244,'MunicípiosEstados'!$AW$2:$AX$646,2,FALSE),
  O244="Sergipe",((W244*0.15)+(X244*0.7))*VLOOKUP(P244,'MunicípiosEstados'!$AY$2:$AZ$76,2,FALSE),
  O244="Tocantins",((W244*0.15)+(X244*0.7))*VLOOKUP(P244,'MunicípiosEstados'!$BA$2:$BB$140,2,FALSE),
  O244="Exterior",((W244*0.15)+(X244*0.7))*VLOOKUP(P244,'MunicípiosEstados'!$BC$2:$BE$221,3,FALSE),TRUE,0
)
</f>
        <v>1234.8375</v>
      </c>
      <c r="AL244" s="25">
        <f t="shared" si="3"/>
        <v>3567.0775</v>
      </c>
      <c r="AN244" s="31"/>
    </row>
    <row r="245" ht="22.5" hidden="1" customHeight="1">
      <c r="A245" s="15">
        <f t="shared" si="1"/>
        <v>244</v>
      </c>
      <c r="B245" s="16">
        <v>45996.69313695602</v>
      </c>
      <c r="C245" s="17" t="s">
        <v>1326</v>
      </c>
      <c r="D245" s="27" t="s">
        <v>443</v>
      </c>
      <c r="E245" s="15" t="str">
        <f>VLOOKUP(G245,DiretoriaDepart.Coord.!$A$1:$C$72,2,FALSE)</f>
        <v>Extensão Rural</v>
      </c>
      <c r="F245" s="15" t="str">
        <f>VLOOKUP(G245,DiretoriaDepart.Coord.!$A$1:$C$72,3,FALSE)</f>
        <v>Sustentabilidade</v>
      </c>
      <c r="G245" s="17" t="s">
        <v>1032</v>
      </c>
      <c r="H245" s="15"/>
      <c r="I245" s="17" t="s">
        <v>1348</v>
      </c>
      <c r="J245" s="17" t="s">
        <v>719</v>
      </c>
      <c r="K245" s="17">
        <v>16.0</v>
      </c>
      <c r="L245" s="15"/>
      <c r="M245" s="17" t="s">
        <v>1328</v>
      </c>
      <c r="N245" s="17">
        <v>0.0</v>
      </c>
      <c r="O245" s="17" t="s">
        <v>714</v>
      </c>
      <c r="P245" s="17" t="s">
        <v>64</v>
      </c>
      <c r="Q245" s="20">
        <v>45845.333333333336</v>
      </c>
      <c r="R245" s="20">
        <v>45845.708333333336</v>
      </c>
      <c r="S245" s="17" t="s">
        <v>464</v>
      </c>
      <c r="T245" s="17" t="s">
        <v>452</v>
      </c>
      <c r="U245" s="28" t="s">
        <v>1349</v>
      </c>
      <c r="V245" s="21" t="s">
        <v>1347</v>
      </c>
      <c r="W245" s="22">
        <v>19.0</v>
      </c>
      <c r="X245" s="22">
        <v>2.0</v>
      </c>
      <c r="Y245" s="23">
        <v>0.0</v>
      </c>
      <c r="Z245" s="23">
        <v>500.0</v>
      </c>
      <c r="AA245" s="24">
        <v>0.0</v>
      </c>
      <c r="AB245" s="24">
        <v>0.0</v>
      </c>
      <c r="AC245" s="24">
        <v>0.0</v>
      </c>
      <c r="AD245" s="23">
        <v>0.0</v>
      </c>
      <c r="AE245" s="24">
        <v>0.0</v>
      </c>
      <c r="AF245" s="17" t="s">
        <v>464</v>
      </c>
      <c r="AG245" s="17">
        <v>1850.0</v>
      </c>
      <c r="AH245" s="17" t="s">
        <v>464</v>
      </c>
      <c r="AI245" s="25">
        <f>IF(AF245="Sim",INT((R245-Q245+1))*K245*VLOOKUP(P245,'Tabelas Auxiliares'!$A$1:$C$400,3,FALSE),0)</f>
        <v>352</v>
      </c>
      <c r="AJ245" s="25">
        <f t="shared" si="2"/>
        <v>1295</v>
      </c>
      <c r="AK245" s="25">
        <f>IFS(
  O245="Acre",((W245*0.15)+(X245*0.7))*VLOOKUP(P245,'MunicípiosEstados'!$A$2:$B$23,2,FALSE),
  O245="Alagoas",((W245*0.15)+(X245*0.7))*VLOOKUP(P245,'MunicípiosEstados'!$C$2:$D$103,2,FALSE),
  O245="Amapá",((W245*0.15)+(X245*0.7))*VLOOKUP(P245,'MunicípiosEstados'!$E$2:$F$17,2,FALSE),
  O245="Amazonas",((W245*0.15)+(X245*0.7))*VLOOKUP(P245,'MunicípiosEstados'!$G$2:$H$63,2,FALSE),
  O245="Bahia",((W245*0.15)+(X245*0.7))*VLOOKUP(P245,'MunicípiosEstados'!$I$2:$J$418,2,FALSE),
  O245="Ceará",((W245*0.15)+(X245*0.7))*VLOOKUP(P245,'MunicípiosEstados'!$K$2:$L$185,2,FALSE),
  O245="Distrito Federal",((W245*0.15)+(X245*0.7))*VLOOKUP(P245,'MunicípiosEstados'!$M$2:$N$2,2,FALSE),
  O245="Espírito Santo",((W245*0.15)+(X245*0.7))*VLOOKUP(P245,'MunicípiosEstados'!$O$2:$P$79,2,FALSE),
  O245="Goiás",((W245*0.15)+(X245*0.7))*VLOOKUP(P245,'MunicípiosEstados'!$Q$2:$R$247,2,FALSE),
  O245="Maranhão",((W245*0.15)+(X245*0.7))*VLOOKUP(P245,'MunicípiosEstados'!$S$2:$T$218,2,FALSE),
  O245="Mato Grosso",((W245*0.15)+(X245*0.7))*VLOOKUP(P245,'MunicípiosEstados'!$U$2:$V$143,2,FALSE),
  O245="Mato Grosso do Sul",((W245*0.15)+(X245*0.7))*VLOOKUP(P245,'MunicípiosEstados'!$W$2:$X$80,2,FALSE),
  O245="Minas Gerais",((W245*0.15)+(X245*0.7))*VLOOKUP(P245,'MunicípiosEstados'!$Y$2:$Z$854,2,FALSE),
  O245="Pará",((W245*0.15)+(X245*0.7))*VLOOKUP(P245,'MunicípiosEstados'!$AA$2:$AB$145,2,FALSE),
  O245="Paraíba",((W245*0.15)+(X245*0.7))*VLOOKUP(P245,'MunicípiosEstados'!$AC$2:$AD$224,2,FALSE),
  O245="Paraná",((W245*0.15)+(X245*0.7))*VLOOKUP(P245,'MunicípiosEstados'!$AE$2:$AF$400,2,FALSE),
  O245="Pernambuco",((W245*0.15)+(X245*0.7))*VLOOKUP(P245,'MunicípiosEstados'!$AG$2:$AH$186,2,FALSE),
  O245="Piauí",((W245*0.15)+(X245*0.7))*VLOOKUP(P245,'MunicípiosEstados'!$AI$2:$AJ$225,2,FALSE),
  O245="Rio Grande do Norte",((W245*0.15)+(X245*0.7))*VLOOKUP(P245,'MunicípiosEstados'!$AK$2:$AL$168,2,FALSE),
  O245="Rio Grande do Sul",((W245*0.15)+(X245*0.7))*VLOOKUP(P245,'MunicípiosEstados'!$AM$2:$AN$498,2,FALSE),
  O245="Rio de Janeiro",((W245*0.15)+(X245*0.7))*VLOOKUP(P245,'MunicípiosEstados'!$AO$2:$AP$93,2,FALSE),
  O245="Rondônia",((W245*0.15)+(X245*0.7))*VLOOKUP(P245,'MunicípiosEstados'!$AQ$2:$AR$53,2,FALSE),
  O245="Roraima",((W245*0.15)+(X245*0.7))*VLOOKUP(P245,'MunicípiosEstados'!$AS$2:$AT$16,2,FALSE),
  O245="Santa Catarina",((W245*0.15)+(X245*0.7))*VLOOKUP(P245,'MunicípiosEstados'!$AU$2:$AV$296,2,FALSE),
  O245="São Paulo",((W245*0.15)+(X245*0.7))*VLOOKUP(P245,'MunicípiosEstados'!$AW$2:$AX$646,2,FALSE),
  O245="Sergipe",((W245*0.15)+(X245*0.7))*VLOOKUP(P245,'MunicípiosEstados'!$AY$2:$AZ$76,2,FALSE),
  O245="Tocantins",((W245*0.15)+(X245*0.7))*VLOOKUP(P245,'MunicípiosEstados'!$BA$2:$BB$140,2,FALSE),
  O245="Exterior",((W245*0.15)+(X245*0.7))*VLOOKUP(P245,'MunicípiosEstados'!$BC$2:$BE$221,3,FALSE),TRUE,0
)
</f>
        <v>1234.8375</v>
      </c>
      <c r="AL245" s="25">
        <f t="shared" si="3"/>
        <v>3381.8375</v>
      </c>
      <c r="AN245" s="31"/>
    </row>
    <row r="246" ht="22.5" hidden="1" customHeight="1">
      <c r="A246" s="15">
        <f t="shared" si="1"/>
        <v>245</v>
      </c>
      <c r="B246" s="16">
        <v>45996.695272847224</v>
      </c>
      <c r="C246" s="17" t="s">
        <v>1326</v>
      </c>
      <c r="D246" s="27" t="s">
        <v>443</v>
      </c>
      <c r="E246" s="15" t="str">
        <f>VLOOKUP(G246,DiretoriaDepart.Coord.!$A$1:$C$72,2,FALSE)</f>
        <v>Extensão Rural</v>
      </c>
      <c r="F246" s="15" t="str">
        <f>VLOOKUP(G246,DiretoriaDepart.Coord.!$A$1:$C$72,3,FALSE)</f>
        <v>Sustentabilidade</v>
      </c>
      <c r="G246" s="17" t="s">
        <v>1032</v>
      </c>
      <c r="H246" s="15"/>
      <c r="I246" s="17" t="s">
        <v>1348</v>
      </c>
      <c r="J246" s="17" t="s">
        <v>719</v>
      </c>
      <c r="K246" s="17">
        <v>16.0</v>
      </c>
      <c r="L246" s="15"/>
      <c r="M246" s="17" t="s">
        <v>1328</v>
      </c>
      <c r="N246" s="17">
        <v>0.0</v>
      </c>
      <c r="O246" s="17" t="s">
        <v>714</v>
      </c>
      <c r="P246" s="17" t="s">
        <v>21</v>
      </c>
      <c r="Q246" s="20">
        <v>45873.333333333336</v>
      </c>
      <c r="R246" s="20">
        <v>45873.708333333336</v>
      </c>
      <c r="S246" s="17" t="s">
        <v>464</v>
      </c>
      <c r="T246" s="17" t="s">
        <v>452</v>
      </c>
      <c r="U246" s="28" t="s">
        <v>1349</v>
      </c>
      <c r="V246" s="21" t="s">
        <v>1347</v>
      </c>
      <c r="W246" s="22">
        <v>19.0</v>
      </c>
      <c r="X246" s="22">
        <v>2.0</v>
      </c>
      <c r="Y246" s="23">
        <v>0.0</v>
      </c>
      <c r="Z246" s="23">
        <v>500.0</v>
      </c>
      <c r="AA246" s="24">
        <v>0.0</v>
      </c>
      <c r="AB246" s="24">
        <v>0.0</v>
      </c>
      <c r="AC246" s="24">
        <v>0.0</v>
      </c>
      <c r="AD246" s="23">
        <v>0.0</v>
      </c>
      <c r="AE246" s="24">
        <v>0.0</v>
      </c>
      <c r="AF246" s="17" t="s">
        <v>464</v>
      </c>
      <c r="AG246" s="17">
        <v>1740.0</v>
      </c>
      <c r="AH246" s="17" t="s">
        <v>464</v>
      </c>
      <c r="AI246" s="25">
        <f>IF(AF246="Sim",INT((R246-Q246+1))*K246*VLOOKUP(P246,'Tabelas Auxiliares'!$A$1:$C$400,3,FALSE),0)</f>
        <v>341.28</v>
      </c>
      <c r="AJ246" s="25">
        <f t="shared" si="2"/>
        <v>1218</v>
      </c>
      <c r="AK246" s="25">
        <f>IFS(
  O246="Acre",((W246*0.15)+(X246*0.7))*VLOOKUP(P246,'MunicípiosEstados'!$A$2:$B$23,2,FALSE),
  O246="Alagoas",((W246*0.15)+(X246*0.7))*VLOOKUP(P246,'MunicípiosEstados'!$C$2:$D$103,2,FALSE),
  O246="Amapá",((W246*0.15)+(X246*0.7))*VLOOKUP(P246,'MunicípiosEstados'!$E$2:$F$17,2,FALSE),
  O246="Amazonas",((W246*0.15)+(X246*0.7))*VLOOKUP(P246,'MunicípiosEstados'!$G$2:$H$63,2,FALSE),
  O246="Bahia",((W246*0.15)+(X246*0.7))*VLOOKUP(P246,'MunicípiosEstados'!$I$2:$J$418,2,FALSE),
  O246="Ceará",((W246*0.15)+(X246*0.7))*VLOOKUP(P246,'MunicípiosEstados'!$K$2:$L$185,2,FALSE),
  O246="Distrito Federal",((W246*0.15)+(X246*0.7))*VLOOKUP(P246,'MunicípiosEstados'!$M$2:$N$2,2,FALSE),
  O246="Espírito Santo",((W246*0.15)+(X246*0.7))*VLOOKUP(P246,'MunicípiosEstados'!$O$2:$P$79,2,FALSE),
  O246="Goiás",((W246*0.15)+(X246*0.7))*VLOOKUP(P246,'MunicípiosEstados'!$Q$2:$R$247,2,FALSE),
  O246="Maranhão",((W246*0.15)+(X246*0.7))*VLOOKUP(P246,'MunicípiosEstados'!$S$2:$T$218,2,FALSE),
  O246="Mato Grosso",((W246*0.15)+(X246*0.7))*VLOOKUP(P246,'MunicípiosEstados'!$U$2:$V$143,2,FALSE),
  O246="Mato Grosso do Sul",((W246*0.15)+(X246*0.7))*VLOOKUP(P246,'MunicípiosEstados'!$W$2:$X$80,2,FALSE),
  O246="Minas Gerais",((W246*0.15)+(X246*0.7))*VLOOKUP(P246,'MunicípiosEstados'!$Y$2:$Z$854,2,FALSE),
  O246="Pará",((W246*0.15)+(X246*0.7))*VLOOKUP(P246,'MunicípiosEstados'!$AA$2:$AB$145,2,FALSE),
  O246="Paraíba",((W246*0.15)+(X246*0.7))*VLOOKUP(P246,'MunicípiosEstados'!$AC$2:$AD$224,2,FALSE),
  O246="Paraná",((W246*0.15)+(X246*0.7))*VLOOKUP(P246,'MunicípiosEstados'!$AE$2:$AF$400,2,FALSE),
  O246="Pernambuco",((W246*0.15)+(X246*0.7))*VLOOKUP(P246,'MunicípiosEstados'!$AG$2:$AH$186,2,FALSE),
  O246="Piauí",((W246*0.15)+(X246*0.7))*VLOOKUP(P246,'MunicípiosEstados'!$AI$2:$AJ$225,2,FALSE),
  O246="Rio Grande do Norte",((W246*0.15)+(X246*0.7))*VLOOKUP(P246,'MunicípiosEstados'!$AK$2:$AL$168,2,FALSE),
  O246="Rio Grande do Sul",((W246*0.15)+(X246*0.7))*VLOOKUP(P246,'MunicípiosEstados'!$AM$2:$AN$498,2,FALSE),
  O246="Rio de Janeiro",((W246*0.15)+(X246*0.7))*VLOOKUP(P246,'MunicípiosEstados'!$AO$2:$AP$93,2,FALSE),
  O246="Rondônia",((W246*0.15)+(X246*0.7))*VLOOKUP(P246,'MunicípiosEstados'!$AQ$2:$AR$53,2,FALSE),
  O246="Roraima",((W246*0.15)+(X246*0.7))*VLOOKUP(P246,'MunicípiosEstados'!$AS$2:$AT$16,2,FALSE),
  O246="Santa Catarina",((W246*0.15)+(X246*0.7))*VLOOKUP(P246,'MunicípiosEstados'!$AU$2:$AV$296,2,FALSE),
  O246="São Paulo",((W246*0.15)+(X246*0.7))*VLOOKUP(P246,'MunicípiosEstados'!$AW$2:$AX$646,2,FALSE),
  O246="Sergipe",((W246*0.15)+(X246*0.7))*VLOOKUP(P246,'MunicípiosEstados'!$AY$2:$AZ$76,2,FALSE),
  O246="Tocantins",((W246*0.15)+(X246*0.7))*VLOOKUP(P246,'MunicípiosEstados'!$BA$2:$BB$140,2,FALSE),
  O246="Exterior",((W246*0.15)+(X246*0.7))*VLOOKUP(P246,'MunicípiosEstados'!$BC$2:$BE$221,3,FALSE),TRUE,0
)
</f>
        <v>1234.8375</v>
      </c>
      <c r="AL246" s="25">
        <f t="shared" si="3"/>
        <v>3294.1175</v>
      </c>
      <c r="AN246" s="31"/>
    </row>
    <row r="247" ht="22.5" hidden="1" customHeight="1">
      <c r="A247" s="15">
        <f t="shared" si="1"/>
        <v>246</v>
      </c>
      <c r="B247" s="16">
        <v>45996.69711778935</v>
      </c>
      <c r="C247" s="17" t="s">
        <v>1326</v>
      </c>
      <c r="D247" s="27" t="s">
        <v>443</v>
      </c>
      <c r="E247" s="15" t="str">
        <f>VLOOKUP(G247,DiretoriaDepart.Coord.!$A$1:$C$72,2,FALSE)</f>
        <v>Extensão Rural</v>
      </c>
      <c r="F247" s="15" t="str">
        <f>VLOOKUP(G247,DiretoriaDepart.Coord.!$A$1:$C$72,3,FALSE)</f>
        <v>Sustentabilidade</v>
      </c>
      <c r="G247" s="17" t="s">
        <v>1032</v>
      </c>
      <c r="H247" s="15"/>
      <c r="I247" s="17" t="s">
        <v>1348</v>
      </c>
      <c r="J247" s="17" t="s">
        <v>719</v>
      </c>
      <c r="K247" s="17">
        <v>16.0</v>
      </c>
      <c r="L247" s="15"/>
      <c r="M247" s="17" t="s">
        <v>1328</v>
      </c>
      <c r="N247" s="17">
        <v>0.0</v>
      </c>
      <c r="O247" s="17" t="s">
        <v>714</v>
      </c>
      <c r="P247" s="17" t="s">
        <v>28</v>
      </c>
      <c r="Q247" s="20">
        <v>45880.333333333336</v>
      </c>
      <c r="R247" s="20">
        <v>45880.708333333336</v>
      </c>
      <c r="S247" s="17" t="s">
        <v>464</v>
      </c>
      <c r="T247" s="17" t="s">
        <v>452</v>
      </c>
      <c r="U247" s="28" t="s">
        <v>1349</v>
      </c>
      <c r="V247" s="21" t="s">
        <v>1347</v>
      </c>
      <c r="W247" s="22">
        <v>19.0</v>
      </c>
      <c r="X247" s="22">
        <v>2.0</v>
      </c>
      <c r="Y247" s="23">
        <v>0.0</v>
      </c>
      <c r="Z247" s="23">
        <v>500.0</v>
      </c>
      <c r="AA247" s="24">
        <v>0.0</v>
      </c>
      <c r="AB247" s="24">
        <v>0.0</v>
      </c>
      <c r="AC247" s="24">
        <v>0.0</v>
      </c>
      <c r="AD247" s="23">
        <v>0.0</v>
      </c>
      <c r="AE247" s="24">
        <v>0.0</v>
      </c>
      <c r="AF247" s="17" t="s">
        <v>464</v>
      </c>
      <c r="AG247" s="17">
        <v>650.0</v>
      </c>
      <c r="AH247" s="17" t="s">
        <v>464</v>
      </c>
      <c r="AI247" s="25">
        <f>IF(AF247="Sim",INT((R247-Q247+1))*K247*VLOOKUP(P247,'Tabelas Auxiliares'!$A$1:$C$400,3,FALSE),0)</f>
        <v>330.08</v>
      </c>
      <c r="AJ247" s="25">
        <f t="shared" si="2"/>
        <v>455</v>
      </c>
      <c r="AK247" s="25">
        <f>IFS(
  O247="Acre",((W247*0.15)+(X247*0.7))*VLOOKUP(P247,'MunicípiosEstados'!$A$2:$B$23,2,FALSE),
  O247="Alagoas",((W247*0.15)+(X247*0.7))*VLOOKUP(P247,'MunicípiosEstados'!$C$2:$D$103,2,FALSE),
  O247="Amapá",((W247*0.15)+(X247*0.7))*VLOOKUP(P247,'MunicípiosEstados'!$E$2:$F$17,2,FALSE),
  O247="Amazonas",((W247*0.15)+(X247*0.7))*VLOOKUP(P247,'MunicípiosEstados'!$G$2:$H$63,2,FALSE),
  O247="Bahia",((W247*0.15)+(X247*0.7))*VLOOKUP(P247,'MunicípiosEstados'!$I$2:$J$418,2,FALSE),
  O247="Ceará",((W247*0.15)+(X247*0.7))*VLOOKUP(P247,'MunicípiosEstados'!$K$2:$L$185,2,FALSE),
  O247="Distrito Federal",((W247*0.15)+(X247*0.7))*VLOOKUP(P247,'MunicípiosEstados'!$M$2:$N$2,2,FALSE),
  O247="Espírito Santo",((W247*0.15)+(X247*0.7))*VLOOKUP(P247,'MunicípiosEstados'!$O$2:$P$79,2,FALSE),
  O247="Goiás",((W247*0.15)+(X247*0.7))*VLOOKUP(P247,'MunicípiosEstados'!$Q$2:$R$247,2,FALSE),
  O247="Maranhão",((W247*0.15)+(X247*0.7))*VLOOKUP(P247,'MunicípiosEstados'!$S$2:$T$218,2,FALSE),
  O247="Mato Grosso",((W247*0.15)+(X247*0.7))*VLOOKUP(P247,'MunicípiosEstados'!$U$2:$V$143,2,FALSE),
  O247="Mato Grosso do Sul",((W247*0.15)+(X247*0.7))*VLOOKUP(P247,'MunicípiosEstados'!$W$2:$X$80,2,FALSE),
  O247="Minas Gerais",((W247*0.15)+(X247*0.7))*VLOOKUP(P247,'MunicípiosEstados'!$Y$2:$Z$854,2,FALSE),
  O247="Pará",((W247*0.15)+(X247*0.7))*VLOOKUP(P247,'MunicípiosEstados'!$AA$2:$AB$145,2,FALSE),
  O247="Paraíba",((W247*0.15)+(X247*0.7))*VLOOKUP(P247,'MunicípiosEstados'!$AC$2:$AD$224,2,FALSE),
  O247="Paraná",((W247*0.15)+(X247*0.7))*VLOOKUP(P247,'MunicípiosEstados'!$AE$2:$AF$400,2,FALSE),
  O247="Pernambuco",((W247*0.15)+(X247*0.7))*VLOOKUP(P247,'MunicípiosEstados'!$AG$2:$AH$186,2,FALSE),
  O247="Piauí",((W247*0.15)+(X247*0.7))*VLOOKUP(P247,'MunicípiosEstados'!$AI$2:$AJ$225,2,FALSE),
  O247="Rio Grande do Norte",((W247*0.15)+(X247*0.7))*VLOOKUP(P247,'MunicípiosEstados'!$AK$2:$AL$168,2,FALSE),
  O247="Rio Grande do Sul",((W247*0.15)+(X247*0.7))*VLOOKUP(P247,'MunicípiosEstados'!$AM$2:$AN$498,2,FALSE),
  O247="Rio de Janeiro",((W247*0.15)+(X247*0.7))*VLOOKUP(P247,'MunicípiosEstados'!$AO$2:$AP$93,2,FALSE),
  O247="Rondônia",((W247*0.15)+(X247*0.7))*VLOOKUP(P247,'MunicípiosEstados'!$AQ$2:$AR$53,2,FALSE),
  O247="Roraima",((W247*0.15)+(X247*0.7))*VLOOKUP(P247,'MunicípiosEstados'!$AS$2:$AT$16,2,FALSE),
  O247="Santa Catarina",((W247*0.15)+(X247*0.7))*VLOOKUP(P247,'MunicípiosEstados'!$AU$2:$AV$296,2,FALSE),
  O247="São Paulo",((W247*0.15)+(X247*0.7))*VLOOKUP(P247,'MunicípiosEstados'!$AW$2:$AX$646,2,FALSE),
  O247="Sergipe",((W247*0.15)+(X247*0.7))*VLOOKUP(P247,'MunicípiosEstados'!$AY$2:$AZ$76,2,FALSE),
  O247="Tocantins",((W247*0.15)+(X247*0.7))*VLOOKUP(P247,'MunicípiosEstados'!$BA$2:$BB$140,2,FALSE),
  O247="Exterior",((W247*0.15)+(X247*0.7))*VLOOKUP(P247,'MunicípiosEstados'!$BC$2:$BE$221,3,FALSE),TRUE,0
)
</f>
        <v>1234.8375</v>
      </c>
      <c r="AL247" s="25">
        <f t="shared" si="3"/>
        <v>2519.9175</v>
      </c>
      <c r="AN247" s="31"/>
    </row>
    <row r="248" ht="22.5" hidden="1" customHeight="1">
      <c r="A248" s="15">
        <f t="shared" si="1"/>
        <v>247</v>
      </c>
      <c r="B248" s="16">
        <v>45996.699113599534</v>
      </c>
      <c r="C248" s="17" t="s">
        <v>1326</v>
      </c>
      <c r="D248" s="27" t="s">
        <v>443</v>
      </c>
      <c r="E248" s="15" t="str">
        <f>VLOOKUP(G248,DiretoriaDepart.Coord.!$A$1:$C$72,2,FALSE)</f>
        <v>Extensão Rural</v>
      </c>
      <c r="F248" s="15" t="str">
        <f>VLOOKUP(G248,DiretoriaDepart.Coord.!$A$1:$C$72,3,FALSE)</f>
        <v>Sustentabilidade</v>
      </c>
      <c r="G248" s="17" t="s">
        <v>1032</v>
      </c>
      <c r="H248" s="15"/>
      <c r="I248" s="17" t="s">
        <v>1348</v>
      </c>
      <c r="J248" s="17" t="s">
        <v>719</v>
      </c>
      <c r="K248" s="17">
        <v>16.0</v>
      </c>
      <c r="L248" s="15"/>
      <c r="M248" s="17" t="s">
        <v>1328</v>
      </c>
      <c r="N248" s="17">
        <v>16.0</v>
      </c>
      <c r="O248" s="17" t="s">
        <v>714</v>
      </c>
      <c r="P248" s="17" t="s">
        <v>56</v>
      </c>
      <c r="Q248" s="20">
        <v>45901.333333333336</v>
      </c>
      <c r="R248" s="20">
        <v>45901.708333333336</v>
      </c>
      <c r="S248" s="17" t="s">
        <v>464</v>
      </c>
      <c r="T248" s="17" t="s">
        <v>452</v>
      </c>
      <c r="U248" s="28" t="s">
        <v>1349</v>
      </c>
      <c r="V248" s="21" t="s">
        <v>1347</v>
      </c>
      <c r="W248" s="22">
        <v>19.0</v>
      </c>
      <c r="X248" s="22">
        <v>2.0</v>
      </c>
      <c r="Y248" s="23">
        <v>0.0</v>
      </c>
      <c r="Z248" s="23">
        <v>500.0</v>
      </c>
      <c r="AA248" s="24">
        <v>0.0</v>
      </c>
      <c r="AB248" s="24">
        <v>0.0</v>
      </c>
      <c r="AC248" s="24">
        <v>0.0</v>
      </c>
      <c r="AD248" s="23">
        <v>0.0</v>
      </c>
      <c r="AE248" s="24">
        <v>0.0</v>
      </c>
      <c r="AF248" s="17" t="s">
        <v>464</v>
      </c>
      <c r="AG248" s="17">
        <v>1350.0</v>
      </c>
      <c r="AH248" s="17" t="s">
        <v>464</v>
      </c>
      <c r="AI248" s="25">
        <f>IF(AF248="Sim",INT((R248-Q248+1))*K248*VLOOKUP(P248,'Tabelas Auxiliares'!$A$1:$C$400,3,FALSE),0)</f>
        <v>362.24</v>
      </c>
      <c r="AJ248" s="25">
        <f t="shared" si="2"/>
        <v>945</v>
      </c>
      <c r="AK248" s="25">
        <f>IFS(
  O248="Acre",((W248*0.15)+(X248*0.7))*VLOOKUP(P248,'MunicípiosEstados'!$A$2:$B$23,2,FALSE),
  O248="Alagoas",((W248*0.15)+(X248*0.7))*VLOOKUP(P248,'MunicípiosEstados'!$C$2:$D$103,2,FALSE),
  O248="Amapá",((W248*0.15)+(X248*0.7))*VLOOKUP(P248,'MunicípiosEstados'!$E$2:$F$17,2,FALSE),
  O248="Amazonas",((W248*0.15)+(X248*0.7))*VLOOKUP(P248,'MunicípiosEstados'!$G$2:$H$63,2,FALSE),
  O248="Bahia",((W248*0.15)+(X248*0.7))*VLOOKUP(P248,'MunicípiosEstados'!$I$2:$J$418,2,FALSE),
  O248="Ceará",((W248*0.15)+(X248*0.7))*VLOOKUP(P248,'MunicípiosEstados'!$K$2:$L$185,2,FALSE),
  O248="Distrito Federal",((W248*0.15)+(X248*0.7))*VLOOKUP(P248,'MunicípiosEstados'!$M$2:$N$2,2,FALSE),
  O248="Espírito Santo",((W248*0.15)+(X248*0.7))*VLOOKUP(P248,'MunicípiosEstados'!$O$2:$P$79,2,FALSE),
  O248="Goiás",((W248*0.15)+(X248*0.7))*VLOOKUP(P248,'MunicípiosEstados'!$Q$2:$R$247,2,FALSE),
  O248="Maranhão",((W248*0.15)+(X248*0.7))*VLOOKUP(P248,'MunicípiosEstados'!$S$2:$T$218,2,FALSE),
  O248="Mato Grosso",((W248*0.15)+(X248*0.7))*VLOOKUP(P248,'MunicípiosEstados'!$U$2:$V$143,2,FALSE),
  O248="Mato Grosso do Sul",((W248*0.15)+(X248*0.7))*VLOOKUP(P248,'MunicípiosEstados'!$W$2:$X$80,2,FALSE),
  O248="Minas Gerais",((W248*0.15)+(X248*0.7))*VLOOKUP(P248,'MunicípiosEstados'!$Y$2:$Z$854,2,FALSE),
  O248="Pará",((W248*0.15)+(X248*0.7))*VLOOKUP(P248,'MunicípiosEstados'!$AA$2:$AB$145,2,FALSE),
  O248="Paraíba",((W248*0.15)+(X248*0.7))*VLOOKUP(P248,'MunicípiosEstados'!$AC$2:$AD$224,2,FALSE),
  O248="Paraná",((W248*0.15)+(X248*0.7))*VLOOKUP(P248,'MunicípiosEstados'!$AE$2:$AF$400,2,FALSE),
  O248="Pernambuco",((W248*0.15)+(X248*0.7))*VLOOKUP(P248,'MunicípiosEstados'!$AG$2:$AH$186,2,FALSE),
  O248="Piauí",((W248*0.15)+(X248*0.7))*VLOOKUP(P248,'MunicípiosEstados'!$AI$2:$AJ$225,2,FALSE),
  O248="Rio Grande do Norte",((W248*0.15)+(X248*0.7))*VLOOKUP(P248,'MunicípiosEstados'!$AK$2:$AL$168,2,FALSE),
  O248="Rio Grande do Sul",((W248*0.15)+(X248*0.7))*VLOOKUP(P248,'MunicípiosEstados'!$AM$2:$AN$498,2,FALSE),
  O248="Rio de Janeiro",((W248*0.15)+(X248*0.7))*VLOOKUP(P248,'MunicípiosEstados'!$AO$2:$AP$93,2,FALSE),
  O248="Rondônia",((W248*0.15)+(X248*0.7))*VLOOKUP(P248,'MunicípiosEstados'!$AQ$2:$AR$53,2,FALSE),
  O248="Roraima",((W248*0.15)+(X248*0.7))*VLOOKUP(P248,'MunicípiosEstados'!$AS$2:$AT$16,2,FALSE),
  O248="Santa Catarina",((W248*0.15)+(X248*0.7))*VLOOKUP(P248,'MunicípiosEstados'!$AU$2:$AV$296,2,FALSE),
  O248="São Paulo",((W248*0.15)+(X248*0.7))*VLOOKUP(P248,'MunicípiosEstados'!$AW$2:$AX$646,2,FALSE),
  O248="Sergipe",((W248*0.15)+(X248*0.7))*VLOOKUP(P248,'MunicípiosEstados'!$AY$2:$AZ$76,2,FALSE),
  O248="Tocantins",((W248*0.15)+(X248*0.7))*VLOOKUP(P248,'MunicípiosEstados'!$BA$2:$BB$140,2,FALSE),
  O248="Exterior",((W248*0.15)+(X248*0.7))*VLOOKUP(P248,'MunicípiosEstados'!$BC$2:$BE$221,3,FALSE),TRUE,0
)
</f>
        <v>1234.8375</v>
      </c>
      <c r="AL248" s="25">
        <f t="shared" si="3"/>
        <v>3042.0775</v>
      </c>
      <c r="AN248" s="31"/>
    </row>
    <row r="249" ht="22.5" hidden="1" customHeight="1">
      <c r="A249" s="15">
        <f t="shared" si="1"/>
        <v>248</v>
      </c>
      <c r="B249" s="16">
        <v>45996.70106228009</v>
      </c>
      <c r="C249" s="17" t="s">
        <v>1326</v>
      </c>
      <c r="D249" s="27" t="s">
        <v>443</v>
      </c>
      <c r="E249" s="15" t="str">
        <f>VLOOKUP(G249,DiretoriaDepart.Coord.!$A$1:$C$72,2,FALSE)</f>
        <v>Extensão Rural</v>
      </c>
      <c r="F249" s="15" t="str">
        <f>VLOOKUP(G249,DiretoriaDepart.Coord.!$A$1:$C$72,3,FALSE)</f>
        <v>Sustentabilidade</v>
      </c>
      <c r="G249" s="17" t="s">
        <v>1032</v>
      </c>
      <c r="H249" s="15"/>
      <c r="I249" s="17" t="s">
        <v>1348</v>
      </c>
      <c r="J249" s="17" t="s">
        <v>719</v>
      </c>
      <c r="K249" s="17">
        <v>16.0</v>
      </c>
      <c r="L249" s="15"/>
      <c r="M249" s="17" t="s">
        <v>1328</v>
      </c>
      <c r="N249" s="17">
        <v>0.0</v>
      </c>
      <c r="O249" s="17" t="s">
        <v>714</v>
      </c>
      <c r="P249" s="17" t="s">
        <v>31</v>
      </c>
      <c r="Q249" s="20">
        <v>45936.333333333336</v>
      </c>
      <c r="R249" s="20">
        <v>45936.708333333336</v>
      </c>
      <c r="S249" s="17" t="s">
        <v>464</v>
      </c>
      <c r="T249" s="17" t="s">
        <v>452</v>
      </c>
      <c r="U249" s="21" t="s">
        <v>1349</v>
      </c>
      <c r="V249" s="21" t="s">
        <v>1347</v>
      </c>
      <c r="W249" s="22">
        <v>19.0</v>
      </c>
      <c r="X249" s="22">
        <v>2.0</v>
      </c>
      <c r="Y249" s="23">
        <v>0.0</v>
      </c>
      <c r="Z249" s="23">
        <v>500.0</v>
      </c>
      <c r="AA249" s="24">
        <v>0.0</v>
      </c>
      <c r="AB249" s="24">
        <v>0.0</v>
      </c>
      <c r="AC249" s="24">
        <v>0.0</v>
      </c>
      <c r="AD249" s="23">
        <v>0.0</v>
      </c>
      <c r="AE249" s="24">
        <v>0.0</v>
      </c>
      <c r="AF249" s="17" t="s">
        <v>464</v>
      </c>
      <c r="AG249" s="17">
        <v>1480.0</v>
      </c>
      <c r="AH249" s="17" t="s">
        <v>464</v>
      </c>
      <c r="AI249" s="25">
        <f>IF(AF249="Sim",INT((R249-Q249+1))*K249*VLOOKUP(P249,'Tabelas Auxiliares'!$A$1:$C$400,3,FALSE),0)</f>
        <v>362.24</v>
      </c>
      <c r="AJ249" s="25">
        <f t="shared" si="2"/>
        <v>1036</v>
      </c>
      <c r="AK249" s="25">
        <f>IFS(
  O249="Acre",((W249*0.15)+(X249*0.7))*VLOOKUP(P249,'MunicípiosEstados'!$A$2:$B$23,2,FALSE),
  O249="Alagoas",((W249*0.15)+(X249*0.7))*VLOOKUP(P249,'MunicípiosEstados'!$C$2:$D$103,2,FALSE),
  O249="Amapá",((W249*0.15)+(X249*0.7))*VLOOKUP(P249,'MunicípiosEstados'!$E$2:$F$17,2,FALSE),
  O249="Amazonas",((W249*0.15)+(X249*0.7))*VLOOKUP(P249,'MunicípiosEstados'!$G$2:$H$63,2,FALSE),
  O249="Bahia",((W249*0.15)+(X249*0.7))*VLOOKUP(P249,'MunicípiosEstados'!$I$2:$J$418,2,FALSE),
  O249="Ceará",((W249*0.15)+(X249*0.7))*VLOOKUP(P249,'MunicípiosEstados'!$K$2:$L$185,2,FALSE),
  O249="Distrito Federal",((W249*0.15)+(X249*0.7))*VLOOKUP(P249,'MunicípiosEstados'!$M$2:$N$2,2,FALSE),
  O249="Espírito Santo",((W249*0.15)+(X249*0.7))*VLOOKUP(P249,'MunicípiosEstados'!$O$2:$P$79,2,FALSE),
  O249="Goiás",((W249*0.15)+(X249*0.7))*VLOOKUP(P249,'MunicípiosEstados'!$Q$2:$R$247,2,FALSE),
  O249="Maranhão",((W249*0.15)+(X249*0.7))*VLOOKUP(P249,'MunicípiosEstados'!$S$2:$T$218,2,FALSE),
  O249="Mato Grosso",((W249*0.15)+(X249*0.7))*VLOOKUP(P249,'MunicípiosEstados'!$U$2:$V$143,2,FALSE),
  O249="Mato Grosso do Sul",((W249*0.15)+(X249*0.7))*VLOOKUP(P249,'MunicípiosEstados'!$W$2:$X$80,2,FALSE),
  O249="Minas Gerais",((W249*0.15)+(X249*0.7))*VLOOKUP(P249,'MunicípiosEstados'!$Y$2:$Z$854,2,FALSE),
  O249="Pará",((W249*0.15)+(X249*0.7))*VLOOKUP(P249,'MunicípiosEstados'!$AA$2:$AB$145,2,FALSE),
  O249="Paraíba",((W249*0.15)+(X249*0.7))*VLOOKUP(P249,'MunicípiosEstados'!$AC$2:$AD$224,2,FALSE),
  O249="Paraná",((W249*0.15)+(X249*0.7))*VLOOKUP(P249,'MunicípiosEstados'!$AE$2:$AF$400,2,FALSE),
  O249="Pernambuco",((W249*0.15)+(X249*0.7))*VLOOKUP(P249,'MunicípiosEstados'!$AG$2:$AH$186,2,FALSE),
  O249="Piauí",((W249*0.15)+(X249*0.7))*VLOOKUP(P249,'MunicípiosEstados'!$AI$2:$AJ$225,2,FALSE),
  O249="Rio Grande do Norte",((W249*0.15)+(X249*0.7))*VLOOKUP(P249,'MunicípiosEstados'!$AK$2:$AL$168,2,FALSE),
  O249="Rio Grande do Sul",((W249*0.15)+(X249*0.7))*VLOOKUP(P249,'MunicípiosEstados'!$AM$2:$AN$498,2,FALSE),
  O249="Rio de Janeiro",((W249*0.15)+(X249*0.7))*VLOOKUP(P249,'MunicípiosEstados'!$AO$2:$AP$93,2,FALSE),
  O249="Rondônia",((W249*0.15)+(X249*0.7))*VLOOKUP(P249,'MunicípiosEstados'!$AQ$2:$AR$53,2,FALSE),
  O249="Roraima",((W249*0.15)+(X249*0.7))*VLOOKUP(P249,'MunicípiosEstados'!$AS$2:$AT$16,2,FALSE),
  O249="Santa Catarina",((W249*0.15)+(X249*0.7))*VLOOKUP(P249,'MunicípiosEstados'!$AU$2:$AV$296,2,FALSE),
  O249="São Paulo",((W249*0.15)+(X249*0.7))*VLOOKUP(P249,'MunicípiosEstados'!$AW$2:$AX$646,2,FALSE),
  O249="Sergipe",((W249*0.15)+(X249*0.7))*VLOOKUP(P249,'MunicípiosEstados'!$AY$2:$AZ$76,2,FALSE),
  O249="Tocantins",((W249*0.15)+(X249*0.7))*VLOOKUP(P249,'MunicípiosEstados'!$BA$2:$BB$140,2,FALSE),
  O249="Exterior",((W249*0.15)+(X249*0.7))*VLOOKUP(P249,'MunicípiosEstados'!$BC$2:$BE$221,3,FALSE),TRUE,0
)
</f>
        <v>1234.8375</v>
      </c>
      <c r="AL249" s="25">
        <f t="shared" si="3"/>
        <v>3133.0775</v>
      </c>
      <c r="AN249" s="31"/>
    </row>
    <row r="250" ht="22.5" hidden="1" customHeight="1">
      <c r="A250" s="15">
        <f t="shared" si="1"/>
        <v>249</v>
      </c>
      <c r="B250" s="16">
        <v>45996.70344747685</v>
      </c>
      <c r="C250" s="17" t="s">
        <v>1326</v>
      </c>
      <c r="D250" s="27" t="s">
        <v>443</v>
      </c>
      <c r="E250" s="15" t="str">
        <f>VLOOKUP(G250,DiretoriaDepart.Coord.!$A$1:$C$72,2,FALSE)</f>
        <v>Extensão Rural</v>
      </c>
      <c r="F250" s="15" t="str">
        <f>VLOOKUP(G250,DiretoriaDepart.Coord.!$A$1:$C$72,3,FALSE)</f>
        <v>Sustentabilidade</v>
      </c>
      <c r="G250" s="17" t="s">
        <v>1032</v>
      </c>
      <c r="H250" s="15"/>
      <c r="I250" s="17" t="s">
        <v>1348</v>
      </c>
      <c r="J250" s="17" t="s">
        <v>719</v>
      </c>
      <c r="K250" s="17">
        <v>16.0</v>
      </c>
      <c r="L250" s="15"/>
      <c r="M250" s="17" t="s">
        <v>1328</v>
      </c>
      <c r="N250" s="17">
        <v>0.0</v>
      </c>
      <c r="O250" s="17" t="s">
        <v>714</v>
      </c>
      <c r="P250" s="17" t="s">
        <v>95</v>
      </c>
      <c r="Q250" s="20">
        <v>45938.333333333336</v>
      </c>
      <c r="R250" s="20">
        <v>45938.708333333336</v>
      </c>
      <c r="S250" s="17" t="s">
        <v>464</v>
      </c>
      <c r="T250" s="17" t="s">
        <v>452</v>
      </c>
      <c r="U250" s="21" t="s">
        <v>1349</v>
      </c>
      <c r="V250" s="21" t="s">
        <v>1347</v>
      </c>
      <c r="W250" s="22">
        <v>19.0</v>
      </c>
      <c r="X250" s="22">
        <v>2.0</v>
      </c>
      <c r="Y250" s="23">
        <v>0.0</v>
      </c>
      <c r="Z250" s="23">
        <v>500.0</v>
      </c>
      <c r="AA250" s="24">
        <v>0.0</v>
      </c>
      <c r="AB250" s="24">
        <v>0.0</v>
      </c>
      <c r="AC250" s="24">
        <v>0.0</v>
      </c>
      <c r="AD250" s="23">
        <v>0.0</v>
      </c>
      <c r="AE250" s="24">
        <v>0.0</v>
      </c>
      <c r="AF250" s="17" t="s">
        <v>464</v>
      </c>
      <c r="AG250" s="17">
        <v>1700.0</v>
      </c>
      <c r="AH250" s="17" t="s">
        <v>464</v>
      </c>
      <c r="AI250" s="25">
        <f>IF(AF250="Sim",INT((R250-Q250+1))*K250*VLOOKUP(P250,'Tabelas Auxiliares'!$A$1:$C$400,3,FALSE),0)</f>
        <v>362.24</v>
      </c>
      <c r="AJ250" s="25">
        <f t="shared" si="2"/>
        <v>1190</v>
      </c>
      <c r="AK250" s="25">
        <f>IFS(
  O250="Acre",((W250*0.15)+(X250*0.7))*VLOOKUP(P250,'MunicípiosEstados'!$A$2:$B$23,2,FALSE),
  O250="Alagoas",((W250*0.15)+(X250*0.7))*VLOOKUP(P250,'MunicípiosEstados'!$C$2:$D$103,2,FALSE),
  O250="Amapá",((W250*0.15)+(X250*0.7))*VLOOKUP(P250,'MunicípiosEstados'!$E$2:$F$17,2,FALSE),
  O250="Amazonas",((W250*0.15)+(X250*0.7))*VLOOKUP(P250,'MunicípiosEstados'!$G$2:$H$63,2,FALSE),
  O250="Bahia",((W250*0.15)+(X250*0.7))*VLOOKUP(P250,'MunicípiosEstados'!$I$2:$J$418,2,FALSE),
  O250="Ceará",((W250*0.15)+(X250*0.7))*VLOOKUP(P250,'MunicípiosEstados'!$K$2:$L$185,2,FALSE),
  O250="Distrito Federal",((W250*0.15)+(X250*0.7))*VLOOKUP(P250,'MunicípiosEstados'!$M$2:$N$2,2,FALSE),
  O250="Espírito Santo",((W250*0.15)+(X250*0.7))*VLOOKUP(P250,'MunicípiosEstados'!$O$2:$P$79,2,FALSE),
  O250="Goiás",((W250*0.15)+(X250*0.7))*VLOOKUP(P250,'MunicípiosEstados'!$Q$2:$R$247,2,FALSE),
  O250="Maranhão",((W250*0.15)+(X250*0.7))*VLOOKUP(P250,'MunicípiosEstados'!$S$2:$T$218,2,FALSE),
  O250="Mato Grosso",((W250*0.15)+(X250*0.7))*VLOOKUP(P250,'MunicípiosEstados'!$U$2:$V$143,2,FALSE),
  O250="Mato Grosso do Sul",((W250*0.15)+(X250*0.7))*VLOOKUP(P250,'MunicípiosEstados'!$W$2:$X$80,2,FALSE),
  O250="Minas Gerais",((W250*0.15)+(X250*0.7))*VLOOKUP(P250,'MunicípiosEstados'!$Y$2:$Z$854,2,FALSE),
  O250="Pará",((W250*0.15)+(X250*0.7))*VLOOKUP(P250,'MunicípiosEstados'!$AA$2:$AB$145,2,FALSE),
  O250="Paraíba",((W250*0.15)+(X250*0.7))*VLOOKUP(P250,'MunicípiosEstados'!$AC$2:$AD$224,2,FALSE),
  O250="Paraná",((W250*0.15)+(X250*0.7))*VLOOKUP(P250,'MunicípiosEstados'!$AE$2:$AF$400,2,FALSE),
  O250="Pernambuco",((W250*0.15)+(X250*0.7))*VLOOKUP(P250,'MunicípiosEstados'!$AG$2:$AH$186,2,FALSE),
  O250="Piauí",((W250*0.15)+(X250*0.7))*VLOOKUP(P250,'MunicípiosEstados'!$AI$2:$AJ$225,2,FALSE),
  O250="Rio Grande do Norte",((W250*0.15)+(X250*0.7))*VLOOKUP(P250,'MunicípiosEstados'!$AK$2:$AL$168,2,FALSE),
  O250="Rio Grande do Sul",((W250*0.15)+(X250*0.7))*VLOOKUP(P250,'MunicípiosEstados'!$AM$2:$AN$498,2,FALSE),
  O250="Rio de Janeiro",((W250*0.15)+(X250*0.7))*VLOOKUP(P250,'MunicípiosEstados'!$AO$2:$AP$93,2,FALSE),
  O250="Rondônia",((W250*0.15)+(X250*0.7))*VLOOKUP(P250,'MunicípiosEstados'!$AQ$2:$AR$53,2,FALSE),
  O250="Roraima",((W250*0.15)+(X250*0.7))*VLOOKUP(P250,'MunicípiosEstados'!$AS$2:$AT$16,2,FALSE),
  O250="Santa Catarina",((W250*0.15)+(X250*0.7))*VLOOKUP(P250,'MunicípiosEstados'!$AU$2:$AV$296,2,FALSE),
  O250="São Paulo",((W250*0.15)+(X250*0.7))*VLOOKUP(P250,'MunicípiosEstados'!$AW$2:$AX$646,2,FALSE),
  O250="Sergipe",((W250*0.15)+(X250*0.7))*VLOOKUP(P250,'MunicípiosEstados'!$AY$2:$AZ$76,2,FALSE),
  O250="Tocantins",((W250*0.15)+(X250*0.7))*VLOOKUP(P250,'MunicípiosEstados'!$BA$2:$BB$140,2,FALSE),
  O250="Exterior",((W250*0.15)+(X250*0.7))*VLOOKUP(P250,'MunicípiosEstados'!$BC$2:$BE$221,3,FALSE),TRUE,0
)
</f>
        <v>1234.8375</v>
      </c>
      <c r="AL250" s="25">
        <f t="shared" si="3"/>
        <v>3287.0775</v>
      </c>
      <c r="AN250" s="31"/>
    </row>
    <row r="251" ht="22.5" hidden="1" customHeight="1">
      <c r="A251" s="15">
        <f t="shared" si="1"/>
        <v>250</v>
      </c>
      <c r="B251" s="16">
        <v>45996.7059162963</v>
      </c>
      <c r="C251" s="17" t="s">
        <v>1326</v>
      </c>
      <c r="D251" s="27" t="s">
        <v>443</v>
      </c>
      <c r="E251" s="15" t="str">
        <f>VLOOKUP(G251,DiretoriaDepart.Coord.!$A$1:$C$72,2,FALSE)</f>
        <v>Extensão Rural</v>
      </c>
      <c r="F251" s="15" t="str">
        <f>VLOOKUP(G251,DiretoriaDepart.Coord.!$A$1:$C$72,3,FALSE)</f>
        <v>Sustentabilidade</v>
      </c>
      <c r="G251" s="17" t="s">
        <v>1032</v>
      </c>
      <c r="H251" s="15"/>
      <c r="I251" s="17" t="s">
        <v>1348</v>
      </c>
      <c r="J251" s="17" t="s">
        <v>719</v>
      </c>
      <c r="K251" s="17">
        <v>16.0</v>
      </c>
      <c r="L251" s="15"/>
      <c r="M251" s="17" t="s">
        <v>1328</v>
      </c>
      <c r="N251" s="17">
        <v>0.0</v>
      </c>
      <c r="O251" s="17" t="s">
        <v>714</v>
      </c>
      <c r="P251" s="17" t="s">
        <v>36</v>
      </c>
      <c r="Q251" s="20">
        <v>45964.333333333336</v>
      </c>
      <c r="R251" s="20">
        <v>45964.708333333336</v>
      </c>
      <c r="S251" s="17" t="s">
        <v>464</v>
      </c>
      <c r="T251" s="17" t="s">
        <v>452</v>
      </c>
      <c r="U251" s="21" t="s">
        <v>1349</v>
      </c>
      <c r="V251" s="21" t="s">
        <v>1347</v>
      </c>
      <c r="W251" s="22">
        <v>19.0</v>
      </c>
      <c r="X251" s="22">
        <v>2.0</v>
      </c>
      <c r="Y251" s="23">
        <v>0.0</v>
      </c>
      <c r="Z251" s="23">
        <v>500.0</v>
      </c>
      <c r="AA251" s="24">
        <v>0.0</v>
      </c>
      <c r="AB251" s="24">
        <v>0.0</v>
      </c>
      <c r="AC251" s="24">
        <v>0.0</v>
      </c>
      <c r="AD251" s="23">
        <v>0.0</v>
      </c>
      <c r="AE251" s="24">
        <v>0.0</v>
      </c>
      <c r="AF251" s="17" t="s">
        <v>464</v>
      </c>
      <c r="AG251" s="17">
        <v>1100.0</v>
      </c>
      <c r="AH251" s="17" t="s">
        <v>464</v>
      </c>
      <c r="AI251" s="25">
        <f>IF(AF251="Sim",INT((R251-Q251+1))*K251*VLOOKUP(P251,'Tabelas Auxiliares'!$A$1:$C$400,3,FALSE),0)</f>
        <v>319.2</v>
      </c>
      <c r="AJ251" s="25">
        <f t="shared" si="2"/>
        <v>770</v>
      </c>
      <c r="AK251" s="25">
        <f>IFS(
  O251="Acre",((W251*0.15)+(X251*0.7))*VLOOKUP(P251,'MunicípiosEstados'!$A$2:$B$23,2,FALSE),
  O251="Alagoas",((W251*0.15)+(X251*0.7))*VLOOKUP(P251,'MunicípiosEstados'!$C$2:$D$103,2,FALSE),
  O251="Amapá",((W251*0.15)+(X251*0.7))*VLOOKUP(P251,'MunicípiosEstados'!$E$2:$F$17,2,FALSE),
  O251="Amazonas",((W251*0.15)+(X251*0.7))*VLOOKUP(P251,'MunicípiosEstados'!$G$2:$H$63,2,FALSE),
  O251="Bahia",((W251*0.15)+(X251*0.7))*VLOOKUP(P251,'MunicípiosEstados'!$I$2:$J$418,2,FALSE),
  O251="Ceará",((W251*0.15)+(X251*0.7))*VLOOKUP(P251,'MunicípiosEstados'!$K$2:$L$185,2,FALSE),
  O251="Distrito Federal",((W251*0.15)+(X251*0.7))*VLOOKUP(P251,'MunicípiosEstados'!$M$2:$N$2,2,FALSE),
  O251="Espírito Santo",((W251*0.15)+(X251*0.7))*VLOOKUP(P251,'MunicípiosEstados'!$O$2:$P$79,2,FALSE),
  O251="Goiás",((W251*0.15)+(X251*0.7))*VLOOKUP(P251,'MunicípiosEstados'!$Q$2:$R$247,2,FALSE),
  O251="Maranhão",((W251*0.15)+(X251*0.7))*VLOOKUP(P251,'MunicípiosEstados'!$S$2:$T$218,2,FALSE),
  O251="Mato Grosso",((W251*0.15)+(X251*0.7))*VLOOKUP(P251,'MunicípiosEstados'!$U$2:$V$143,2,FALSE),
  O251="Mato Grosso do Sul",((W251*0.15)+(X251*0.7))*VLOOKUP(P251,'MunicípiosEstados'!$W$2:$X$80,2,FALSE),
  O251="Minas Gerais",((W251*0.15)+(X251*0.7))*VLOOKUP(P251,'MunicípiosEstados'!$Y$2:$Z$854,2,FALSE),
  O251="Pará",((W251*0.15)+(X251*0.7))*VLOOKUP(P251,'MunicípiosEstados'!$AA$2:$AB$145,2,FALSE),
  O251="Paraíba",((W251*0.15)+(X251*0.7))*VLOOKUP(P251,'MunicípiosEstados'!$AC$2:$AD$224,2,FALSE),
  O251="Paraná",((W251*0.15)+(X251*0.7))*VLOOKUP(P251,'MunicípiosEstados'!$AE$2:$AF$400,2,FALSE),
  O251="Pernambuco",((W251*0.15)+(X251*0.7))*VLOOKUP(P251,'MunicípiosEstados'!$AG$2:$AH$186,2,FALSE),
  O251="Piauí",((W251*0.15)+(X251*0.7))*VLOOKUP(P251,'MunicípiosEstados'!$AI$2:$AJ$225,2,FALSE),
  O251="Rio Grande do Norte",((W251*0.15)+(X251*0.7))*VLOOKUP(P251,'MunicípiosEstados'!$AK$2:$AL$168,2,FALSE),
  O251="Rio Grande do Sul",((W251*0.15)+(X251*0.7))*VLOOKUP(P251,'MunicípiosEstados'!$AM$2:$AN$498,2,FALSE),
  O251="Rio de Janeiro",((W251*0.15)+(X251*0.7))*VLOOKUP(P251,'MunicípiosEstados'!$AO$2:$AP$93,2,FALSE),
  O251="Rondônia",((W251*0.15)+(X251*0.7))*VLOOKUP(P251,'MunicípiosEstados'!$AQ$2:$AR$53,2,FALSE),
  O251="Roraima",((W251*0.15)+(X251*0.7))*VLOOKUP(P251,'MunicípiosEstados'!$AS$2:$AT$16,2,FALSE),
  O251="Santa Catarina",((W251*0.15)+(X251*0.7))*VLOOKUP(P251,'MunicípiosEstados'!$AU$2:$AV$296,2,FALSE),
  O251="São Paulo",((W251*0.15)+(X251*0.7))*VLOOKUP(P251,'MunicípiosEstados'!$AW$2:$AX$646,2,FALSE),
  O251="Sergipe",((W251*0.15)+(X251*0.7))*VLOOKUP(P251,'MunicípiosEstados'!$AY$2:$AZ$76,2,FALSE),
  O251="Tocantins",((W251*0.15)+(X251*0.7))*VLOOKUP(P251,'MunicípiosEstados'!$BA$2:$BB$140,2,FALSE),
  O251="Exterior",((W251*0.15)+(X251*0.7))*VLOOKUP(P251,'MunicípiosEstados'!$BC$2:$BE$221,3,FALSE),TRUE,0
)
</f>
        <v>1234.8375</v>
      </c>
      <c r="AL251" s="25">
        <f t="shared" si="3"/>
        <v>2824.0375</v>
      </c>
      <c r="AN251" s="31"/>
    </row>
    <row r="252" ht="22.5" hidden="1" customHeight="1">
      <c r="A252" s="15">
        <f t="shared" si="1"/>
        <v>251</v>
      </c>
      <c r="B252" s="16">
        <v>45996.715368819445</v>
      </c>
      <c r="C252" s="17" t="s">
        <v>1326</v>
      </c>
      <c r="D252" s="27" t="s">
        <v>443</v>
      </c>
      <c r="E252" s="15" t="str">
        <f>VLOOKUP(G252,DiretoriaDepart.Coord.!$A$1:$C$72,2,FALSE)</f>
        <v>Extensão Rural</v>
      </c>
      <c r="F252" s="15" t="str">
        <f>VLOOKUP(G252,DiretoriaDepart.Coord.!$A$1:$C$72,3,FALSE)</f>
        <v>Sustentabilidade</v>
      </c>
      <c r="G252" s="17" t="s">
        <v>1032</v>
      </c>
      <c r="H252" s="15"/>
      <c r="I252" s="17" t="s">
        <v>1350</v>
      </c>
      <c r="J252" s="17" t="s">
        <v>883</v>
      </c>
      <c r="K252" s="17">
        <v>42.0</v>
      </c>
      <c r="L252" s="15"/>
      <c r="M252" s="17" t="s">
        <v>1328</v>
      </c>
      <c r="N252" s="17">
        <v>0.0</v>
      </c>
      <c r="O252" s="17" t="s">
        <v>714</v>
      </c>
      <c r="P252" s="17" t="s">
        <v>6</v>
      </c>
      <c r="Q252" s="20">
        <v>45734.333333333336</v>
      </c>
      <c r="R252" s="20">
        <v>45735.708333333336</v>
      </c>
      <c r="S252" s="17" t="s">
        <v>464</v>
      </c>
      <c r="T252" s="17" t="s">
        <v>452</v>
      </c>
      <c r="U252" s="21" t="s">
        <v>1351</v>
      </c>
      <c r="V252" s="21" t="s">
        <v>1352</v>
      </c>
      <c r="W252" s="22">
        <v>336.0</v>
      </c>
      <c r="X252" s="22">
        <v>126.0</v>
      </c>
      <c r="Y252" s="23">
        <v>0.0</v>
      </c>
      <c r="Z252" s="23">
        <v>200.0</v>
      </c>
      <c r="AA252" s="24">
        <v>0.0</v>
      </c>
      <c r="AB252" s="24">
        <v>0.0</v>
      </c>
      <c r="AC252" s="24">
        <v>0.0</v>
      </c>
      <c r="AD252" s="23">
        <v>0.0</v>
      </c>
      <c r="AE252" s="24">
        <v>0.0</v>
      </c>
      <c r="AF252" s="17" t="s">
        <v>464</v>
      </c>
      <c r="AG252" s="17">
        <v>16200.0</v>
      </c>
      <c r="AH252" s="17" t="s">
        <v>464</v>
      </c>
      <c r="AI252" s="25">
        <f>IF(AF252="Sim",INT((R252-Q252+1))*K252*VLOOKUP(P252,'Tabelas Auxiliares'!$A$1:$C$400,3,FALSE),0)</f>
        <v>1901.76</v>
      </c>
      <c r="AJ252" s="25">
        <f t="shared" si="2"/>
        <v>11340</v>
      </c>
      <c r="AK252" s="25">
        <f>IFS(
  O252="Acre",((W252*0.15)+(X252*0.7))*VLOOKUP(P252,'MunicípiosEstados'!$A$2:$B$23,2,FALSE),
  O252="Alagoas",((W252*0.15)+(X252*0.7))*VLOOKUP(P252,'MunicípiosEstados'!$C$2:$D$103,2,FALSE),
  O252="Amapá",((W252*0.15)+(X252*0.7))*VLOOKUP(P252,'MunicípiosEstados'!$E$2:$F$17,2,FALSE),
  O252="Amazonas",((W252*0.15)+(X252*0.7))*VLOOKUP(P252,'MunicípiosEstados'!$G$2:$H$63,2,FALSE),
  O252="Bahia",((W252*0.15)+(X252*0.7))*VLOOKUP(P252,'MunicípiosEstados'!$I$2:$J$418,2,FALSE),
  O252="Ceará",((W252*0.15)+(X252*0.7))*VLOOKUP(P252,'MunicípiosEstados'!$K$2:$L$185,2,FALSE),
  O252="Distrito Federal",((W252*0.15)+(X252*0.7))*VLOOKUP(P252,'MunicípiosEstados'!$M$2:$N$2,2,FALSE),
  O252="Espírito Santo",((W252*0.15)+(X252*0.7))*VLOOKUP(P252,'MunicípiosEstados'!$O$2:$P$79,2,FALSE),
  O252="Goiás",((W252*0.15)+(X252*0.7))*VLOOKUP(P252,'MunicípiosEstados'!$Q$2:$R$247,2,FALSE),
  O252="Maranhão",((W252*0.15)+(X252*0.7))*VLOOKUP(P252,'MunicípiosEstados'!$S$2:$T$218,2,FALSE),
  O252="Mato Grosso",((W252*0.15)+(X252*0.7))*VLOOKUP(P252,'MunicípiosEstados'!$U$2:$V$143,2,FALSE),
  O252="Mato Grosso do Sul",((W252*0.15)+(X252*0.7))*VLOOKUP(P252,'MunicípiosEstados'!$W$2:$X$80,2,FALSE),
  O252="Minas Gerais",((W252*0.15)+(X252*0.7))*VLOOKUP(P252,'MunicípiosEstados'!$Y$2:$Z$854,2,FALSE),
  O252="Pará",((W252*0.15)+(X252*0.7))*VLOOKUP(P252,'MunicípiosEstados'!$AA$2:$AB$145,2,FALSE),
  O252="Paraíba",((W252*0.15)+(X252*0.7))*VLOOKUP(P252,'MunicípiosEstados'!$AC$2:$AD$224,2,FALSE),
  O252="Paraná",((W252*0.15)+(X252*0.7))*VLOOKUP(P252,'MunicípiosEstados'!$AE$2:$AF$400,2,FALSE),
  O252="Pernambuco",((W252*0.15)+(X252*0.7))*VLOOKUP(P252,'MunicípiosEstados'!$AG$2:$AH$186,2,FALSE),
  O252="Piauí",((W252*0.15)+(X252*0.7))*VLOOKUP(P252,'MunicípiosEstados'!$AI$2:$AJ$225,2,FALSE),
  O252="Rio Grande do Norte",((W252*0.15)+(X252*0.7))*VLOOKUP(P252,'MunicípiosEstados'!$AK$2:$AL$168,2,FALSE),
  O252="Rio Grande do Sul",((W252*0.15)+(X252*0.7))*VLOOKUP(P252,'MunicípiosEstados'!$AM$2:$AN$498,2,FALSE),
  O252="Rio de Janeiro",((W252*0.15)+(X252*0.7))*VLOOKUP(P252,'MunicípiosEstados'!$AO$2:$AP$93,2,FALSE),
  O252="Rondônia",((W252*0.15)+(X252*0.7))*VLOOKUP(P252,'MunicípiosEstados'!$AQ$2:$AR$53,2,FALSE),
  O252="Roraima",((W252*0.15)+(X252*0.7))*VLOOKUP(P252,'MunicípiosEstados'!$AS$2:$AT$16,2,FALSE),
  O252="Santa Catarina",((W252*0.15)+(X252*0.7))*VLOOKUP(P252,'MunicípiosEstados'!$AU$2:$AV$296,2,FALSE),
  O252="São Paulo",((W252*0.15)+(X252*0.7))*VLOOKUP(P252,'MunicípiosEstados'!$AW$2:$AX$646,2,FALSE),
  O252="Sergipe",((W252*0.15)+(X252*0.7))*VLOOKUP(P252,'MunicípiosEstados'!$AY$2:$AZ$76,2,FALSE),
  O252="Tocantins",((W252*0.15)+(X252*0.7))*VLOOKUP(P252,'MunicípiosEstados'!$BA$2:$BB$140,2,FALSE),
  O252="Exterior",((W252*0.15)+(X252*0.7))*VLOOKUP(P252,'MunicípiosEstados'!$BC$2:$BE$221,3,FALSE),TRUE,0
)
</f>
        <v>51456.636</v>
      </c>
      <c r="AL252" s="25">
        <f t="shared" si="3"/>
        <v>64898.396</v>
      </c>
      <c r="AN252" s="31"/>
    </row>
    <row r="253" ht="22.5" hidden="1" customHeight="1">
      <c r="A253" s="15">
        <f t="shared" si="1"/>
        <v>252</v>
      </c>
      <c r="B253" s="16">
        <v>45996.72131253472</v>
      </c>
      <c r="C253" s="17" t="s">
        <v>1326</v>
      </c>
      <c r="D253" s="27" t="s">
        <v>443</v>
      </c>
      <c r="E253" s="15" t="str">
        <f>VLOOKUP(G253,DiretoriaDepart.Coord.!$A$1:$C$72,2,FALSE)</f>
        <v>Extensão Rural</v>
      </c>
      <c r="F253" s="15" t="str">
        <f>VLOOKUP(G253,DiretoriaDepart.Coord.!$A$1:$C$72,3,FALSE)</f>
        <v>Sustentabilidade</v>
      </c>
      <c r="G253" s="17" t="s">
        <v>1032</v>
      </c>
      <c r="H253" s="15"/>
      <c r="I253" s="17" t="s">
        <v>1350</v>
      </c>
      <c r="J253" s="17" t="s">
        <v>883</v>
      </c>
      <c r="K253" s="17">
        <v>42.0</v>
      </c>
      <c r="L253" s="15"/>
      <c r="M253" s="17" t="s">
        <v>1328</v>
      </c>
      <c r="N253" s="17">
        <v>0.0</v>
      </c>
      <c r="O253" s="17" t="s">
        <v>714</v>
      </c>
      <c r="P253" s="17" t="s">
        <v>6</v>
      </c>
      <c r="Q253" s="20">
        <v>45916.333333333336</v>
      </c>
      <c r="R253" s="20">
        <v>45917.708333333336</v>
      </c>
      <c r="S253" s="17" t="s">
        <v>464</v>
      </c>
      <c r="T253" s="17" t="s">
        <v>452</v>
      </c>
      <c r="U253" s="21" t="s">
        <v>1353</v>
      </c>
      <c r="V253" s="21" t="s">
        <v>1354</v>
      </c>
      <c r="W253" s="22">
        <v>336.0</v>
      </c>
      <c r="X253" s="22">
        <v>126.0</v>
      </c>
      <c r="Y253" s="23">
        <v>0.0</v>
      </c>
      <c r="Z253" s="23">
        <v>200.0</v>
      </c>
      <c r="AA253" s="24">
        <v>0.0</v>
      </c>
      <c r="AB253" s="24">
        <v>0.0</v>
      </c>
      <c r="AC253" s="24">
        <v>0.0</v>
      </c>
      <c r="AD253" s="23">
        <v>0.0</v>
      </c>
      <c r="AE253" s="24">
        <v>0.0</v>
      </c>
      <c r="AF253" s="17" t="s">
        <v>464</v>
      </c>
      <c r="AG253" s="17">
        <v>16200.0</v>
      </c>
      <c r="AH253" s="17" t="s">
        <v>464</v>
      </c>
      <c r="AI253" s="25">
        <f>IF(AF253="Sim",INT((R253-Q253+1))*K253*VLOOKUP(P253,'Tabelas Auxiliares'!$A$1:$C$400,3,FALSE),0)</f>
        <v>1901.76</v>
      </c>
      <c r="AJ253" s="25">
        <f t="shared" si="2"/>
        <v>11340</v>
      </c>
      <c r="AK253" s="25">
        <f>IFS(
  O253="Acre",((W253*0.15)+(X253*0.7))*VLOOKUP(P253,'MunicípiosEstados'!$A$2:$B$23,2,FALSE),
  O253="Alagoas",((W253*0.15)+(X253*0.7))*VLOOKUP(P253,'MunicípiosEstados'!$C$2:$D$103,2,FALSE),
  O253="Amapá",((W253*0.15)+(X253*0.7))*VLOOKUP(P253,'MunicípiosEstados'!$E$2:$F$17,2,FALSE),
  O253="Amazonas",((W253*0.15)+(X253*0.7))*VLOOKUP(P253,'MunicípiosEstados'!$G$2:$H$63,2,FALSE),
  O253="Bahia",((W253*0.15)+(X253*0.7))*VLOOKUP(P253,'MunicípiosEstados'!$I$2:$J$418,2,FALSE),
  O253="Ceará",((W253*0.15)+(X253*0.7))*VLOOKUP(P253,'MunicípiosEstados'!$K$2:$L$185,2,FALSE),
  O253="Distrito Federal",((W253*0.15)+(X253*0.7))*VLOOKUP(P253,'MunicípiosEstados'!$M$2:$N$2,2,FALSE),
  O253="Espírito Santo",((W253*0.15)+(X253*0.7))*VLOOKUP(P253,'MunicípiosEstados'!$O$2:$P$79,2,FALSE),
  O253="Goiás",((W253*0.15)+(X253*0.7))*VLOOKUP(P253,'MunicípiosEstados'!$Q$2:$R$247,2,FALSE),
  O253="Maranhão",((W253*0.15)+(X253*0.7))*VLOOKUP(P253,'MunicípiosEstados'!$S$2:$T$218,2,FALSE),
  O253="Mato Grosso",((W253*0.15)+(X253*0.7))*VLOOKUP(P253,'MunicípiosEstados'!$U$2:$V$143,2,FALSE),
  O253="Mato Grosso do Sul",((W253*0.15)+(X253*0.7))*VLOOKUP(P253,'MunicípiosEstados'!$W$2:$X$80,2,FALSE),
  O253="Minas Gerais",((W253*0.15)+(X253*0.7))*VLOOKUP(P253,'MunicípiosEstados'!$Y$2:$Z$854,2,FALSE),
  O253="Pará",((W253*0.15)+(X253*0.7))*VLOOKUP(P253,'MunicípiosEstados'!$AA$2:$AB$145,2,FALSE),
  O253="Paraíba",((W253*0.15)+(X253*0.7))*VLOOKUP(P253,'MunicípiosEstados'!$AC$2:$AD$224,2,FALSE),
  O253="Paraná",((W253*0.15)+(X253*0.7))*VLOOKUP(P253,'MunicípiosEstados'!$AE$2:$AF$400,2,FALSE),
  O253="Pernambuco",((W253*0.15)+(X253*0.7))*VLOOKUP(P253,'MunicípiosEstados'!$AG$2:$AH$186,2,FALSE),
  O253="Piauí",((W253*0.15)+(X253*0.7))*VLOOKUP(P253,'MunicípiosEstados'!$AI$2:$AJ$225,2,FALSE),
  O253="Rio Grande do Norte",((W253*0.15)+(X253*0.7))*VLOOKUP(P253,'MunicípiosEstados'!$AK$2:$AL$168,2,FALSE),
  O253="Rio Grande do Sul",((W253*0.15)+(X253*0.7))*VLOOKUP(P253,'MunicípiosEstados'!$AM$2:$AN$498,2,FALSE),
  O253="Rio de Janeiro",((W253*0.15)+(X253*0.7))*VLOOKUP(P253,'MunicípiosEstados'!$AO$2:$AP$93,2,FALSE),
  O253="Rondônia",((W253*0.15)+(X253*0.7))*VLOOKUP(P253,'MunicípiosEstados'!$AQ$2:$AR$53,2,FALSE),
  O253="Roraima",((W253*0.15)+(X253*0.7))*VLOOKUP(P253,'MunicípiosEstados'!$AS$2:$AT$16,2,FALSE),
  O253="Santa Catarina",((W253*0.15)+(X253*0.7))*VLOOKUP(P253,'MunicípiosEstados'!$AU$2:$AV$296,2,FALSE),
  O253="São Paulo",((W253*0.15)+(X253*0.7))*VLOOKUP(P253,'MunicípiosEstados'!$AW$2:$AX$646,2,FALSE),
  O253="Sergipe",((W253*0.15)+(X253*0.7))*VLOOKUP(P253,'MunicípiosEstados'!$AY$2:$AZ$76,2,FALSE),
  O253="Tocantins",((W253*0.15)+(X253*0.7))*VLOOKUP(P253,'MunicípiosEstados'!$BA$2:$BB$140,2,FALSE),
  O253="Exterior",((W253*0.15)+(X253*0.7))*VLOOKUP(P253,'MunicípiosEstados'!$BC$2:$BE$221,3,FALSE),TRUE,0
)
</f>
        <v>51456.636</v>
      </c>
      <c r="AL253" s="25">
        <f t="shared" si="3"/>
        <v>64898.396</v>
      </c>
      <c r="AN253" s="31"/>
    </row>
    <row r="254" ht="22.5" customHeight="1">
      <c r="A254" s="15">
        <f t="shared" si="1"/>
        <v>253</v>
      </c>
      <c r="B254" s="16">
        <v>45998.76875166666</v>
      </c>
      <c r="C254" s="17" t="s">
        <v>696</v>
      </c>
      <c r="D254" s="27" t="s">
        <v>443</v>
      </c>
      <c r="E254" s="15" t="str">
        <f>VLOOKUP(G254,DiretoriaDepart.Coord.!$A$1:$C$72,2,FALSE)</f>
        <v>Extensão Rural</v>
      </c>
      <c r="F254" s="15" t="str">
        <f>VLOOKUP(G254,DiretoriaDepart.Coord.!$A$1:$C$72,3,FALSE)</f>
        <v>Projetos e Cadeias Produtivas</v>
      </c>
      <c r="G254" s="17" t="s">
        <v>697</v>
      </c>
      <c r="H254" s="15"/>
      <c r="I254" s="17" t="s">
        <v>1355</v>
      </c>
      <c r="J254" s="17" t="s">
        <v>728</v>
      </c>
      <c r="K254" s="34" t="s">
        <v>1272</v>
      </c>
      <c r="L254" s="15"/>
      <c r="M254" s="17" t="s">
        <v>1356</v>
      </c>
      <c r="N254" s="17">
        <v>0.0</v>
      </c>
      <c r="O254" s="17" t="s">
        <v>714</v>
      </c>
      <c r="P254" s="17" t="s">
        <v>154</v>
      </c>
      <c r="Q254" s="20">
        <v>45782.354166666664</v>
      </c>
      <c r="R254" s="20">
        <v>45785.708333333336</v>
      </c>
      <c r="S254" s="17" t="s">
        <v>451</v>
      </c>
      <c r="T254" s="17" t="s">
        <v>452</v>
      </c>
      <c r="U254" s="21" t="s">
        <v>1357</v>
      </c>
      <c r="V254" s="21" t="s">
        <v>1358</v>
      </c>
      <c r="W254" s="22">
        <v>50.0</v>
      </c>
      <c r="X254" s="22">
        <v>25.0</v>
      </c>
      <c r="Y254" s="23">
        <v>0.0</v>
      </c>
      <c r="Z254" s="23">
        <v>0.0</v>
      </c>
      <c r="AA254" s="24">
        <v>0.0</v>
      </c>
      <c r="AB254" s="24">
        <v>0.0</v>
      </c>
      <c r="AC254" s="24">
        <v>0.0</v>
      </c>
      <c r="AD254" s="23">
        <v>0.0</v>
      </c>
      <c r="AE254" s="24">
        <v>0.0</v>
      </c>
      <c r="AF254" s="17" t="s">
        <v>451</v>
      </c>
      <c r="AG254" s="17">
        <v>1300.0</v>
      </c>
      <c r="AH254" s="17" t="s">
        <v>464</v>
      </c>
      <c r="AI254" s="25">
        <f>IF(AF254="Sim",INT((R254-Q254+1))*K254*VLOOKUP(P254,'Tabelas Auxiliares'!$A$1:$C$400,3,FALSE),0)</f>
        <v>0</v>
      </c>
      <c r="AJ254" s="25">
        <f t="shared" si="2"/>
        <v>910</v>
      </c>
      <c r="AK254" s="25">
        <f>IFS(
  O254="Acre",((W254*0.15)+(X254*0.7))*VLOOKUP(P254,'MunicípiosEstados'!$A$2:$B$23,2,FALSE),
  O254="Alagoas",((W254*0.15)+(X254*0.7))*VLOOKUP(P254,'MunicípiosEstados'!$C$2:$D$103,2,FALSE),
  O254="Amapá",((W254*0.15)+(X254*0.7))*VLOOKUP(P254,'MunicípiosEstados'!$E$2:$F$17,2,FALSE),
  O254="Amazonas",((W254*0.15)+(X254*0.7))*VLOOKUP(P254,'MunicípiosEstados'!$G$2:$H$63,2,FALSE),
  O254="Bahia",((W254*0.15)+(X254*0.7))*VLOOKUP(P254,'MunicípiosEstados'!$I$2:$J$418,2,FALSE),
  O254="Ceará",((W254*0.15)+(X254*0.7))*VLOOKUP(P254,'MunicípiosEstados'!$K$2:$L$185,2,FALSE),
  O254="Distrito Federal",((W254*0.15)+(X254*0.7))*VLOOKUP(P254,'MunicípiosEstados'!$M$2:$N$2,2,FALSE),
  O254="Espírito Santo",((W254*0.15)+(X254*0.7))*VLOOKUP(P254,'MunicípiosEstados'!$O$2:$P$79,2,FALSE),
  O254="Goiás",((W254*0.15)+(X254*0.7))*VLOOKUP(P254,'MunicípiosEstados'!$Q$2:$R$247,2,FALSE),
  O254="Maranhão",((W254*0.15)+(X254*0.7))*VLOOKUP(P254,'MunicípiosEstados'!$S$2:$T$218,2,FALSE),
  O254="Mato Grosso",((W254*0.15)+(X254*0.7))*VLOOKUP(P254,'MunicípiosEstados'!$U$2:$V$143,2,FALSE),
  O254="Mato Grosso do Sul",((W254*0.15)+(X254*0.7))*VLOOKUP(P254,'MunicípiosEstados'!$W$2:$X$80,2,FALSE),
  O254="Minas Gerais",((W254*0.15)+(X254*0.7))*VLOOKUP(P254,'MunicípiosEstados'!$Y$2:$Z$854,2,FALSE),
  O254="Pará",((W254*0.15)+(X254*0.7))*VLOOKUP(P254,'MunicípiosEstados'!$AA$2:$AB$145,2,FALSE),
  O254="Paraíba",((W254*0.15)+(X254*0.7))*VLOOKUP(P254,'MunicípiosEstados'!$AC$2:$AD$224,2,FALSE),
  O254="Paraná",((W254*0.15)+(X254*0.7))*VLOOKUP(P254,'MunicípiosEstados'!$AE$2:$AF$400,2,FALSE),
  O254="Pernambuco",((W254*0.15)+(X254*0.7))*VLOOKUP(P254,'MunicípiosEstados'!$AG$2:$AH$186,2,FALSE),
  O254="Piauí",((W254*0.15)+(X254*0.7))*VLOOKUP(P254,'MunicípiosEstados'!$AI$2:$AJ$225,2,FALSE),
  O254="Rio Grande do Norte",((W254*0.15)+(X254*0.7))*VLOOKUP(P254,'MunicípiosEstados'!$AK$2:$AL$168,2,FALSE),
  O254="Rio Grande do Sul",((W254*0.15)+(X254*0.7))*VLOOKUP(P254,'MunicípiosEstados'!$AM$2:$AN$498,2,FALSE),
  O254="Rio de Janeiro",((W254*0.15)+(X254*0.7))*VLOOKUP(P254,'MunicípiosEstados'!$AO$2:$AP$93,2,FALSE),
  O254="Rondônia",((W254*0.15)+(X254*0.7))*VLOOKUP(P254,'MunicípiosEstados'!$AQ$2:$AR$53,2,FALSE),
  O254="Roraima",((W254*0.15)+(X254*0.7))*VLOOKUP(P254,'MunicípiosEstados'!$AS$2:$AT$16,2,FALSE),
  O254="Santa Catarina",((W254*0.15)+(X254*0.7))*VLOOKUP(P254,'MunicípiosEstados'!$AU$2:$AV$296,2,FALSE),
  O254="São Paulo",((W254*0.15)+(X254*0.7))*VLOOKUP(P254,'MunicípiosEstados'!$AW$2:$AX$646,2,FALSE),
  O254="Sergipe",((W254*0.15)+(X254*0.7))*VLOOKUP(P254,'MunicípiosEstados'!$AY$2:$AZ$76,2,FALSE),
  O254="Tocantins",((W254*0.15)+(X254*0.7))*VLOOKUP(P254,'MunicípiosEstados'!$BA$2:$BB$140,2,FALSE),
  O254="Exterior",((W254*0.15)+(X254*0.7))*VLOOKUP(P254,'MunicípiosEstados'!$BC$2:$BE$221,3,FALSE),TRUE,0
)
</f>
        <v>7263.75</v>
      </c>
      <c r="AL254" s="25">
        <f t="shared" si="3"/>
        <v>8173.75</v>
      </c>
      <c r="AN254" s="31"/>
    </row>
    <row r="255" ht="22.5" customHeight="1">
      <c r="A255" s="15">
        <f t="shared" si="1"/>
        <v>254</v>
      </c>
      <c r="B255" s="16">
        <v>45998.78643032408</v>
      </c>
      <c r="C255" s="17" t="s">
        <v>696</v>
      </c>
      <c r="D255" s="27" t="s">
        <v>443</v>
      </c>
      <c r="E255" s="15" t="str">
        <f>VLOOKUP(G255,DiretoriaDepart.Coord.!$A$1:$C$72,2,FALSE)</f>
        <v>Extensão Rural</v>
      </c>
      <c r="F255" s="15" t="str">
        <f>VLOOKUP(G255,DiretoriaDepart.Coord.!$A$1:$C$72,3,FALSE)</f>
        <v>Projetos e Cadeias Produtivas</v>
      </c>
      <c r="G255" s="17" t="s">
        <v>697</v>
      </c>
      <c r="H255" s="15"/>
      <c r="I255" s="17" t="s">
        <v>1359</v>
      </c>
      <c r="J255" s="17" t="s">
        <v>728</v>
      </c>
      <c r="K255" s="17">
        <v>30.0</v>
      </c>
      <c r="L255" s="15"/>
      <c r="M255" s="17" t="s">
        <v>1360</v>
      </c>
      <c r="N255" s="17">
        <v>0.0</v>
      </c>
      <c r="O255" s="17" t="s">
        <v>714</v>
      </c>
      <c r="P255" s="17" t="s">
        <v>18</v>
      </c>
      <c r="Q255" s="20">
        <v>45844.583333333336</v>
      </c>
      <c r="R255" s="20">
        <v>45848.5</v>
      </c>
      <c r="S255" s="17" t="s">
        <v>451</v>
      </c>
      <c r="T255" s="17" t="s">
        <v>452</v>
      </c>
      <c r="U255" s="21" t="s">
        <v>1361</v>
      </c>
      <c r="V255" s="21" t="s">
        <v>1362</v>
      </c>
      <c r="W255" s="22">
        <v>300.0</v>
      </c>
      <c r="X255" s="22">
        <v>150.0</v>
      </c>
      <c r="Y255" s="23">
        <v>0.0</v>
      </c>
      <c r="Z255" s="23">
        <v>0.0</v>
      </c>
      <c r="AA255" s="24">
        <v>0.0</v>
      </c>
      <c r="AB255" s="24">
        <v>0.0</v>
      </c>
      <c r="AC255" s="24">
        <v>0.0</v>
      </c>
      <c r="AD255" s="23">
        <v>0.0</v>
      </c>
      <c r="AE255" s="24">
        <v>0.0</v>
      </c>
      <c r="AF255" s="17" t="s">
        <v>464</v>
      </c>
      <c r="AG255" s="17">
        <v>6000.0</v>
      </c>
      <c r="AH255" s="17" t="s">
        <v>464</v>
      </c>
      <c r="AI255" s="25">
        <f>IF(AF255="Sim",INT((R255-Q255+1))*K255*VLOOKUP(P255,'Tabelas Auxiliares'!$A$1:$C$400,3,FALSE),0)</f>
        <v>2716.8</v>
      </c>
      <c r="AJ255" s="25">
        <f t="shared" si="2"/>
        <v>4200</v>
      </c>
      <c r="AK255" s="25">
        <f>IFS(
  O255="Acre",((W255*0.15)+(X255*0.7))*VLOOKUP(P255,'MunicípiosEstados'!$A$2:$B$23,2,FALSE),
  O255="Alagoas",((W255*0.15)+(X255*0.7))*VLOOKUP(P255,'MunicípiosEstados'!$C$2:$D$103,2,FALSE),
  O255="Amapá",((W255*0.15)+(X255*0.7))*VLOOKUP(P255,'MunicípiosEstados'!$E$2:$F$17,2,FALSE),
  O255="Amazonas",((W255*0.15)+(X255*0.7))*VLOOKUP(P255,'MunicípiosEstados'!$G$2:$H$63,2,FALSE),
  O255="Bahia",((W255*0.15)+(X255*0.7))*VLOOKUP(P255,'MunicípiosEstados'!$I$2:$J$418,2,FALSE),
  O255="Ceará",((W255*0.15)+(X255*0.7))*VLOOKUP(P255,'MunicípiosEstados'!$K$2:$L$185,2,FALSE),
  O255="Distrito Federal",((W255*0.15)+(X255*0.7))*VLOOKUP(P255,'MunicípiosEstados'!$M$2:$N$2,2,FALSE),
  O255="Espírito Santo",((W255*0.15)+(X255*0.7))*VLOOKUP(P255,'MunicípiosEstados'!$O$2:$P$79,2,FALSE),
  O255="Goiás",((W255*0.15)+(X255*0.7))*VLOOKUP(P255,'MunicípiosEstados'!$Q$2:$R$247,2,FALSE),
  O255="Maranhão",((W255*0.15)+(X255*0.7))*VLOOKUP(P255,'MunicípiosEstados'!$S$2:$T$218,2,FALSE),
  O255="Mato Grosso",((W255*0.15)+(X255*0.7))*VLOOKUP(P255,'MunicípiosEstados'!$U$2:$V$143,2,FALSE),
  O255="Mato Grosso do Sul",((W255*0.15)+(X255*0.7))*VLOOKUP(P255,'MunicípiosEstados'!$W$2:$X$80,2,FALSE),
  O255="Minas Gerais",((W255*0.15)+(X255*0.7))*VLOOKUP(P255,'MunicípiosEstados'!$Y$2:$Z$854,2,FALSE),
  O255="Pará",((W255*0.15)+(X255*0.7))*VLOOKUP(P255,'MunicípiosEstados'!$AA$2:$AB$145,2,FALSE),
  O255="Paraíba",((W255*0.15)+(X255*0.7))*VLOOKUP(P255,'MunicípiosEstados'!$AC$2:$AD$224,2,FALSE),
  O255="Paraná",((W255*0.15)+(X255*0.7))*VLOOKUP(P255,'MunicípiosEstados'!$AE$2:$AF$400,2,FALSE),
  O255="Pernambuco",((W255*0.15)+(X255*0.7))*VLOOKUP(P255,'MunicípiosEstados'!$AG$2:$AH$186,2,FALSE),
  O255="Piauí",((W255*0.15)+(X255*0.7))*VLOOKUP(P255,'MunicípiosEstados'!$AI$2:$AJ$225,2,FALSE),
  O255="Rio Grande do Norte",((W255*0.15)+(X255*0.7))*VLOOKUP(P255,'MunicípiosEstados'!$AK$2:$AL$168,2,FALSE),
  O255="Rio Grande do Sul",((W255*0.15)+(X255*0.7))*VLOOKUP(P255,'MunicípiosEstados'!$AM$2:$AN$498,2,FALSE),
  O255="Rio de Janeiro",((W255*0.15)+(X255*0.7))*VLOOKUP(P255,'MunicípiosEstados'!$AO$2:$AP$93,2,FALSE),
  O255="Rondônia",((W255*0.15)+(X255*0.7))*VLOOKUP(P255,'MunicípiosEstados'!$AQ$2:$AR$53,2,FALSE),
  O255="Roraima",((W255*0.15)+(X255*0.7))*VLOOKUP(P255,'MunicípiosEstados'!$AS$2:$AT$16,2,FALSE),
  O255="Santa Catarina",((W255*0.15)+(X255*0.7))*VLOOKUP(P255,'MunicípiosEstados'!$AU$2:$AV$296,2,FALSE),
  O255="São Paulo",((W255*0.15)+(X255*0.7))*VLOOKUP(P255,'MunicípiosEstados'!$AW$2:$AX$646,2,FALSE),
  O255="Sergipe",((W255*0.15)+(X255*0.7))*VLOOKUP(P255,'MunicípiosEstados'!$AY$2:$AZ$76,2,FALSE),
  O255="Tocantins",((W255*0.15)+(X255*0.7))*VLOOKUP(P255,'MunicípiosEstados'!$BA$2:$BB$140,2,FALSE),
  O255="Exterior",((W255*0.15)+(X255*0.7))*VLOOKUP(P255,'MunicípiosEstados'!$BC$2:$BE$221,3,FALSE),TRUE,0
)
</f>
        <v>43582.5</v>
      </c>
      <c r="AL255" s="25">
        <f t="shared" si="3"/>
        <v>50499.3</v>
      </c>
      <c r="AN255" s="31"/>
    </row>
    <row r="256" ht="22.5" customHeight="1">
      <c r="A256" s="15">
        <f t="shared" si="1"/>
        <v>255</v>
      </c>
      <c r="B256" s="16">
        <v>45998.828913668985</v>
      </c>
      <c r="C256" s="17" t="s">
        <v>696</v>
      </c>
      <c r="D256" s="27" t="s">
        <v>443</v>
      </c>
      <c r="E256" s="15" t="str">
        <f>VLOOKUP(G256,DiretoriaDepart.Coord.!$A$1:$C$72,2,FALSE)</f>
        <v>Extensão Rural</v>
      </c>
      <c r="F256" s="15" t="str">
        <f>VLOOKUP(G256,DiretoriaDepart.Coord.!$A$1:$C$72,3,FALSE)</f>
        <v>Projetos e Cadeias Produtivas</v>
      </c>
      <c r="G256" s="17" t="s">
        <v>697</v>
      </c>
      <c r="H256" s="15"/>
      <c r="I256" s="17" t="s">
        <v>1363</v>
      </c>
      <c r="J256" s="17" t="s">
        <v>728</v>
      </c>
      <c r="K256" s="17">
        <v>20.0</v>
      </c>
      <c r="L256" s="15"/>
      <c r="M256" s="17" t="s">
        <v>864</v>
      </c>
      <c r="N256" s="17">
        <v>10.0</v>
      </c>
      <c r="O256" s="17" t="s">
        <v>714</v>
      </c>
      <c r="P256" s="17" t="s">
        <v>41</v>
      </c>
      <c r="Q256" s="20">
        <v>45805.354166666664</v>
      </c>
      <c r="R256" s="20">
        <v>45807.708333333336</v>
      </c>
      <c r="S256" s="17" t="s">
        <v>451</v>
      </c>
      <c r="T256" s="17" t="s">
        <v>452</v>
      </c>
      <c r="U256" s="21" t="s">
        <v>1364</v>
      </c>
      <c r="V256" s="21" t="s">
        <v>1365</v>
      </c>
      <c r="W256" s="22">
        <v>120.0</v>
      </c>
      <c r="X256" s="22">
        <v>60.0</v>
      </c>
      <c r="Y256" s="23">
        <v>0.0</v>
      </c>
      <c r="Z256" s="23">
        <v>0.0</v>
      </c>
      <c r="AA256" s="24">
        <v>0.0</v>
      </c>
      <c r="AB256" s="24">
        <v>0.0</v>
      </c>
      <c r="AC256" s="24">
        <v>0.0</v>
      </c>
      <c r="AD256" s="23">
        <v>0.0</v>
      </c>
      <c r="AE256" s="24">
        <v>0.0</v>
      </c>
      <c r="AF256" s="17" t="s">
        <v>464</v>
      </c>
      <c r="AG256" s="17">
        <v>2800.0</v>
      </c>
      <c r="AH256" s="17" t="s">
        <v>464</v>
      </c>
      <c r="AI256" s="25">
        <f>IF(AF256="Sim",INT((R256-Q256+1))*K256*VLOOKUP(P256,'Tabelas Auxiliares'!$A$1:$C$400,3,FALSE),0)</f>
        <v>1358.4</v>
      </c>
      <c r="AJ256" s="25">
        <f t="shared" si="2"/>
        <v>1960</v>
      </c>
      <c r="AK256" s="25">
        <f>IFS(
  O256="Acre",((W256*0.15)+(X256*0.7))*VLOOKUP(P256,'MunicípiosEstados'!$A$2:$B$23,2,FALSE),
  O256="Alagoas",((W256*0.15)+(X256*0.7))*VLOOKUP(P256,'MunicípiosEstados'!$C$2:$D$103,2,FALSE),
  O256="Amapá",((W256*0.15)+(X256*0.7))*VLOOKUP(P256,'MunicípiosEstados'!$E$2:$F$17,2,FALSE),
  O256="Amazonas",((W256*0.15)+(X256*0.7))*VLOOKUP(P256,'MunicípiosEstados'!$G$2:$H$63,2,FALSE),
  O256="Bahia",((W256*0.15)+(X256*0.7))*VLOOKUP(P256,'MunicípiosEstados'!$I$2:$J$418,2,FALSE),
  O256="Ceará",((W256*0.15)+(X256*0.7))*VLOOKUP(P256,'MunicípiosEstados'!$K$2:$L$185,2,FALSE),
  O256="Distrito Federal",((W256*0.15)+(X256*0.7))*VLOOKUP(P256,'MunicípiosEstados'!$M$2:$N$2,2,FALSE),
  O256="Espírito Santo",((W256*0.15)+(X256*0.7))*VLOOKUP(P256,'MunicípiosEstados'!$O$2:$P$79,2,FALSE),
  O256="Goiás",((W256*0.15)+(X256*0.7))*VLOOKUP(P256,'MunicípiosEstados'!$Q$2:$R$247,2,FALSE),
  O256="Maranhão",((W256*0.15)+(X256*0.7))*VLOOKUP(P256,'MunicípiosEstados'!$S$2:$T$218,2,FALSE),
  O256="Mato Grosso",((W256*0.15)+(X256*0.7))*VLOOKUP(P256,'MunicípiosEstados'!$U$2:$V$143,2,FALSE),
  O256="Mato Grosso do Sul",((W256*0.15)+(X256*0.7))*VLOOKUP(P256,'MunicípiosEstados'!$W$2:$X$80,2,FALSE),
  O256="Minas Gerais",((W256*0.15)+(X256*0.7))*VLOOKUP(P256,'MunicípiosEstados'!$Y$2:$Z$854,2,FALSE),
  O256="Pará",((W256*0.15)+(X256*0.7))*VLOOKUP(P256,'MunicípiosEstados'!$AA$2:$AB$145,2,FALSE),
  O256="Paraíba",((W256*0.15)+(X256*0.7))*VLOOKUP(P256,'MunicípiosEstados'!$AC$2:$AD$224,2,FALSE),
  O256="Paraná",((W256*0.15)+(X256*0.7))*VLOOKUP(P256,'MunicípiosEstados'!$AE$2:$AF$400,2,FALSE),
  O256="Pernambuco",((W256*0.15)+(X256*0.7))*VLOOKUP(P256,'MunicípiosEstados'!$AG$2:$AH$186,2,FALSE),
  O256="Piauí",((W256*0.15)+(X256*0.7))*VLOOKUP(P256,'MunicípiosEstados'!$AI$2:$AJ$225,2,FALSE),
  O256="Rio Grande do Norte",((W256*0.15)+(X256*0.7))*VLOOKUP(P256,'MunicípiosEstados'!$AK$2:$AL$168,2,FALSE),
  O256="Rio Grande do Sul",((W256*0.15)+(X256*0.7))*VLOOKUP(P256,'MunicípiosEstados'!$AM$2:$AN$498,2,FALSE),
  O256="Rio de Janeiro",((W256*0.15)+(X256*0.7))*VLOOKUP(P256,'MunicípiosEstados'!$AO$2:$AP$93,2,FALSE),
  O256="Rondônia",((W256*0.15)+(X256*0.7))*VLOOKUP(P256,'MunicípiosEstados'!$AQ$2:$AR$53,2,FALSE),
  O256="Roraima",((W256*0.15)+(X256*0.7))*VLOOKUP(P256,'MunicípiosEstados'!$AS$2:$AT$16,2,FALSE),
  O256="Santa Catarina",((W256*0.15)+(X256*0.7))*VLOOKUP(P256,'MunicípiosEstados'!$AU$2:$AV$296,2,FALSE),
  O256="São Paulo",((W256*0.15)+(X256*0.7))*VLOOKUP(P256,'MunicípiosEstados'!$AW$2:$AX$646,2,FALSE),
  O256="Sergipe",((W256*0.15)+(X256*0.7))*VLOOKUP(P256,'MunicípiosEstados'!$AY$2:$AZ$76,2,FALSE),
  O256="Tocantins",((W256*0.15)+(X256*0.7))*VLOOKUP(P256,'MunicípiosEstados'!$BA$2:$BB$140,2,FALSE),
  O256="Exterior",((W256*0.15)+(X256*0.7))*VLOOKUP(P256,'MunicípiosEstados'!$BC$2:$BE$221,3,FALSE),TRUE,0
)
</f>
        <v>17433</v>
      </c>
      <c r="AL256" s="25">
        <f t="shared" si="3"/>
        <v>20751.4</v>
      </c>
      <c r="AN256" s="31"/>
    </row>
    <row r="257" ht="22.5" customHeight="1">
      <c r="A257" s="15">
        <f t="shared" si="1"/>
        <v>256</v>
      </c>
      <c r="B257" s="16">
        <v>45998.84057925926</v>
      </c>
      <c r="C257" s="17" t="s">
        <v>696</v>
      </c>
      <c r="D257" s="27" t="s">
        <v>443</v>
      </c>
      <c r="E257" s="15" t="str">
        <f>VLOOKUP(G257,DiretoriaDepart.Coord.!$A$1:$C$72,2,FALSE)</f>
        <v>Extensão Rural</v>
      </c>
      <c r="F257" s="15" t="str">
        <f>VLOOKUP(G257,DiretoriaDepart.Coord.!$A$1:$C$72,3,FALSE)</f>
        <v>Projetos e Cadeias Produtivas</v>
      </c>
      <c r="G257" s="17" t="s">
        <v>697</v>
      </c>
      <c r="H257" s="15"/>
      <c r="I257" s="17" t="s">
        <v>1366</v>
      </c>
      <c r="J257" s="17" t="s">
        <v>728</v>
      </c>
      <c r="K257" s="17">
        <v>20.0</v>
      </c>
      <c r="L257" s="15"/>
      <c r="M257" s="17" t="s">
        <v>925</v>
      </c>
      <c r="N257" s="17">
        <v>10.0</v>
      </c>
      <c r="O257" s="17" t="s">
        <v>714</v>
      </c>
      <c r="P257" s="17" t="s">
        <v>41</v>
      </c>
      <c r="Q257" s="20">
        <v>45831.354166666664</v>
      </c>
      <c r="R257" s="20">
        <v>45833.708333333336</v>
      </c>
      <c r="S257" s="17" t="s">
        <v>451</v>
      </c>
      <c r="T257" s="17" t="s">
        <v>452</v>
      </c>
      <c r="U257" s="21" t="s">
        <v>1367</v>
      </c>
      <c r="V257" s="21" t="s">
        <v>1368</v>
      </c>
      <c r="W257" s="22">
        <v>160.0</v>
      </c>
      <c r="X257" s="22">
        <v>80.0</v>
      </c>
      <c r="Y257" s="23">
        <v>0.0</v>
      </c>
      <c r="Z257" s="23">
        <v>0.0</v>
      </c>
      <c r="AA257" s="24">
        <v>0.0</v>
      </c>
      <c r="AB257" s="24">
        <v>0.0</v>
      </c>
      <c r="AC257" s="24">
        <v>0.0</v>
      </c>
      <c r="AD257" s="23">
        <v>0.0</v>
      </c>
      <c r="AE257" s="24">
        <v>0.0</v>
      </c>
      <c r="AF257" s="17" t="s">
        <v>464</v>
      </c>
      <c r="AG257" s="17">
        <v>2800.0</v>
      </c>
      <c r="AH257" s="17" t="s">
        <v>464</v>
      </c>
      <c r="AI257" s="25">
        <f>IF(AF257="Sim",INT((R257-Q257+1))*K257*VLOOKUP(P257,'Tabelas Auxiliares'!$A$1:$C$400,3,FALSE),0)</f>
        <v>1358.4</v>
      </c>
      <c r="AJ257" s="25">
        <f t="shared" si="2"/>
        <v>1960</v>
      </c>
      <c r="AK257" s="25">
        <f>IFS(
  O257="Acre",((W257*0.15)+(X257*0.7))*VLOOKUP(P257,'MunicípiosEstados'!$A$2:$B$23,2,FALSE),
  O257="Alagoas",((W257*0.15)+(X257*0.7))*VLOOKUP(P257,'MunicípiosEstados'!$C$2:$D$103,2,FALSE),
  O257="Amapá",((W257*0.15)+(X257*0.7))*VLOOKUP(P257,'MunicípiosEstados'!$E$2:$F$17,2,FALSE),
  O257="Amazonas",((W257*0.15)+(X257*0.7))*VLOOKUP(P257,'MunicípiosEstados'!$G$2:$H$63,2,FALSE),
  O257="Bahia",((W257*0.15)+(X257*0.7))*VLOOKUP(P257,'MunicípiosEstados'!$I$2:$J$418,2,FALSE),
  O257="Ceará",((W257*0.15)+(X257*0.7))*VLOOKUP(P257,'MunicípiosEstados'!$K$2:$L$185,2,FALSE),
  O257="Distrito Federal",((W257*0.15)+(X257*0.7))*VLOOKUP(P257,'MunicípiosEstados'!$M$2:$N$2,2,FALSE),
  O257="Espírito Santo",((W257*0.15)+(X257*0.7))*VLOOKUP(P257,'MunicípiosEstados'!$O$2:$P$79,2,FALSE),
  O257="Goiás",((W257*0.15)+(X257*0.7))*VLOOKUP(P257,'MunicípiosEstados'!$Q$2:$R$247,2,FALSE),
  O257="Maranhão",((W257*0.15)+(X257*0.7))*VLOOKUP(P257,'MunicípiosEstados'!$S$2:$T$218,2,FALSE),
  O257="Mato Grosso",((W257*0.15)+(X257*0.7))*VLOOKUP(P257,'MunicípiosEstados'!$U$2:$V$143,2,FALSE),
  O257="Mato Grosso do Sul",((W257*0.15)+(X257*0.7))*VLOOKUP(P257,'MunicípiosEstados'!$W$2:$X$80,2,FALSE),
  O257="Minas Gerais",((W257*0.15)+(X257*0.7))*VLOOKUP(P257,'MunicípiosEstados'!$Y$2:$Z$854,2,FALSE),
  O257="Pará",((W257*0.15)+(X257*0.7))*VLOOKUP(P257,'MunicípiosEstados'!$AA$2:$AB$145,2,FALSE),
  O257="Paraíba",((W257*0.15)+(X257*0.7))*VLOOKUP(P257,'MunicípiosEstados'!$AC$2:$AD$224,2,FALSE),
  O257="Paraná",((W257*0.15)+(X257*0.7))*VLOOKUP(P257,'MunicípiosEstados'!$AE$2:$AF$400,2,FALSE),
  O257="Pernambuco",((W257*0.15)+(X257*0.7))*VLOOKUP(P257,'MunicípiosEstados'!$AG$2:$AH$186,2,FALSE),
  O257="Piauí",((W257*0.15)+(X257*0.7))*VLOOKUP(P257,'MunicípiosEstados'!$AI$2:$AJ$225,2,FALSE),
  O257="Rio Grande do Norte",((W257*0.15)+(X257*0.7))*VLOOKUP(P257,'MunicípiosEstados'!$AK$2:$AL$168,2,FALSE),
  O257="Rio Grande do Sul",((W257*0.15)+(X257*0.7))*VLOOKUP(P257,'MunicípiosEstados'!$AM$2:$AN$498,2,FALSE),
  O257="Rio de Janeiro",((W257*0.15)+(X257*0.7))*VLOOKUP(P257,'MunicípiosEstados'!$AO$2:$AP$93,2,FALSE),
  O257="Rondônia",((W257*0.15)+(X257*0.7))*VLOOKUP(P257,'MunicípiosEstados'!$AQ$2:$AR$53,2,FALSE),
  O257="Roraima",((W257*0.15)+(X257*0.7))*VLOOKUP(P257,'MunicípiosEstados'!$AS$2:$AT$16,2,FALSE),
  O257="Santa Catarina",((W257*0.15)+(X257*0.7))*VLOOKUP(P257,'MunicípiosEstados'!$AU$2:$AV$296,2,FALSE),
  O257="São Paulo",((W257*0.15)+(X257*0.7))*VLOOKUP(P257,'MunicípiosEstados'!$AW$2:$AX$646,2,FALSE),
  O257="Sergipe",((W257*0.15)+(X257*0.7))*VLOOKUP(P257,'MunicípiosEstados'!$AY$2:$AZ$76,2,FALSE),
  O257="Tocantins",((W257*0.15)+(X257*0.7))*VLOOKUP(P257,'MunicípiosEstados'!$BA$2:$BB$140,2,FALSE),
  O257="Exterior",((W257*0.15)+(X257*0.7))*VLOOKUP(P257,'MunicípiosEstados'!$BC$2:$BE$221,3,FALSE),TRUE,0
)
</f>
        <v>23244</v>
      </c>
      <c r="AL257" s="25">
        <f t="shared" si="3"/>
        <v>26562.4</v>
      </c>
      <c r="AN257" s="31"/>
    </row>
    <row r="258" ht="22.5" customHeight="1">
      <c r="A258" s="15">
        <f t="shared" si="1"/>
        <v>257</v>
      </c>
      <c r="B258" s="16">
        <v>45998.84884013889</v>
      </c>
      <c r="C258" s="17" t="s">
        <v>696</v>
      </c>
      <c r="D258" s="27" t="s">
        <v>443</v>
      </c>
      <c r="E258" s="15" t="str">
        <f>VLOOKUP(G258,DiretoriaDepart.Coord.!$A$1:$C$72,2,FALSE)</f>
        <v>Extensão Rural</v>
      </c>
      <c r="F258" s="15" t="str">
        <f>VLOOKUP(G258,DiretoriaDepart.Coord.!$A$1:$C$72,3,FALSE)</f>
        <v>Projetos e Cadeias Produtivas</v>
      </c>
      <c r="G258" s="17" t="s">
        <v>697</v>
      </c>
      <c r="H258" s="15"/>
      <c r="I258" s="17" t="s">
        <v>1369</v>
      </c>
      <c r="J258" s="17" t="s">
        <v>728</v>
      </c>
      <c r="K258" s="17">
        <v>20.0</v>
      </c>
      <c r="L258" s="15"/>
      <c r="M258" s="17" t="s">
        <v>1370</v>
      </c>
      <c r="N258" s="17">
        <v>10.0</v>
      </c>
      <c r="O258" s="17" t="s">
        <v>714</v>
      </c>
      <c r="P258" s="17" t="s">
        <v>339</v>
      </c>
      <c r="Q258" s="20">
        <v>45866.354166666664</v>
      </c>
      <c r="R258" s="20">
        <v>45868.708333333336</v>
      </c>
      <c r="S258" s="17" t="s">
        <v>451</v>
      </c>
      <c r="T258" s="17" t="s">
        <v>452</v>
      </c>
      <c r="U258" s="21" t="s">
        <v>1371</v>
      </c>
      <c r="V258" s="21" t="s">
        <v>1372</v>
      </c>
      <c r="W258" s="22">
        <v>120.0</v>
      </c>
      <c r="X258" s="22">
        <v>60.0</v>
      </c>
      <c r="Y258" s="23">
        <v>0.0</v>
      </c>
      <c r="Z258" s="23">
        <v>0.0</v>
      </c>
      <c r="AA258" s="24">
        <v>0.0</v>
      </c>
      <c r="AB258" s="24">
        <v>0.0</v>
      </c>
      <c r="AC258" s="24">
        <v>0.0</v>
      </c>
      <c r="AD258" s="23">
        <v>0.0</v>
      </c>
      <c r="AE258" s="24">
        <v>0.0</v>
      </c>
      <c r="AF258" s="17" t="s">
        <v>464</v>
      </c>
      <c r="AG258" s="17">
        <v>2700.0</v>
      </c>
      <c r="AH258" s="17" t="s">
        <v>464</v>
      </c>
      <c r="AI258" s="25">
        <f>IF(AF258="Sim",INT((R258-Q258+1))*K258*VLOOKUP(P258,'Tabelas Auxiliares'!$A$1:$C$400,3,FALSE),0)</f>
        <v>1358.4</v>
      </c>
      <c r="AJ258" s="25">
        <f t="shared" si="2"/>
        <v>1890</v>
      </c>
      <c r="AK258" s="25">
        <f>IFS(
  O258="Acre",((W258*0.15)+(X258*0.7))*VLOOKUP(P258,'MunicípiosEstados'!$A$2:$B$23,2,FALSE),
  O258="Alagoas",((W258*0.15)+(X258*0.7))*VLOOKUP(P258,'MunicípiosEstados'!$C$2:$D$103,2,FALSE),
  O258="Amapá",((W258*0.15)+(X258*0.7))*VLOOKUP(P258,'MunicípiosEstados'!$E$2:$F$17,2,FALSE),
  O258="Amazonas",((W258*0.15)+(X258*0.7))*VLOOKUP(P258,'MunicípiosEstados'!$G$2:$H$63,2,FALSE),
  O258="Bahia",((W258*0.15)+(X258*0.7))*VLOOKUP(P258,'MunicípiosEstados'!$I$2:$J$418,2,FALSE),
  O258="Ceará",((W258*0.15)+(X258*0.7))*VLOOKUP(P258,'MunicípiosEstados'!$K$2:$L$185,2,FALSE),
  O258="Distrito Federal",((W258*0.15)+(X258*0.7))*VLOOKUP(P258,'MunicípiosEstados'!$M$2:$N$2,2,FALSE),
  O258="Espírito Santo",((W258*0.15)+(X258*0.7))*VLOOKUP(P258,'MunicípiosEstados'!$O$2:$P$79,2,FALSE),
  O258="Goiás",((W258*0.15)+(X258*0.7))*VLOOKUP(P258,'MunicípiosEstados'!$Q$2:$R$247,2,FALSE),
  O258="Maranhão",((W258*0.15)+(X258*0.7))*VLOOKUP(P258,'MunicípiosEstados'!$S$2:$T$218,2,FALSE),
  O258="Mato Grosso",((W258*0.15)+(X258*0.7))*VLOOKUP(P258,'MunicípiosEstados'!$U$2:$V$143,2,FALSE),
  O258="Mato Grosso do Sul",((W258*0.15)+(X258*0.7))*VLOOKUP(P258,'MunicípiosEstados'!$W$2:$X$80,2,FALSE),
  O258="Minas Gerais",((W258*0.15)+(X258*0.7))*VLOOKUP(P258,'MunicípiosEstados'!$Y$2:$Z$854,2,FALSE),
  O258="Pará",((W258*0.15)+(X258*0.7))*VLOOKUP(P258,'MunicípiosEstados'!$AA$2:$AB$145,2,FALSE),
  O258="Paraíba",((W258*0.15)+(X258*0.7))*VLOOKUP(P258,'MunicípiosEstados'!$AC$2:$AD$224,2,FALSE),
  O258="Paraná",((W258*0.15)+(X258*0.7))*VLOOKUP(P258,'MunicípiosEstados'!$AE$2:$AF$400,2,FALSE),
  O258="Pernambuco",((W258*0.15)+(X258*0.7))*VLOOKUP(P258,'MunicípiosEstados'!$AG$2:$AH$186,2,FALSE),
  O258="Piauí",((W258*0.15)+(X258*0.7))*VLOOKUP(P258,'MunicípiosEstados'!$AI$2:$AJ$225,2,FALSE),
  O258="Rio Grande do Norte",((W258*0.15)+(X258*0.7))*VLOOKUP(P258,'MunicípiosEstados'!$AK$2:$AL$168,2,FALSE),
  O258="Rio Grande do Sul",((W258*0.15)+(X258*0.7))*VLOOKUP(P258,'MunicípiosEstados'!$AM$2:$AN$498,2,FALSE),
  O258="Rio de Janeiro",((W258*0.15)+(X258*0.7))*VLOOKUP(P258,'MunicípiosEstados'!$AO$2:$AP$93,2,FALSE),
  O258="Rondônia",((W258*0.15)+(X258*0.7))*VLOOKUP(P258,'MunicípiosEstados'!$AQ$2:$AR$53,2,FALSE),
  O258="Roraima",((W258*0.15)+(X258*0.7))*VLOOKUP(P258,'MunicípiosEstados'!$AS$2:$AT$16,2,FALSE),
  O258="Santa Catarina",((W258*0.15)+(X258*0.7))*VLOOKUP(P258,'MunicípiosEstados'!$AU$2:$AV$296,2,FALSE),
  O258="São Paulo",((W258*0.15)+(X258*0.7))*VLOOKUP(P258,'MunicípiosEstados'!$AW$2:$AX$646,2,FALSE),
  O258="Sergipe",((W258*0.15)+(X258*0.7))*VLOOKUP(P258,'MunicípiosEstados'!$AY$2:$AZ$76,2,FALSE),
  O258="Tocantins",((W258*0.15)+(X258*0.7))*VLOOKUP(P258,'MunicípiosEstados'!$BA$2:$BB$140,2,FALSE),
  O258="Exterior",((W258*0.15)+(X258*0.7))*VLOOKUP(P258,'MunicípiosEstados'!$BC$2:$BE$221,3,FALSE),TRUE,0
)
</f>
        <v>17433</v>
      </c>
      <c r="AL258" s="25">
        <f t="shared" si="3"/>
        <v>20681.4</v>
      </c>
      <c r="AN258" s="31"/>
    </row>
    <row r="259" ht="22.5" customHeight="1">
      <c r="A259" s="15">
        <f t="shared" si="1"/>
        <v>258</v>
      </c>
      <c r="B259" s="16">
        <v>45998.85502427083</v>
      </c>
      <c r="C259" s="17" t="s">
        <v>696</v>
      </c>
      <c r="D259" s="27" t="s">
        <v>443</v>
      </c>
      <c r="E259" s="15" t="str">
        <f>VLOOKUP(G259,DiretoriaDepart.Coord.!$A$1:$C$72,2,FALSE)</f>
        <v>Extensão Rural</v>
      </c>
      <c r="F259" s="15" t="str">
        <f>VLOOKUP(G259,DiretoriaDepart.Coord.!$A$1:$C$72,3,FALSE)</f>
        <v>Projetos e Cadeias Produtivas</v>
      </c>
      <c r="G259" s="17" t="s">
        <v>697</v>
      </c>
      <c r="H259" s="15"/>
      <c r="I259" s="17" t="s">
        <v>1373</v>
      </c>
      <c r="J259" s="17" t="s">
        <v>728</v>
      </c>
      <c r="K259" s="17">
        <v>20.0</v>
      </c>
      <c r="L259" s="15"/>
      <c r="M259" s="17" t="s">
        <v>864</v>
      </c>
      <c r="N259" s="17">
        <v>10.0</v>
      </c>
      <c r="O259" s="17" t="s">
        <v>714</v>
      </c>
      <c r="P259" s="17" t="s">
        <v>339</v>
      </c>
      <c r="Q259" s="20">
        <v>45916.354166666664</v>
      </c>
      <c r="R259" s="20">
        <v>45918.708333333336</v>
      </c>
      <c r="S259" s="17" t="s">
        <v>451</v>
      </c>
      <c r="T259" s="17" t="s">
        <v>452</v>
      </c>
      <c r="U259" s="21" t="s">
        <v>1374</v>
      </c>
      <c r="V259" s="21" t="s">
        <v>1375</v>
      </c>
      <c r="W259" s="22">
        <v>120.0</v>
      </c>
      <c r="X259" s="22">
        <v>60.0</v>
      </c>
      <c r="Y259" s="23">
        <v>0.0</v>
      </c>
      <c r="Z259" s="23">
        <v>0.0</v>
      </c>
      <c r="AA259" s="24">
        <v>0.0</v>
      </c>
      <c r="AB259" s="24">
        <v>0.0</v>
      </c>
      <c r="AC259" s="24">
        <v>0.0</v>
      </c>
      <c r="AD259" s="23">
        <v>0.0</v>
      </c>
      <c r="AE259" s="24">
        <v>0.0</v>
      </c>
      <c r="AF259" s="17" t="s">
        <v>464</v>
      </c>
      <c r="AG259" s="17">
        <v>2700.0</v>
      </c>
      <c r="AH259" s="17" t="s">
        <v>464</v>
      </c>
      <c r="AI259" s="25">
        <f>IF(AF259="Sim",INT((R259-Q259+1))*K259*VLOOKUP(P259,'Tabelas Auxiliares'!$A$1:$C$400,3,FALSE),0)</f>
        <v>1358.4</v>
      </c>
      <c r="AJ259" s="25">
        <f t="shared" si="2"/>
        <v>1890</v>
      </c>
      <c r="AK259" s="25">
        <f>IFS(
  O259="Acre",((W259*0.15)+(X259*0.7))*VLOOKUP(P259,'MunicípiosEstados'!$A$2:$B$23,2,FALSE),
  O259="Alagoas",((W259*0.15)+(X259*0.7))*VLOOKUP(P259,'MunicípiosEstados'!$C$2:$D$103,2,FALSE),
  O259="Amapá",((W259*0.15)+(X259*0.7))*VLOOKUP(P259,'MunicípiosEstados'!$E$2:$F$17,2,FALSE),
  O259="Amazonas",((W259*0.15)+(X259*0.7))*VLOOKUP(P259,'MunicípiosEstados'!$G$2:$H$63,2,FALSE),
  O259="Bahia",((W259*0.15)+(X259*0.7))*VLOOKUP(P259,'MunicípiosEstados'!$I$2:$J$418,2,FALSE),
  O259="Ceará",((W259*0.15)+(X259*0.7))*VLOOKUP(P259,'MunicípiosEstados'!$K$2:$L$185,2,FALSE),
  O259="Distrito Federal",((W259*0.15)+(X259*0.7))*VLOOKUP(P259,'MunicípiosEstados'!$M$2:$N$2,2,FALSE),
  O259="Espírito Santo",((W259*0.15)+(X259*0.7))*VLOOKUP(P259,'MunicípiosEstados'!$O$2:$P$79,2,FALSE),
  O259="Goiás",((W259*0.15)+(X259*0.7))*VLOOKUP(P259,'MunicípiosEstados'!$Q$2:$R$247,2,FALSE),
  O259="Maranhão",((W259*0.15)+(X259*0.7))*VLOOKUP(P259,'MunicípiosEstados'!$S$2:$T$218,2,FALSE),
  O259="Mato Grosso",((W259*0.15)+(X259*0.7))*VLOOKUP(P259,'MunicípiosEstados'!$U$2:$V$143,2,FALSE),
  O259="Mato Grosso do Sul",((W259*0.15)+(X259*0.7))*VLOOKUP(P259,'MunicípiosEstados'!$W$2:$X$80,2,FALSE),
  O259="Minas Gerais",((W259*0.15)+(X259*0.7))*VLOOKUP(P259,'MunicípiosEstados'!$Y$2:$Z$854,2,FALSE),
  O259="Pará",((W259*0.15)+(X259*0.7))*VLOOKUP(P259,'MunicípiosEstados'!$AA$2:$AB$145,2,FALSE),
  O259="Paraíba",((W259*0.15)+(X259*0.7))*VLOOKUP(P259,'MunicípiosEstados'!$AC$2:$AD$224,2,FALSE),
  O259="Paraná",((W259*0.15)+(X259*0.7))*VLOOKUP(P259,'MunicípiosEstados'!$AE$2:$AF$400,2,FALSE),
  O259="Pernambuco",((W259*0.15)+(X259*0.7))*VLOOKUP(P259,'MunicípiosEstados'!$AG$2:$AH$186,2,FALSE),
  O259="Piauí",((W259*0.15)+(X259*0.7))*VLOOKUP(P259,'MunicípiosEstados'!$AI$2:$AJ$225,2,FALSE),
  O259="Rio Grande do Norte",((W259*0.15)+(X259*0.7))*VLOOKUP(P259,'MunicípiosEstados'!$AK$2:$AL$168,2,FALSE),
  O259="Rio Grande do Sul",((W259*0.15)+(X259*0.7))*VLOOKUP(P259,'MunicípiosEstados'!$AM$2:$AN$498,2,FALSE),
  O259="Rio de Janeiro",((W259*0.15)+(X259*0.7))*VLOOKUP(P259,'MunicípiosEstados'!$AO$2:$AP$93,2,FALSE),
  O259="Rondônia",((W259*0.15)+(X259*0.7))*VLOOKUP(P259,'MunicípiosEstados'!$AQ$2:$AR$53,2,FALSE),
  O259="Roraima",((W259*0.15)+(X259*0.7))*VLOOKUP(P259,'MunicípiosEstados'!$AS$2:$AT$16,2,FALSE),
  O259="Santa Catarina",((W259*0.15)+(X259*0.7))*VLOOKUP(P259,'MunicípiosEstados'!$AU$2:$AV$296,2,FALSE),
  O259="São Paulo",((W259*0.15)+(X259*0.7))*VLOOKUP(P259,'MunicípiosEstados'!$AW$2:$AX$646,2,FALSE),
  O259="Sergipe",((W259*0.15)+(X259*0.7))*VLOOKUP(P259,'MunicípiosEstados'!$AY$2:$AZ$76,2,FALSE),
  O259="Tocantins",((W259*0.15)+(X259*0.7))*VLOOKUP(P259,'MunicípiosEstados'!$BA$2:$BB$140,2,FALSE),
  O259="Exterior",((W259*0.15)+(X259*0.7))*VLOOKUP(P259,'MunicípiosEstados'!$BC$2:$BE$221,3,FALSE),TRUE,0
)
</f>
        <v>17433</v>
      </c>
      <c r="AL259" s="25">
        <f t="shared" si="3"/>
        <v>20681.4</v>
      </c>
      <c r="AN259" s="31"/>
    </row>
    <row r="260" ht="22.5" customHeight="1">
      <c r="A260" s="15">
        <f t="shared" si="1"/>
        <v>259</v>
      </c>
      <c r="B260" s="16">
        <v>45998.88857247685</v>
      </c>
      <c r="C260" s="17" t="s">
        <v>696</v>
      </c>
      <c r="D260" s="27" t="s">
        <v>443</v>
      </c>
      <c r="E260" s="15" t="str">
        <f>VLOOKUP(G260,DiretoriaDepart.Coord.!$A$1:$C$72,2,FALSE)</f>
        <v>Extensão Rural</v>
      </c>
      <c r="F260" s="15" t="str">
        <f>VLOOKUP(G260,DiretoriaDepart.Coord.!$A$1:$C$72,3,FALSE)</f>
        <v>Projetos e Cadeias Produtivas</v>
      </c>
      <c r="G260" s="17" t="s">
        <v>697</v>
      </c>
      <c r="H260" s="15"/>
      <c r="I260" s="17" t="s">
        <v>1376</v>
      </c>
      <c r="J260" s="17" t="s">
        <v>728</v>
      </c>
      <c r="K260" s="17">
        <v>30.0</v>
      </c>
      <c r="L260" s="15"/>
      <c r="M260" s="17" t="s">
        <v>1377</v>
      </c>
      <c r="N260" s="17">
        <v>10.0</v>
      </c>
      <c r="O260" s="17" t="s">
        <v>714</v>
      </c>
      <c r="P260" s="17" t="s">
        <v>156</v>
      </c>
      <c r="Q260" s="20">
        <v>45859.354166666664</v>
      </c>
      <c r="R260" s="20">
        <v>45861.708333333336</v>
      </c>
      <c r="S260" s="17" t="s">
        <v>451</v>
      </c>
      <c r="T260" s="17" t="s">
        <v>452</v>
      </c>
      <c r="U260" s="21" t="s">
        <v>1378</v>
      </c>
      <c r="V260" s="21" t="s">
        <v>1379</v>
      </c>
      <c r="W260" s="22">
        <v>240.0</v>
      </c>
      <c r="X260" s="22">
        <v>120.0</v>
      </c>
      <c r="Y260" s="23">
        <v>0.0</v>
      </c>
      <c r="Z260" s="23">
        <v>0.0</v>
      </c>
      <c r="AA260" s="24">
        <v>0.0</v>
      </c>
      <c r="AB260" s="24">
        <v>0.0</v>
      </c>
      <c r="AC260" s="24">
        <v>0.0</v>
      </c>
      <c r="AD260" s="23">
        <v>0.0</v>
      </c>
      <c r="AE260" s="24">
        <v>0.0</v>
      </c>
      <c r="AF260" s="17" t="s">
        <v>451</v>
      </c>
      <c r="AG260" s="17">
        <v>4000.0</v>
      </c>
      <c r="AH260" s="17" t="s">
        <v>464</v>
      </c>
      <c r="AI260" s="25">
        <f>IF(AF260="Sim",INT((R260-Q260+1))*K260*VLOOKUP(P260,'Tabelas Auxiliares'!$A$1:$C$400,3,FALSE),0)</f>
        <v>0</v>
      </c>
      <c r="AJ260" s="25">
        <f t="shared" si="2"/>
        <v>2800</v>
      </c>
      <c r="AK260" s="25">
        <f>IFS(
  O260="Acre",((W260*0.15)+(X260*0.7))*VLOOKUP(P260,'MunicípiosEstados'!$A$2:$B$23,2,FALSE),
  O260="Alagoas",((W260*0.15)+(X260*0.7))*VLOOKUP(P260,'MunicípiosEstados'!$C$2:$D$103,2,FALSE),
  O260="Amapá",((W260*0.15)+(X260*0.7))*VLOOKUP(P260,'MunicípiosEstados'!$E$2:$F$17,2,FALSE),
  O260="Amazonas",((W260*0.15)+(X260*0.7))*VLOOKUP(P260,'MunicípiosEstados'!$G$2:$H$63,2,FALSE),
  O260="Bahia",((W260*0.15)+(X260*0.7))*VLOOKUP(P260,'MunicípiosEstados'!$I$2:$J$418,2,FALSE),
  O260="Ceará",((W260*0.15)+(X260*0.7))*VLOOKUP(P260,'MunicípiosEstados'!$K$2:$L$185,2,FALSE),
  O260="Distrito Federal",((W260*0.15)+(X260*0.7))*VLOOKUP(P260,'MunicípiosEstados'!$M$2:$N$2,2,FALSE),
  O260="Espírito Santo",((W260*0.15)+(X260*0.7))*VLOOKUP(P260,'MunicípiosEstados'!$O$2:$P$79,2,FALSE),
  O260="Goiás",((W260*0.15)+(X260*0.7))*VLOOKUP(P260,'MunicípiosEstados'!$Q$2:$R$247,2,FALSE),
  O260="Maranhão",((W260*0.15)+(X260*0.7))*VLOOKUP(P260,'MunicípiosEstados'!$S$2:$T$218,2,FALSE),
  O260="Mato Grosso",((W260*0.15)+(X260*0.7))*VLOOKUP(P260,'MunicípiosEstados'!$U$2:$V$143,2,FALSE),
  O260="Mato Grosso do Sul",((W260*0.15)+(X260*0.7))*VLOOKUP(P260,'MunicípiosEstados'!$W$2:$X$80,2,FALSE),
  O260="Minas Gerais",((W260*0.15)+(X260*0.7))*VLOOKUP(P260,'MunicípiosEstados'!$Y$2:$Z$854,2,FALSE),
  O260="Pará",((W260*0.15)+(X260*0.7))*VLOOKUP(P260,'MunicípiosEstados'!$AA$2:$AB$145,2,FALSE),
  O260="Paraíba",((W260*0.15)+(X260*0.7))*VLOOKUP(P260,'MunicípiosEstados'!$AC$2:$AD$224,2,FALSE),
  O260="Paraná",((W260*0.15)+(X260*0.7))*VLOOKUP(P260,'MunicípiosEstados'!$AE$2:$AF$400,2,FALSE),
  O260="Pernambuco",((W260*0.15)+(X260*0.7))*VLOOKUP(P260,'MunicípiosEstados'!$AG$2:$AH$186,2,FALSE),
  O260="Piauí",((W260*0.15)+(X260*0.7))*VLOOKUP(P260,'MunicípiosEstados'!$AI$2:$AJ$225,2,FALSE),
  O260="Rio Grande do Norte",((W260*0.15)+(X260*0.7))*VLOOKUP(P260,'MunicípiosEstados'!$AK$2:$AL$168,2,FALSE),
  O260="Rio Grande do Sul",((W260*0.15)+(X260*0.7))*VLOOKUP(P260,'MunicípiosEstados'!$AM$2:$AN$498,2,FALSE),
  O260="Rio de Janeiro",((W260*0.15)+(X260*0.7))*VLOOKUP(P260,'MunicípiosEstados'!$AO$2:$AP$93,2,FALSE),
  O260="Rondônia",((W260*0.15)+(X260*0.7))*VLOOKUP(P260,'MunicípiosEstados'!$AQ$2:$AR$53,2,FALSE),
  O260="Roraima",((W260*0.15)+(X260*0.7))*VLOOKUP(P260,'MunicípiosEstados'!$AS$2:$AT$16,2,FALSE),
  O260="Santa Catarina",((W260*0.15)+(X260*0.7))*VLOOKUP(P260,'MunicípiosEstados'!$AU$2:$AV$296,2,FALSE),
  O260="São Paulo",((W260*0.15)+(X260*0.7))*VLOOKUP(P260,'MunicípiosEstados'!$AW$2:$AX$646,2,FALSE),
  O260="Sergipe",((W260*0.15)+(X260*0.7))*VLOOKUP(P260,'MunicípiosEstados'!$AY$2:$AZ$76,2,FALSE),
  O260="Tocantins",((W260*0.15)+(X260*0.7))*VLOOKUP(P260,'MunicípiosEstados'!$BA$2:$BB$140,2,FALSE),
  O260="Exterior",((W260*0.15)+(X260*0.7))*VLOOKUP(P260,'MunicípiosEstados'!$BC$2:$BE$221,3,FALSE),TRUE,0
)
</f>
        <v>34866</v>
      </c>
      <c r="AL260" s="25">
        <f t="shared" si="3"/>
        <v>37666</v>
      </c>
      <c r="AN260" s="31"/>
    </row>
    <row r="261" ht="22.5" hidden="1" customHeight="1">
      <c r="A261" s="15">
        <f t="shared" si="1"/>
        <v>260</v>
      </c>
      <c r="B261" s="16">
        <v>45998.90313564814</v>
      </c>
      <c r="C261" s="17" t="s">
        <v>1380</v>
      </c>
      <c r="D261" s="27" t="s">
        <v>443</v>
      </c>
      <c r="E261" s="15" t="str">
        <f>VLOOKUP(G261,DiretoriaDepart.Coord.!$A$1:$C$72,2,FALSE)</f>
        <v>Extensão Rural</v>
      </c>
      <c r="F261" s="15" t="str">
        <f>VLOOKUP(G261,DiretoriaDepart.Coord.!$A$1:$C$72,3,FALSE)</f>
        <v>Projetos e Cadeias Produtivas</v>
      </c>
      <c r="G261" s="17" t="s">
        <v>1381</v>
      </c>
      <c r="H261" s="15"/>
      <c r="I261" s="17" t="s">
        <v>1382</v>
      </c>
      <c r="J261" s="17" t="s">
        <v>719</v>
      </c>
      <c r="K261" s="17">
        <v>20.0</v>
      </c>
      <c r="L261" s="15"/>
      <c r="M261" s="17" t="s">
        <v>1383</v>
      </c>
      <c r="N261" s="17">
        <v>0.0</v>
      </c>
      <c r="O261" s="17" t="s">
        <v>714</v>
      </c>
      <c r="P261" s="17" t="s">
        <v>6</v>
      </c>
      <c r="Q261" s="20">
        <v>45714.333333333336</v>
      </c>
      <c r="R261" s="20">
        <v>45714.708333333336</v>
      </c>
      <c r="S261" s="17" t="s">
        <v>451</v>
      </c>
      <c r="T261" s="17" t="s">
        <v>1000</v>
      </c>
      <c r="U261" s="21" t="s">
        <v>1384</v>
      </c>
      <c r="V261" s="21" t="s">
        <v>1385</v>
      </c>
      <c r="W261" s="22">
        <v>100.0</v>
      </c>
      <c r="X261" s="22">
        <v>40.0</v>
      </c>
      <c r="Y261" s="23">
        <v>3000.0</v>
      </c>
      <c r="Z261" s="23">
        <v>0.0</v>
      </c>
      <c r="AA261" s="24">
        <v>0.0</v>
      </c>
      <c r="AB261" s="24">
        <v>0.0</v>
      </c>
      <c r="AC261" s="24">
        <v>0.0</v>
      </c>
      <c r="AD261" s="23">
        <v>0.0</v>
      </c>
      <c r="AE261" s="24">
        <v>0.0</v>
      </c>
      <c r="AF261" s="17" t="s">
        <v>464</v>
      </c>
      <c r="AG261" s="17">
        <v>2000.0</v>
      </c>
      <c r="AH261" s="17" t="s">
        <v>464</v>
      </c>
      <c r="AI261" s="25">
        <f>IF(AF261="Sim",INT((R261-Q261+1))*K261*VLOOKUP(P261,'Tabelas Auxiliares'!$A$1:$C$400,3,FALSE),0)</f>
        <v>452.8</v>
      </c>
      <c r="AJ261" s="25">
        <f t="shared" si="2"/>
        <v>1400</v>
      </c>
      <c r="AK261" s="25">
        <f>IFS(
  O261="Acre",((W261*0.15)+(X261*0.7))*VLOOKUP(P261,'MunicípiosEstados'!$A$2:$B$23,2,FALSE),
  O261="Alagoas",((W261*0.15)+(X261*0.7))*VLOOKUP(P261,'MunicípiosEstados'!$C$2:$D$103,2,FALSE),
  O261="Amapá",((W261*0.15)+(X261*0.7))*VLOOKUP(P261,'MunicípiosEstados'!$E$2:$F$17,2,FALSE),
  O261="Amazonas",((W261*0.15)+(X261*0.7))*VLOOKUP(P261,'MunicípiosEstados'!$G$2:$H$63,2,FALSE),
  O261="Bahia",((W261*0.15)+(X261*0.7))*VLOOKUP(P261,'MunicípiosEstados'!$I$2:$J$418,2,FALSE),
  O261="Ceará",((W261*0.15)+(X261*0.7))*VLOOKUP(P261,'MunicípiosEstados'!$K$2:$L$185,2,FALSE),
  O261="Distrito Federal",((W261*0.15)+(X261*0.7))*VLOOKUP(P261,'MunicípiosEstados'!$M$2:$N$2,2,FALSE),
  O261="Espírito Santo",((W261*0.15)+(X261*0.7))*VLOOKUP(P261,'MunicípiosEstados'!$O$2:$P$79,2,FALSE),
  O261="Goiás",((W261*0.15)+(X261*0.7))*VLOOKUP(P261,'MunicípiosEstados'!$Q$2:$R$247,2,FALSE),
  O261="Maranhão",((W261*0.15)+(X261*0.7))*VLOOKUP(P261,'MunicípiosEstados'!$S$2:$T$218,2,FALSE),
  O261="Mato Grosso",((W261*0.15)+(X261*0.7))*VLOOKUP(P261,'MunicípiosEstados'!$U$2:$V$143,2,FALSE),
  O261="Mato Grosso do Sul",((W261*0.15)+(X261*0.7))*VLOOKUP(P261,'MunicípiosEstados'!$W$2:$X$80,2,FALSE),
  O261="Minas Gerais",((W261*0.15)+(X261*0.7))*VLOOKUP(P261,'MunicípiosEstados'!$Y$2:$Z$854,2,FALSE),
  O261="Pará",((W261*0.15)+(X261*0.7))*VLOOKUP(P261,'MunicípiosEstados'!$AA$2:$AB$145,2,FALSE),
  O261="Paraíba",((W261*0.15)+(X261*0.7))*VLOOKUP(P261,'MunicípiosEstados'!$AC$2:$AD$224,2,FALSE),
  O261="Paraná",((W261*0.15)+(X261*0.7))*VLOOKUP(P261,'MunicípiosEstados'!$AE$2:$AF$400,2,FALSE),
  O261="Pernambuco",((W261*0.15)+(X261*0.7))*VLOOKUP(P261,'MunicípiosEstados'!$AG$2:$AH$186,2,FALSE),
  O261="Piauí",((W261*0.15)+(X261*0.7))*VLOOKUP(P261,'MunicípiosEstados'!$AI$2:$AJ$225,2,FALSE),
  O261="Rio Grande do Norte",((W261*0.15)+(X261*0.7))*VLOOKUP(P261,'MunicípiosEstados'!$AK$2:$AL$168,2,FALSE),
  O261="Rio Grande do Sul",((W261*0.15)+(X261*0.7))*VLOOKUP(P261,'MunicípiosEstados'!$AM$2:$AN$498,2,FALSE),
  O261="Rio de Janeiro",((W261*0.15)+(X261*0.7))*VLOOKUP(P261,'MunicípiosEstados'!$AO$2:$AP$93,2,FALSE),
  O261="Rondônia",((W261*0.15)+(X261*0.7))*VLOOKUP(P261,'MunicípiosEstados'!$AQ$2:$AR$53,2,FALSE),
  O261="Roraima",((W261*0.15)+(X261*0.7))*VLOOKUP(P261,'MunicípiosEstados'!$AS$2:$AT$16,2,FALSE),
  O261="Santa Catarina",((W261*0.15)+(X261*0.7))*VLOOKUP(P261,'MunicípiosEstados'!$AU$2:$AV$296,2,FALSE),
  O261="São Paulo",((W261*0.15)+(X261*0.7))*VLOOKUP(P261,'MunicípiosEstados'!$AW$2:$AX$646,2,FALSE),
  O261="Sergipe",((W261*0.15)+(X261*0.7))*VLOOKUP(P261,'MunicípiosEstados'!$AY$2:$AZ$76,2,FALSE),
  O261="Tocantins",((W261*0.15)+(X261*0.7))*VLOOKUP(P261,'MunicípiosEstados'!$BA$2:$BB$140,2,FALSE),
  O261="Exterior",((W261*0.15)+(X261*0.7))*VLOOKUP(P261,'MunicípiosEstados'!$BC$2:$BE$221,3,FALSE),TRUE,0
)
</f>
        <v>15964.18</v>
      </c>
      <c r="AL261" s="25">
        <f t="shared" si="3"/>
        <v>20816.98</v>
      </c>
      <c r="AN261" s="31"/>
    </row>
    <row r="262" ht="22.5" hidden="1" customHeight="1">
      <c r="A262" s="15">
        <f t="shared" si="1"/>
        <v>261</v>
      </c>
      <c r="B262" s="16">
        <v>45998.94150083333</v>
      </c>
      <c r="C262" s="17" t="s">
        <v>1380</v>
      </c>
      <c r="D262" s="27" t="s">
        <v>443</v>
      </c>
      <c r="E262" s="15" t="str">
        <f>VLOOKUP(G262,DiretoriaDepart.Coord.!$A$1:$C$72,2,FALSE)</f>
        <v>Extensão Rural</v>
      </c>
      <c r="F262" s="15" t="str">
        <f>VLOOKUP(G262,DiretoriaDepart.Coord.!$A$1:$C$72,3,FALSE)</f>
        <v>Projetos e Cadeias Produtivas</v>
      </c>
      <c r="G262" s="17" t="s">
        <v>1381</v>
      </c>
      <c r="H262" s="15"/>
      <c r="I262" s="17" t="s">
        <v>1386</v>
      </c>
      <c r="J262" s="17" t="s">
        <v>490</v>
      </c>
      <c r="K262" s="17">
        <v>20.0</v>
      </c>
      <c r="L262" s="15"/>
      <c r="M262" s="17" t="s">
        <v>830</v>
      </c>
      <c r="N262" s="17">
        <v>0.0</v>
      </c>
      <c r="O262" s="17" t="s">
        <v>714</v>
      </c>
      <c r="P262" s="17" t="s">
        <v>18</v>
      </c>
      <c r="Q262" s="20">
        <v>45734.333333333336</v>
      </c>
      <c r="R262" s="20">
        <v>45737.708333333336</v>
      </c>
      <c r="S262" s="17" t="s">
        <v>451</v>
      </c>
      <c r="T262" s="17" t="s">
        <v>452</v>
      </c>
      <c r="U262" s="21" t="s">
        <v>1387</v>
      </c>
      <c r="V262" s="21" t="s">
        <v>1388</v>
      </c>
      <c r="W262" s="22">
        <v>160.0</v>
      </c>
      <c r="X262" s="22">
        <v>80.0</v>
      </c>
      <c r="Y262" s="23">
        <v>2000.0</v>
      </c>
      <c r="Z262" s="23">
        <v>0.0</v>
      </c>
      <c r="AA262" s="24">
        <v>0.0</v>
      </c>
      <c r="AB262" s="24">
        <v>0.0</v>
      </c>
      <c r="AC262" s="24">
        <v>0.0</v>
      </c>
      <c r="AD262" s="23">
        <v>0.0</v>
      </c>
      <c r="AE262" s="24">
        <v>0.0</v>
      </c>
      <c r="AF262" s="17" t="s">
        <v>451</v>
      </c>
      <c r="AG262" s="17">
        <v>1500.0</v>
      </c>
      <c r="AH262" s="17" t="s">
        <v>464</v>
      </c>
      <c r="AI262" s="25">
        <f>IF(AF262="Sim",INT((R262-Q262+1))*K262*VLOOKUP(P262,'Tabelas Auxiliares'!$A$1:$C$400,3,FALSE),0)</f>
        <v>0</v>
      </c>
      <c r="AJ262" s="25">
        <f t="shared" si="2"/>
        <v>1050</v>
      </c>
      <c r="AK262" s="25">
        <f>IFS(
  O262="Acre",((W262*0.15)+(X262*0.7))*VLOOKUP(P262,'MunicípiosEstados'!$A$2:$B$23,2,FALSE),
  O262="Alagoas",((W262*0.15)+(X262*0.7))*VLOOKUP(P262,'MunicípiosEstados'!$C$2:$D$103,2,FALSE),
  O262="Amapá",((W262*0.15)+(X262*0.7))*VLOOKUP(P262,'MunicípiosEstados'!$E$2:$F$17,2,FALSE),
  O262="Amazonas",((W262*0.15)+(X262*0.7))*VLOOKUP(P262,'MunicípiosEstados'!$G$2:$H$63,2,FALSE),
  O262="Bahia",((W262*0.15)+(X262*0.7))*VLOOKUP(P262,'MunicípiosEstados'!$I$2:$J$418,2,FALSE),
  O262="Ceará",((W262*0.15)+(X262*0.7))*VLOOKUP(P262,'MunicípiosEstados'!$K$2:$L$185,2,FALSE),
  O262="Distrito Federal",((W262*0.15)+(X262*0.7))*VLOOKUP(P262,'MunicípiosEstados'!$M$2:$N$2,2,FALSE),
  O262="Espírito Santo",((W262*0.15)+(X262*0.7))*VLOOKUP(P262,'MunicípiosEstados'!$O$2:$P$79,2,FALSE),
  O262="Goiás",((W262*0.15)+(X262*0.7))*VLOOKUP(P262,'MunicípiosEstados'!$Q$2:$R$247,2,FALSE),
  O262="Maranhão",((W262*0.15)+(X262*0.7))*VLOOKUP(P262,'MunicípiosEstados'!$S$2:$T$218,2,FALSE),
  O262="Mato Grosso",((W262*0.15)+(X262*0.7))*VLOOKUP(P262,'MunicípiosEstados'!$U$2:$V$143,2,FALSE),
  O262="Mato Grosso do Sul",((W262*0.15)+(X262*0.7))*VLOOKUP(P262,'MunicípiosEstados'!$W$2:$X$80,2,FALSE),
  O262="Minas Gerais",((W262*0.15)+(X262*0.7))*VLOOKUP(P262,'MunicípiosEstados'!$Y$2:$Z$854,2,FALSE),
  O262="Pará",((W262*0.15)+(X262*0.7))*VLOOKUP(P262,'MunicípiosEstados'!$AA$2:$AB$145,2,FALSE),
  O262="Paraíba",((W262*0.15)+(X262*0.7))*VLOOKUP(P262,'MunicípiosEstados'!$AC$2:$AD$224,2,FALSE),
  O262="Paraná",((W262*0.15)+(X262*0.7))*VLOOKUP(P262,'MunicípiosEstados'!$AE$2:$AF$400,2,FALSE),
  O262="Pernambuco",((W262*0.15)+(X262*0.7))*VLOOKUP(P262,'MunicípiosEstados'!$AG$2:$AH$186,2,FALSE),
  O262="Piauí",((W262*0.15)+(X262*0.7))*VLOOKUP(P262,'MunicípiosEstados'!$AI$2:$AJ$225,2,FALSE),
  O262="Rio Grande do Norte",((W262*0.15)+(X262*0.7))*VLOOKUP(P262,'MunicípiosEstados'!$AK$2:$AL$168,2,FALSE),
  O262="Rio Grande do Sul",((W262*0.15)+(X262*0.7))*VLOOKUP(P262,'MunicípiosEstados'!$AM$2:$AN$498,2,FALSE),
  O262="Rio de Janeiro",((W262*0.15)+(X262*0.7))*VLOOKUP(P262,'MunicípiosEstados'!$AO$2:$AP$93,2,FALSE),
  O262="Rondônia",((W262*0.15)+(X262*0.7))*VLOOKUP(P262,'MunicípiosEstados'!$AQ$2:$AR$53,2,FALSE),
  O262="Roraima",((W262*0.15)+(X262*0.7))*VLOOKUP(P262,'MunicípiosEstados'!$AS$2:$AT$16,2,FALSE),
  O262="Santa Catarina",((W262*0.15)+(X262*0.7))*VLOOKUP(P262,'MunicípiosEstados'!$AU$2:$AV$296,2,FALSE),
  O262="São Paulo",((W262*0.15)+(X262*0.7))*VLOOKUP(P262,'MunicípiosEstados'!$AW$2:$AX$646,2,FALSE),
  O262="Sergipe",((W262*0.15)+(X262*0.7))*VLOOKUP(P262,'MunicípiosEstados'!$AY$2:$AZ$76,2,FALSE),
  O262="Tocantins",((W262*0.15)+(X262*0.7))*VLOOKUP(P262,'MunicípiosEstados'!$BA$2:$BB$140,2,FALSE),
  O262="Exterior",((W262*0.15)+(X262*0.7))*VLOOKUP(P262,'MunicípiosEstados'!$BC$2:$BE$221,3,FALSE),TRUE,0
)
</f>
        <v>23244</v>
      </c>
      <c r="AL262" s="25">
        <f t="shared" si="3"/>
        <v>26294</v>
      </c>
      <c r="AN262" s="31"/>
    </row>
    <row r="263" ht="22.5" hidden="1" customHeight="1">
      <c r="A263" s="41">
        <f t="shared" si="1"/>
        <v>262</v>
      </c>
      <c r="B263" s="42">
        <v>45999.35802315972</v>
      </c>
      <c r="C263" s="19" t="s">
        <v>1389</v>
      </c>
      <c r="D263" s="18" t="s">
        <v>443</v>
      </c>
      <c r="E263" s="41" t="str">
        <f>VLOOKUP(G263,DiretoriaDepart.Coord.!$A$1:$C$72,2,FALSE)</f>
        <v>Extensão Rural</v>
      </c>
      <c r="F263" s="41" t="str">
        <f>VLOOKUP(G263,DiretoriaDepart.Coord.!$A$1:$C$72,3,FALSE)</f>
        <v>Projetos e Cadeias Produtivas</v>
      </c>
      <c r="G263" s="19" t="s">
        <v>968</v>
      </c>
      <c r="H263" s="41"/>
      <c r="I263" s="19" t="s">
        <v>1390</v>
      </c>
      <c r="J263" s="19" t="s">
        <v>446</v>
      </c>
      <c r="K263" s="19">
        <v>80.0</v>
      </c>
      <c r="L263" s="41"/>
      <c r="M263" s="19" t="s">
        <v>1391</v>
      </c>
      <c r="N263" s="19">
        <v>10.0</v>
      </c>
      <c r="O263" s="19" t="s">
        <v>714</v>
      </c>
      <c r="P263" s="19" t="s">
        <v>18</v>
      </c>
      <c r="Q263" s="38">
        <v>45838.333333333336</v>
      </c>
      <c r="R263" s="38">
        <v>45840.708333333336</v>
      </c>
      <c r="S263" s="19" t="s">
        <v>451</v>
      </c>
      <c r="T263" s="19" t="s">
        <v>452</v>
      </c>
      <c r="U263" s="28" t="s">
        <v>1392</v>
      </c>
      <c r="V263" s="21" t="s">
        <v>1393</v>
      </c>
      <c r="W263" s="22">
        <v>600.0</v>
      </c>
      <c r="X263" s="22">
        <v>250.0</v>
      </c>
      <c r="Y263" s="23">
        <v>0.0</v>
      </c>
      <c r="Z263" s="23">
        <v>0.0</v>
      </c>
      <c r="AA263" s="24">
        <v>0.0</v>
      </c>
      <c r="AB263" s="24">
        <v>0.0</v>
      </c>
      <c r="AC263" s="24">
        <v>0.0</v>
      </c>
      <c r="AD263" s="23">
        <v>0.0</v>
      </c>
      <c r="AE263" s="24">
        <v>0.0</v>
      </c>
      <c r="AF263" s="17" t="s">
        <v>464</v>
      </c>
      <c r="AG263" s="17">
        <v>10800.0</v>
      </c>
      <c r="AH263" s="17" t="s">
        <v>464</v>
      </c>
      <c r="AI263" s="25">
        <f>IF(AF263="Sim",INT((R263-Q263+1))*K263*VLOOKUP(P263,'Tabelas Auxiliares'!$A$1:$C$400,3,FALSE),0)</f>
        <v>5433.6</v>
      </c>
      <c r="AJ263" s="25">
        <f t="shared" si="2"/>
        <v>7560</v>
      </c>
      <c r="AK263" s="25">
        <f>IFS(
  O263="Acre",((W263*0.15)+(X263*0.7))*VLOOKUP(P263,'MunicípiosEstados'!$A$2:$B$23,2,FALSE),
  O263="Alagoas",((W263*0.15)+(X263*0.7))*VLOOKUP(P263,'MunicípiosEstados'!$C$2:$D$103,2,FALSE),
  O263="Amapá",((W263*0.15)+(X263*0.7))*VLOOKUP(P263,'MunicípiosEstados'!$E$2:$F$17,2,FALSE),
  O263="Amazonas",((W263*0.15)+(X263*0.7))*VLOOKUP(P263,'MunicípiosEstados'!$G$2:$H$63,2,FALSE),
  O263="Bahia",((W263*0.15)+(X263*0.7))*VLOOKUP(P263,'MunicípiosEstados'!$I$2:$J$418,2,FALSE),
  O263="Ceará",((W263*0.15)+(X263*0.7))*VLOOKUP(P263,'MunicípiosEstados'!$K$2:$L$185,2,FALSE),
  O263="Distrito Federal",((W263*0.15)+(X263*0.7))*VLOOKUP(P263,'MunicípiosEstados'!$M$2:$N$2,2,FALSE),
  O263="Espírito Santo",((W263*0.15)+(X263*0.7))*VLOOKUP(P263,'MunicípiosEstados'!$O$2:$P$79,2,FALSE),
  O263="Goiás",((W263*0.15)+(X263*0.7))*VLOOKUP(P263,'MunicípiosEstados'!$Q$2:$R$247,2,FALSE),
  O263="Maranhão",((W263*0.15)+(X263*0.7))*VLOOKUP(P263,'MunicípiosEstados'!$S$2:$T$218,2,FALSE),
  O263="Mato Grosso",((W263*0.15)+(X263*0.7))*VLOOKUP(P263,'MunicípiosEstados'!$U$2:$V$143,2,FALSE),
  O263="Mato Grosso do Sul",((W263*0.15)+(X263*0.7))*VLOOKUP(P263,'MunicípiosEstados'!$W$2:$X$80,2,FALSE),
  O263="Minas Gerais",((W263*0.15)+(X263*0.7))*VLOOKUP(P263,'MunicípiosEstados'!$Y$2:$Z$854,2,FALSE),
  O263="Pará",((W263*0.15)+(X263*0.7))*VLOOKUP(P263,'MunicípiosEstados'!$AA$2:$AB$145,2,FALSE),
  O263="Paraíba",((W263*0.15)+(X263*0.7))*VLOOKUP(P263,'MunicípiosEstados'!$AC$2:$AD$224,2,FALSE),
  O263="Paraná",((W263*0.15)+(X263*0.7))*VLOOKUP(P263,'MunicípiosEstados'!$AE$2:$AF$400,2,FALSE),
  O263="Pernambuco",((W263*0.15)+(X263*0.7))*VLOOKUP(P263,'MunicípiosEstados'!$AG$2:$AH$186,2,FALSE),
  O263="Piauí",((W263*0.15)+(X263*0.7))*VLOOKUP(P263,'MunicípiosEstados'!$AI$2:$AJ$225,2,FALSE),
  O263="Rio Grande do Norte",((W263*0.15)+(X263*0.7))*VLOOKUP(P263,'MunicípiosEstados'!$AK$2:$AL$168,2,FALSE),
  O263="Rio Grande do Sul",((W263*0.15)+(X263*0.7))*VLOOKUP(P263,'MunicípiosEstados'!$AM$2:$AN$498,2,FALSE),
  O263="Rio de Janeiro",((W263*0.15)+(X263*0.7))*VLOOKUP(P263,'MunicípiosEstados'!$AO$2:$AP$93,2,FALSE),
  O263="Rondônia",((W263*0.15)+(X263*0.7))*VLOOKUP(P263,'MunicípiosEstados'!$AQ$2:$AR$53,2,FALSE),
  O263="Roraima",((W263*0.15)+(X263*0.7))*VLOOKUP(P263,'MunicípiosEstados'!$AS$2:$AT$16,2,FALSE),
  O263="Santa Catarina",((W263*0.15)+(X263*0.7))*VLOOKUP(P263,'MunicípiosEstados'!$AU$2:$AV$296,2,FALSE),
  O263="São Paulo",((W263*0.15)+(X263*0.7))*VLOOKUP(P263,'MunicípiosEstados'!$AW$2:$AX$646,2,FALSE),
  O263="Sergipe",((W263*0.15)+(X263*0.7))*VLOOKUP(P263,'MunicípiosEstados'!$AY$2:$AZ$76,2,FALSE),
  O263="Tocantins",((W263*0.15)+(X263*0.7))*VLOOKUP(P263,'MunicípiosEstados'!$BA$2:$BB$140,2,FALSE),
  O263="Exterior",((W263*0.15)+(X263*0.7))*VLOOKUP(P263,'MunicípiosEstados'!$BC$2:$BE$221,3,FALSE),TRUE,0
)
</f>
        <v>76995.75</v>
      </c>
      <c r="AL263" s="25">
        <f t="shared" si="3"/>
        <v>89989.35</v>
      </c>
      <c r="AN263" s="31"/>
    </row>
    <row r="264" ht="22.5" hidden="1" customHeight="1">
      <c r="A264" s="41">
        <f t="shared" si="1"/>
        <v>263</v>
      </c>
      <c r="B264" s="42">
        <v>45999.3612487963</v>
      </c>
      <c r="C264" s="19" t="s">
        <v>1389</v>
      </c>
      <c r="D264" s="18" t="s">
        <v>443</v>
      </c>
      <c r="E264" s="41" t="str">
        <f>VLOOKUP(G264,DiretoriaDepart.Coord.!$A$1:$C$72,2,FALSE)</f>
        <v>Extensão Rural</v>
      </c>
      <c r="F264" s="41" t="str">
        <f>VLOOKUP(G264,DiretoriaDepart.Coord.!$A$1:$C$72,3,FALSE)</f>
        <v>Projetos e Cadeias Produtivas</v>
      </c>
      <c r="G264" s="19" t="s">
        <v>968</v>
      </c>
      <c r="H264" s="41"/>
      <c r="I264" s="19" t="s">
        <v>1394</v>
      </c>
      <c r="J264" s="19" t="s">
        <v>728</v>
      </c>
      <c r="K264" s="19">
        <v>15.0</v>
      </c>
      <c r="L264" s="41"/>
      <c r="M264" s="19" t="s">
        <v>988</v>
      </c>
      <c r="N264" s="17">
        <v>0.0</v>
      </c>
      <c r="O264" s="19" t="s">
        <v>714</v>
      </c>
      <c r="P264" s="19" t="s">
        <v>18</v>
      </c>
      <c r="Q264" s="38">
        <v>45970.333333333336</v>
      </c>
      <c r="R264" s="38">
        <v>45974.708333333336</v>
      </c>
      <c r="S264" s="19" t="s">
        <v>451</v>
      </c>
      <c r="T264" s="19" t="s">
        <v>452</v>
      </c>
      <c r="U264" s="21" t="s">
        <v>1395</v>
      </c>
      <c r="V264" s="21" t="s">
        <v>1396</v>
      </c>
      <c r="W264" s="22">
        <v>150.0</v>
      </c>
      <c r="X264" s="22">
        <v>90.0</v>
      </c>
      <c r="Y264" s="23">
        <v>18000.0</v>
      </c>
      <c r="Z264" s="23">
        <v>0.0</v>
      </c>
      <c r="AA264" s="24">
        <v>0.0</v>
      </c>
      <c r="AB264" s="24">
        <v>0.0</v>
      </c>
      <c r="AC264" s="24">
        <v>0.0</v>
      </c>
      <c r="AD264" s="23">
        <v>0.0</v>
      </c>
      <c r="AE264" s="24">
        <v>0.0</v>
      </c>
      <c r="AF264" s="17" t="s">
        <v>451</v>
      </c>
      <c r="AG264" s="17">
        <v>2000.0</v>
      </c>
      <c r="AH264" s="17" t="s">
        <v>451</v>
      </c>
      <c r="AI264" s="25">
        <f>IF(AF264="Sim",INT((R264-Q264+1))*K264*VLOOKUP(P264,'Tabelas Auxiliares'!$A$1:$C$400,3,FALSE),0)</f>
        <v>0</v>
      </c>
      <c r="AJ264" s="25">
        <f t="shared" si="2"/>
        <v>1400</v>
      </c>
      <c r="AK264" s="25">
        <f>IFS(
  O264="Acre",((W264*0.15)+(X264*0.7))*VLOOKUP(P264,'MunicípiosEstados'!$A$2:$B$23,2,FALSE),
  O264="Alagoas",((W264*0.15)+(X264*0.7))*VLOOKUP(P264,'MunicípiosEstados'!$C$2:$D$103,2,FALSE),
  O264="Amapá",((W264*0.15)+(X264*0.7))*VLOOKUP(P264,'MunicípiosEstados'!$E$2:$F$17,2,FALSE),
  O264="Amazonas",((W264*0.15)+(X264*0.7))*VLOOKUP(P264,'MunicípiosEstados'!$G$2:$H$63,2,FALSE),
  O264="Bahia",((W264*0.15)+(X264*0.7))*VLOOKUP(P264,'MunicípiosEstados'!$I$2:$J$418,2,FALSE),
  O264="Ceará",((W264*0.15)+(X264*0.7))*VLOOKUP(P264,'MunicípiosEstados'!$K$2:$L$185,2,FALSE),
  O264="Distrito Federal",((W264*0.15)+(X264*0.7))*VLOOKUP(P264,'MunicípiosEstados'!$M$2:$N$2,2,FALSE),
  O264="Espírito Santo",((W264*0.15)+(X264*0.7))*VLOOKUP(P264,'MunicípiosEstados'!$O$2:$P$79,2,FALSE),
  O264="Goiás",((W264*0.15)+(X264*0.7))*VLOOKUP(P264,'MunicípiosEstados'!$Q$2:$R$247,2,FALSE),
  O264="Maranhão",((W264*0.15)+(X264*0.7))*VLOOKUP(P264,'MunicípiosEstados'!$S$2:$T$218,2,FALSE),
  O264="Mato Grosso",((W264*0.15)+(X264*0.7))*VLOOKUP(P264,'MunicípiosEstados'!$U$2:$V$143,2,FALSE),
  O264="Mato Grosso do Sul",((W264*0.15)+(X264*0.7))*VLOOKUP(P264,'MunicípiosEstados'!$W$2:$X$80,2,FALSE),
  O264="Minas Gerais",((W264*0.15)+(X264*0.7))*VLOOKUP(P264,'MunicípiosEstados'!$Y$2:$Z$854,2,FALSE),
  O264="Pará",((W264*0.15)+(X264*0.7))*VLOOKUP(P264,'MunicípiosEstados'!$AA$2:$AB$145,2,FALSE),
  O264="Paraíba",((W264*0.15)+(X264*0.7))*VLOOKUP(P264,'MunicípiosEstados'!$AC$2:$AD$224,2,FALSE),
  O264="Paraná",((W264*0.15)+(X264*0.7))*VLOOKUP(P264,'MunicípiosEstados'!$AE$2:$AF$400,2,FALSE),
  O264="Pernambuco",((W264*0.15)+(X264*0.7))*VLOOKUP(P264,'MunicípiosEstados'!$AG$2:$AH$186,2,FALSE),
  O264="Piauí",((W264*0.15)+(X264*0.7))*VLOOKUP(P264,'MunicípiosEstados'!$AI$2:$AJ$225,2,FALSE),
  O264="Rio Grande do Norte",((W264*0.15)+(X264*0.7))*VLOOKUP(P264,'MunicípiosEstados'!$AK$2:$AL$168,2,FALSE),
  O264="Rio Grande do Sul",((W264*0.15)+(X264*0.7))*VLOOKUP(P264,'MunicípiosEstados'!$AM$2:$AN$498,2,FALSE),
  O264="Rio de Janeiro",((W264*0.15)+(X264*0.7))*VLOOKUP(P264,'MunicípiosEstados'!$AO$2:$AP$93,2,FALSE),
  O264="Rondônia",((W264*0.15)+(X264*0.7))*VLOOKUP(P264,'MunicípiosEstados'!$AQ$2:$AR$53,2,FALSE),
  O264="Roraima",((W264*0.15)+(X264*0.7))*VLOOKUP(P264,'MunicípiosEstados'!$AS$2:$AT$16,2,FALSE),
  O264="Santa Catarina",((W264*0.15)+(X264*0.7))*VLOOKUP(P264,'MunicípiosEstados'!$AU$2:$AV$296,2,FALSE),
  O264="São Paulo",((W264*0.15)+(X264*0.7))*VLOOKUP(P264,'MunicípiosEstados'!$AW$2:$AX$646,2,FALSE),
  O264="Sergipe",((W264*0.15)+(X264*0.7))*VLOOKUP(P264,'MunicípiosEstados'!$AY$2:$AZ$76,2,FALSE),
  O264="Tocantins",((W264*0.15)+(X264*0.7))*VLOOKUP(P264,'MunicípiosEstados'!$BA$2:$BB$140,2,FALSE),
  O264="Exterior",((W264*0.15)+(X264*0.7))*VLOOKUP(P264,'MunicípiosEstados'!$BC$2:$BE$221,3,FALSE),TRUE,0
)
</f>
        <v>24842.025</v>
      </c>
      <c r="AL264" s="25">
        <f t="shared" si="3"/>
        <v>44242.025</v>
      </c>
      <c r="AN264" s="31"/>
    </row>
    <row r="265" ht="22.5" hidden="1" customHeight="1">
      <c r="A265" s="15">
        <f t="shared" si="1"/>
        <v>264</v>
      </c>
      <c r="B265" s="16">
        <v>45999.36551122685</v>
      </c>
      <c r="C265" s="17" t="s">
        <v>1389</v>
      </c>
      <c r="D265" s="18" t="s">
        <v>443</v>
      </c>
      <c r="E265" s="15" t="str">
        <f>VLOOKUP(G265,DiretoriaDepart.Coord.!$A$1:$C$72,2,FALSE)</f>
        <v>Extensão Rural</v>
      </c>
      <c r="F265" s="15" t="str">
        <f>VLOOKUP(G265,DiretoriaDepart.Coord.!$A$1:$C$72,3,FALSE)</f>
        <v>Projetos e Cadeias Produtivas</v>
      </c>
      <c r="G265" s="17" t="s">
        <v>968</v>
      </c>
      <c r="H265" s="15"/>
      <c r="I265" s="17" t="s">
        <v>1397</v>
      </c>
      <c r="J265" s="17" t="s">
        <v>883</v>
      </c>
      <c r="K265" s="17">
        <v>20.0</v>
      </c>
      <c r="L265" s="15"/>
      <c r="M265" s="17" t="s">
        <v>988</v>
      </c>
      <c r="N265" s="17">
        <v>0.0</v>
      </c>
      <c r="O265" s="17" t="s">
        <v>714</v>
      </c>
      <c r="P265" s="17" t="s">
        <v>18</v>
      </c>
      <c r="Q265" s="20">
        <v>45818.333333333336</v>
      </c>
      <c r="R265" s="20">
        <v>45819.708333333336</v>
      </c>
      <c r="S265" s="17" t="s">
        <v>464</v>
      </c>
      <c r="T265" s="17" t="s">
        <v>452</v>
      </c>
      <c r="U265" s="21" t="s">
        <v>1398</v>
      </c>
      <c r="V265" s="21" t="s">
        <v>1399</v>
      </c>
      <c r="W265" s="22">
        <v>60.0</v>
      </c>
      <c r="X265" s="22">
        <v>100.0</v>
      </c>
      <c r="Y265" s="23">
        <v>15000.0</v>
      </c>
      <c r="Z265" s="23">
        <v>0.0</v>
      </c>
      <c r="AA265" s="24">
        <v>0.0</v>
      </c>
      <c r="AB265" s="24">
        <v>0.0</v>
      </c>
      <c r="AC265" s="24">
        <v>0.0</v>
      </c>
      <c r="AD265" s="23">
        <v>0.0</v>
      </c>
      <c r="AE265" s="24">
        <v>0.0</v>
      </c>
      <c r="AF265" s="17" t="s">
        <v>451</v>
      </c>
      <c r="AG265" s="17">
        <v>2800.0</v>
      </c>
      <c r="AH265" s="17" t="s">
        <v>451</v>
      </c>
      <c r="AI265" s="25">
        <f>IF(AF265="Sim",INT((R265-Q265+1))*K265*VLOOKUP(P265,'Tabelas Auxiliares'!$A$1:$C$400,3,FALSE),0)</f>
        <v>0</v>
      </c>
      <c r="AJ265" s="25">
        <f t="shared" si="2"/>
        <v>1960</v>
      </c>
      <c r="AK265" s="25">
        <f>IFS(
  O265="Acre",((W265*0.15)+(X265*0.7))*VLOOKUP(P265,'MunicípiosEstados'!$A$2:$B$23,2,FALSE),
  O265="Alagoas",((W265*0.15)+(X265*0.7))*VLOOKUP(P265,'MunicípiosEstados'!$C$2:$D$103,2,FALSE),
  O265="Amapá",((W265*0.15)+(X265*0.7))*VLOOKUP(P265,'MunicípiosEstados'!$E$2:$F$17,2,FALSE),
  O265="Amazonas",((W265*0.15)+(X265*0.7))*VLOOKUP(P265,'MunicípiosEstados'!$G$2:$H$63,2,FALSE),
  O265="Bahia",((W265*0.15)+(X265*0.7))*VLOOKUP(P265,'MunicípiosEstados'!$I$2:$J$418,2,FALSE),
  O265="Ceará",((W265*0.15)+(X265*0.7))*VLOOKUP(P265,'MunicípiosEstados'!$K$2:$L$185,2,FALSE),
  O265="Distrito Federal",((W265*0.15)+(X265*0.7))*VLOOKUP(P265,'MunicípiosEstados'!$M$2:$N$2,2,FALSE),
  O265="Espírito Santo",((W265*0.15)+(X265*0.7))*VLOOKUP(P265,'MunicípiosEstados'!$O$2:$P$79,2,FALSE),
  O265="Goiás",((W265*0.15)+(X265*0.7))*VLOOKUP(P265,'MunicípiosEstados'!$Q$2:$R$247,2,FALSE),
  O265="Maranhão",((W265*0.15)+(X265*0.7))*VLOOKUP(P265,'MunicípiosEstados'!$S$2:$T$218,2,FALSE),
  O265="Mato Grosso",((W265*0.15)+(X265*0.7))*VLOOKUP(P265,'MunicípiosEstados'!$U$2:$V$143,2,FALSE),
  O265="Mato Grosso do Sul",((W265*0.15)+(X265*0.7))*VLOOKUP(P265,'MunicípiosEstados'!$W$2:$X$80,2,FALSE),
  O265="Minas Gerais",((W265*0.15)+(X265*0.7))*VLOOKUP(P265,'MunicípiosEstados'!$Y$2:$Z$854,2,FALSE),
  O265="Pará",((W265*0.15)+(X265*0.7))*VLOOKUP(P265,'MunicípiosEstados'!$AA$2:$AB$145,2,FALSE),
  O265="Paraíba",((W265*0.15)+(X265*0.7))*VLOOKUP(P265,'MunicípiosEstados'!$AC$2:$AD$224,2,FALSE),
  O265="Paraná",((W265*0.15)+(X265*0.7))*VLOOKUP(P265,'MunicípiosEstados'!$AE$2:$AF$400,2,FALSE),
  O265="Pernambuco",((W265*0.15)+(X265*0.7))*VLOOKUP(P265,'MunicípiosEstados'!$AG$2:$AH$186,2,FALSE),
  O265="Piauí",((W265*0.15)+(X265*0.7))*VLOOKUP(P265,'MunicípiosEstados'!$AI$2:$AJ$225,2,FALSE),
  O265="Rio Grande do Norte",((W265*0.15)+(X265*0.7))*VLOOKUP(P265,'MunicípiosEstados'!$AK$2:$AL$168,2,FALSE),
  O265="Rio Grande do Sul",((W265*0.15)+(X265*0.7))*VLOOKUP(P265,'MunicípiosEstados'!$AM$2:$AN$498,2,FALSE),
  O265="Rio de Janeiro",((W265*0.15)+(X265*0.7))*VLOOKUP(P265,'MunicípiosEstados'!$AO$2:$AP$93,2,FALSE),
  O265="Rondônia",((W265*0.15)+(X265*0.7))*VLOOKUP(P265,'MunicípiosEstados'!$AQ$2:$AR$53,2,FALSE),
  O265="Roraima",((W265*0.15)+(X265*0.7))*VLOOKUP(P265,'MunicípiosEstados'!$AS$2:$AT$16,2,FALSE),
  O265="Santa Catarina",((W265*0.15)+(X265*0.7))*VLOOKUP(P265,'MunicípiosEstados'!$AU$2:$AV$296,2,FALSE),
  O265="São Paulo",((W265*0.15)+(X265*0.7))*VLOOKUP(P265,'MunicípiosEstados'!$AW$2:$AX$646,2,FALSE),
  O265="Sergipe",((W265*0.15)+(X265*0.7))*VLOOKUP(P265,'MunicípiosEstados'!$AY$2:$AZ$76,2,FALSE),
  O265="Tocantins",((W265*0.15)+(X265*0.7))*VLOOKUP(P265,'MunicípiosEstados'!$BA$2:$BB$140,2,FALSE),
  O265="Exterior",((W265*0.15)+(X265*0.7))*VLOOKUP(P265,'MunicípiosEstados'!$BC$2:$BE$221,3,FALSE),TRUE,0
)
</f>
        <v>22953.45</v>
      </c>
      <c r="AL265" s="25">
        <f t="shared" si="3"/>
        <v>39913.45</v>
      </c>
      <c r="AN265" s="31"/>
    </row>
    <row r="266" ht="22.5" hidden="1" customHeight="1">
      <c r="A266" s="15">
        <f t="shared" si="1"/>
        <v>265</v>
      </c>
      <c r="B266" s="16">
        <v>45999.37160119213</v>
      </c>
      <c r="C266" s="17" t="s">
        <v>1389</v>
      </c>
      <c r="D266" s="18" t="s">
        <v>443</v>
      </c>
      <c r="E266" s="15" t="str">
        <f>VLOOKUP(G266,DiretoriaDepart.Coord.!$A$1:$C$72,2,FALSE)</f>
        <v>Extensão Rural</v>
      </c>
      <c r="F266" s="15" t="str">
        <f>VLOOKUP(G266,DiretoriaDepart.Coord.!$A$1:$C$72,3,FALSE)</f>
        <v>Projetos e Cadeias Produtivas</v>
      </c>
      <c r="G266" s="17" t="s">
        <v>968</v>
      </c>
      <c r="H266" s="15"/>
      <c r="I266" s="17" t="s">
        <v>1400</v>
      </c>
      <c r="J266" s="17" t="s">
        <v>883</v>
      </c>
      <c r="K266" s="17">
        <v>50.0</v>
      </c>
      <c r="L266" s="15"/>
      <c r="M266" s="17" t="s">
        <v>508</v>
      </c>
      <c r="N266" s="17">
        <v>0.0</v>
      </c>
      <c r="O266" s="17" t="s">
        <v>714</v>
      </c>
      <c r="P266" s="17" t="s">
        <v>64</v>
      </c>
      <c r="Q266" s="20">
        <v>45754.333333333336</v>
      </c>
      <c r="R266" s="20">
        <v>45754.708333333336</v>
      </c>
      <c r="S266" s="17" t="s">
        <v>451</v>
      </c>
      <c r="T266" s="17" t="s">
        <v>747</v>
      </c>
      <c r="U266" s="21" t="s">
        <v>1400</v>
      </c>
      <c r="V266" s="21" t="s">
        <v>1401</v>
      </c>
      <c r="W266" s="22">
        <v>0.0</v>
      </c>
      <c r="X266" s="22">
        <v>0.0</v>
      </c>
      <c r="Y266" s="23">
        <v>0.0</v>
      </c>
      <c r="Z266" s="23">
        <v>0.0</v>
      </c>
      <c r="AA266" s="24">
        <v>0.0</v>
      </c>
      <c r="AB266" s="24">
        <v>0.0</v>
      </c>
      <c r="AC266" s="24">
        <v>0.0</v>
      </c>
      <c r="AD266" s="23">
        <v>0.0</v>
      </c>
      <c r="AE266" s="24">
        <v>0.0</v>
      </c>
      <c r="AF266" s="17" t="s">
        <v>451</v>
      </c>
      <c r="AG266" s="17">
        <v>0.0</v>
      </c>
      <c r="AH266" s="17" t="s">
        <v>464</v>
      </c>
      <c r="AI266" s="25">
        <f>IF(AF266="Sim",INT((R266-Q266+1))*K266*VLOOKUP(P266,'Tabelas Auxiliares'!$A$1:$C$400,3,FALSE),0)</f>
        <v>0</v>
      </c>
      <c r="AJ266" s="25">
        <f t="shared" si="2"/>
        <v>0</v>
      </c>
      <c r="AK266" s="25">
        <f>IFS(
  O266="Acre",((W266*0.15)+(X266*0.7))*VLOOKUP(P266,'MunicípiosEstados'!$A$2:$B$23,2,FALSE),
  O266="Alagoas",((W266*0.15)+(X266*0.7))*VLOOKUP(P266,'MunicípiosEstados'!$C$2:$D$103,2,FALSE),
  O266="Amapá",((W266*0.15)+(X266*0.7))*VLOOKUP(P266,'MunicípiosEstados'!$E$2:$F$17,2,FALSE),
  O266="Amazonas",((W266*0.15)+(X266*0.7))*VLOOKUP(P266,'MunicípiosEstados'!$G$2:$H$63,2,FALSE),
  O266="Bahia",((W266*0.15)+(X266*0.7))*VLOOKUP(P266,'MunicípiosEstados'!$I$2:$J$418,2,FALSE),
  O266="Ceará",((W266*0.15)+(X266*0.7))*VLOOKUP(P266,'MunicípiosEstados'!$K$2:$L$185,2,FALSE),
  O266="Distrito Federal",((W266*0.15)+(X266*0.7))*VLOOKUP(P266,'MunicípiosEstados'!$M$2:$N$2,2,FALSE),
  O266="Espírito Santo",((W266*0.15)+(X266*0.7))*VLOOKUP(P266,'MunicípiosEstados'!$O$2:$P$79,2,FALSE),
  O266="Goiás",((W266*0.15)+(X266*0.7))*VLOOKUP(P266,'MunicípiosEstados'!$Q$2:$R$247,2,FALSE),
  O266="Maranhão",((W266*0.15)+(X266*0.7))*VLOOKUP(P266,'MunicípiosEstados'!$S$2:$T$218,2,FALSE),
  O266="Mato Grosso",((W266*0.15)+(X266*0.7))*VLOOKUP(P266,'MunicípiosEstados'!$U$2:$V$143,2,FALSE),
  O266="Mato Grosso do Sul",((W266*0.15)+(X266*0.7))*VLOOKUP(P266,'MunicípiosEstados'!$W$2:$X$80,2,FALSE),
  O266="Minas Gerais",((W266*0.15)+(X266*0.7))*VLOOKUP(P266,'MunicípiosEstados'!$Y$2:$Z$854,2,FALSE),
  O266="Pará",((W266*0.15)+(X266*0.7))*VLOOKUP(P266,'MunicípiosEstados'!$AA$2:$AB$145,2,FALSE),
  O266="Paraíba",((W266*0.15)+(X266*0.7))*VLOOKUP(P266,'MunicípiosEstados'!$AC$2:$AD$224,2,FALSE),
  O266="Paraná",((W266*0.15)+(X266*0.7))*VLOOKUP(P266,'MunicípiosEstados'!$AE$2:$AF$400,2,FALSE),
  O266="Pernambuco",((W266*0.15)+(X266*0.7))*VLOOKUP(P266,'MunicípiosEstados'!$AG$2:$AH$186,2,FALSE),
  O266="Piauí",((W266*0.15)+(X266*0.7))*VLOOKUP(P266,'MunicípiosEstados'!$AI$2:$AJ$225,2,FALSE),
  O266="Rio Grande do Norte",((W266*0.15)+(X266*0.7))*VLOOKUP(P266,'MunicípiosEstados'!$AK$2:$AL$168,2,FALSE),
  O266="Rio Grande do Sul",((W266*0.15)+(X266*0.7))*VLOOKUP(P266,'MunicípiosEstados'!$AM$2:$AN$498,2,FALSE),
  O266="Rio de Janeiro",((W266*0.15)+(X266*0.7))*VLOOKUP(P266,'MunicípiosEstados'!$AO$2:$AP$93,2,FALSE),
  O266="Rondônia",((W266*0.15)+(X266*0.7))*VLOOKUP(P266,'MunicípiosEstados'!$AQ$2:$AR$53,2,FALSE),
  O266="Roraima",((W266*0.15)+(X266*0.7))*VLOOKUP(P266,'MunicípiosEstados'!$AS$2:$AT$16,2,FALSE),
  O266="Santa Catarina",((W266*0.15)+(X266*0.7))*VLOOKUP(P266,'MunicípiosEstados'!$AU$2:$AV$296,2,FALSE),
  O266="São Paulo",((W266*0.15)+(X266*0.7))*VLOOKUP(P266,'MunicípiosEstados'!$AW$2:$AX$646,2,FALSE),
  O266="Sergipe",((W266*0.15)+(X266*0.7))*VLOOKUP(P266,'MunicípiosEstados'!$AY$2:$AZ$76,2,FALSE),
  O266="Tocantins",((W266*0.15)+(X266*0.7))*VLOOKUP(P266,'MunicípiosEstados'!$BA$2:$BB$140,2,FALSE),
  O266="Exterior",((W266*0.15)+(X266*0.7))*VLOOKUP(P266,'MunicípiosEstados'!$BC$2:$BE$221,3,FALSE),TRUE,0
)
</f>
        <v>0</v>
      </c>
      <c r="AL266" s="25">
        <f t="shared" si="3"/>
        <v>0</v>
      </c>
      <c r="AN266" s="31"/>
    </row>
    <row r="267" ht="22.5" hidden="1" customHeight="1">
      <c r="A267" s="15">
        <f t="shared" si="1"/>
        <v>266</v>
      </c>
      <c r="B267" s="16">
        <v>45999.374483692125</v>
      </c>
      <c r="C267" s="17" t="s">
        <v>1389</v>
      </c>
      <c r="D267" s="18" t="s">
        <v>443</v>
      </c>
      <c r="E267" s="15" t="str">
        <f>VLOOKUP(G267,DiretoriaDepart.Coord.!$A$1:$C$72,2,FALSE)</f>
        <v>Extensão Rural</v>
      </c>
      <c r="F267" s="15" t="str">
        <f>VLOOKUP(G267,DiretoriaDepart.Coord.!$A$1:$C$72,3,FALSE)</f>
        <v>Projetos e Cadeias Produtivas</v>
      </c>
      <c r="G267" s="17" t="s">
        <v>968</v>
      </c>
      <c r="H267" s="15"/>
      <c r="I267" s="17" t="s">
        <v>1402</v>
      </c>
      <c r="J267" s="17" t="s">
        <v>883</v>
      </c>
      <c r="K267" s="17">
        <v>50.0</v>
      </c>
      <c r="L267" s="15"/>
      <c r="M267" s="17" t="s">
        <v>508</v>
      </c>
      <c r="N267" s="17">
        <v>0.0</v>
      </c>
      <c r="O267" s="17" t="s">
        <v>714</v>
      </c>
      <c r="P267" s="17" t="s">
        <v>64</v>
      </c>
      <c r="Q267" s="20">
        <v>45726.333333333336</v>
      </c>
      <c r="R267" s="20">
        <v>45726.708333333336</v>
      </c>
      <c r="S267" s="17" t="s">
        <v>451</v>
      </c>
      <c r="T267" s="17" t="s">
        <v>747</v>
      </c>
      <c r="U267" s="28" t="s">
        <v>1402</v>
      </c>
      <c r="V267" s="28" t="s">
        <v>1403</v>
      </c>
      <c r="W267" s="22">
        <v>0.0</v>
      </c>
      <c r="X267" s="22">
        <v>0.0</v>
      </c>
      <c r="Y267" s="23">
        <v>0.0</v>
      </c>
      <c r="Z267" s="23">
        <v>0.0</v>
      </c>
      <c r="AA267" s="24">
        <v>0.0</v>
      </c>
      <c r="AB267" s="24">
        <v>0.0</v>
      </c>
      <c r="AC267" s="24">
        <v>0.0</v>
      </c>
      <c r="AD267" s="23">
        <v>0.0</v>
      </c>
      <c r="AE267" s="24">
        <v>0.0</v>
      </c>
      <c r="AF267" s="17" t="s">
        <v>451</v>
      </c>
      <c r="AG267" s="17">
        <v>0.0</v>
      </c>
      <c r="AH267" s="17" t="s">
        <v>464</v>
      </c>
      <c r="AI267" s="25">
        <f>IF(AF267="Sim",INT((R267-Q267+1))*K267*VLOOKUP(P267,'Tabelas Auxiliares'!$A$1:$C$400,3,FALSE),0)</f>
        <v>0</v>
      </c>
      <c r="AJ267" s="25">
        <f t="shared" si="2"/>
        <v>0</v>
      </c>
      <c r="AK267" s="25">
        <f>IFS(
  O267="Acre",((W267*0.15)+(X267*0.7))*VLOOKUP(P267,'MunicípiosEstados'!$A$2:$B$23,2,FALSE),
  O267="Alagoas",((W267*0.15)+(X267*0.7))*VLOOKUP(P267,'MunicípiosEstados'!$C$2:$D$103,2,FALSE),
  O267="Amapá",((W267*0.15)+(X267*0.7))*VLOOKUP(P267,'MunicípiosEstados'!$E$2:$F$17,2,FALSE),
  O267="Amazonas",((W267*0.15)+(X267*0.7))*VLOOKUP(P267,'MunicípiosEstados'!$G$2:$H$63,2,FALSE),
  O267="Bahia",((W267*0.15)+(X267*0.7))*VLOOKUP(P267,'MunicípiosEstados'!$I$2:$J$418,2,FALSE),
  O267="Ceará",((W267*0.15)+(X267*0.7))*VLOOKUP(P267,'MunicípiosEstados'!$K$2:$L$185,2,FALSE),
  O267="Distrito Federal",((W267*0.15)+(X267*0.7))*VLOOKUP(P267,'MunicípiosEstados'!$M$2:$N$2,2,FALSE),
  O267="Espírito Santo",((W267*0.15)+(X267*0.7))*VLOOKUP(P267,'MunicípiosEstados'!$O$2:$P$79,2,FALSE),
  O267="Goiás",((W267*0.15)+(X267*0.7))*VLOOKUP(P267,'MunicípiosEstados'!$Q$2:$R$247,2,FALSE),
  O267="Maranhão",((W267*0.15)+(X267*0.7))*VLOOKUP(P267,'MunicípiosEstados'!$S$2:$T$218,2,FALSE),
  O267="Mato Grosso",((W267*0.15)+(X267*0.7))*VLOOKUP(P267,'MunicípiosEstados'!$U$2:$V$143,2,FALSE),
  O267="Mato Grosso do Sul",((W267*0.15)+(X267*0.7))*VLOOKUP(P267,'MunicípiosEstados'!$W$2:$X$80,2,FALSE),
  O267="Minas Gerais",((W267*0.15)+(X267*0.7))*VLOOKUP(P267,'MunicípiosEstados'!$Y$2:$Z$854,2,FALSE),
  O267="Pará",((W267*0.15)+(X267*0.7))*VLOOKUP(P267,'MunicípiosEstados'!$AA$2:$AB$145,2,FALSE),
  O267="Paraíba",((W267*0.15)+(X267*0.7))*VLOOKUP(P267,'MunicípiosEstados'!$AC$2:$AD$224,2,FALSE),
  O267="Paraná",((W267*0.15)+(X267*0.7))*VLOOKUP(P267,'MunicípiosEstados'!$AE$2:$AF$400,2,FALSE),
  O267="Pernambuco",((W267*0.15)+(X267*0.7))*VLOOKUP(P267,'MunicípiosEstados'!$AG$2:$AH$186,2,FALSE),
  O267="Piauí",((W267*0.15)+(X267*0.7))*VLOOKUP(P267,'MunicípiosEstados'!$AI$2:$AJ$225,2,FALSE),
  O267="Rio Grande do Norte",((W267*0.15)+(X267*0.7))*VLOOKUP(P267,'MunicípiosEstados'!$AK$2:$AL$168,2,FALSE),
  O267="Rio Grande do Sul",((W267*0.15)+(X267*0.7))*VLOOKUP(P267,'MunicípiosEstados'!$AM$2:$AN$498,2,FALSE),
  O267="Rio de Janeiro",((W267*0.15)+(X267*0.7))*VLOOKUP(P267,'MunicípiosEstados'!$AO$2:$AP$93,2,FALSE),
  O267="Rondônia",((W267*0.15)+(X267*0.7))*VLOOKUP(P267,'MunicípiosEstados'!$AQ$2:$AR$53,2,FALSE),
  O267="Roraima",((W267*0.15)+(X267*0.7))*VLOOKUP(P267,'MunicípiosEstados'!$AS$2:$AT$16,2,FALSE),
  O267="Santa Catarina",((W267*0.15)+(X267*0.7))*VLOOKUP(P267,'MunicípiosEstados'!$AU$2:$AV$296,2,FALSE),
  O267="São Paulo",((W267*0.15)+(X267*0.7))*VLOOKUP(P267,'MunicípiosEstados'!$AW$2:$AX$646,2,FALSE),
  O267="Sergipe",((W267*0.15)+(X267*0.7))*VLOOKUP(P267,'MunicípiosEstados'!$AY$2:$AZ$76,2,FALSE),
  O267="Tocantins",((W267*0.15)+(X267*0.7))*VLOOKUP(P267,'MunicípiosEstados'!$BA$2:$BB$140,2,FALSE),
  O267="Exterior",((W267*0.15)+(X267*0.7))*VLOOKUP(P267,'MunicípiosEstados'!$BC$2:$BE$221,3,FALSE),TRUE,0
)
</f>
        <v>0</v>
      </c>
      <c r="AL267" s="25">
        <f t="shared" si="3"/>
        <v>0</v>
      </c>
      <c r="AN267" s="31"/>
    </row>
    <row r="268" ht="22.5" hidden="1" customHeight="1">
      <c r="A268" s="15">
        <f t="shared" si="1"/>
        <v>267</v>
      </c>
      <c r="B268" s="16">
        <v>45999.37740519676</v>
      </c>
      <c r="C268" s="17" t="s">
        <v>1389</v>
      </c>
      <c r="D268" s="18" t="s">
        <v>443</v>
      </c>
      <c r="E268" s="15" t="str">
        <f>VLOOKUP(G268,DiretoriaDepart.Coord.!$A$1:$C$72,2,FALSE)</f>
        <v>Extensão Rural</v>
      </c>
      <c r="F268" s="15" t="str">
        <f>VLOOKUP(G268,DiretoriaDepart.Coord.!$A$1:$C$72,3,FALSE)</f>
        <v>Projetos e Cadeias Produtivas</v>
      </c>
      <c r="G268" s="17" t="s">
        <v>968</v>
      </c>
      <c r="H268" s="15"/>
      <c r="I268" s="17" t="s">
        <v>1404</v>
      </c>
      <c r="J268" s="17" t="s">
        <v>1405</v>
      </c>
      <c r="K268" s="17">
        <v>100.0</v>
      </c>
      <c r="L268" s="15"/>
      <c r="M268" s="17" t="s">
        <v>1406</v>
      </c>
      <c r="N268" s="17">
        <v>0.0</v>
      </c>
      <c r="O268" s="17" t="s">
        <v>714</v>
      </c>
      <c r="P268" s="17" t="s">
        <v>56</v>
      </c>
      <c r="Q268" s="20">
        <v>45778.333333333336</v>
      </c>
      <c r="R268" s="20">
        <v>45778.708333333336</v>
      </c>
      <c r="S268" s="17" t="s">
        <v>451</v>
      </c>
      <c r="T268" s="17" t="s">
        <v>452</v>
      </c>
      <c r="U268" s="30" t="s">
        <v>1407</v>
      </c>
      <c r="V268" s="30" t="s">
        <v>1408</v>
      </c>
      <c r="W268" s="22">
        <v>150.0</v>
      </c>
      <c r="X268" s="22">
        <v>21.0</v>
      </c>
      <c r="Y268" s="23">
        <v>0.0</v>
      </c>
      <c r="Z268" s="23">
        <v>0.0</v>
      </c>
      <c r="AA268" s="24">
        <v>0.0</v>
      </c>
      <c r="AB268" s="24">
        <v>0.0</v>
      </c>
      <c r="AC268" s="24">
        <v>0.0</v>
      </c>
      <c r="AD268" s="23">
        <v>0.0</v>
      </c>
      <c r="AE268" s="24">
        <v>0.0</v>
      </c>
      <c r="AF268" s="17" t="s">
        <v>464</v>
      </c>
      <c r="AG268" s="17">
        <v>3400.0</v>
      </c>
      <c r="AH268" s="17" t="s">
        <v>464</v>
      </c>
      <c r="AI268" s="25">
        <f>IF(AF268="Sim",INT((R268-Q268+1))*K268*VLOOKUP(P268,'Tabelas Auxiliares'!$A$1:$C$400,3,FALSE),0)</f>
        <v>2264</v>
      </c>
      <c r="AJ268" s="25">
        <f t="shared" si="2"/>
        <v>2380</v>
      </c>
      <c r="AK268" s="25">
        <f>IFS(
  O268="Acre",((W268*0.15)+(X268*0.7))*VLOOKUP(P268,'MunicípiosEstados'!$A$2:$B$23,2,FALSE),
  O268="Alagoas",((W268*0.15)+(X268*0.7))*VLOOKUP(P268,'MunicípiosEstados'!$C$2:$D$103,2,FALSE),
  O268="Amapá",((W268*0.15)+(X268*0.7))*VLOOKUP(P268,'MunicípiosEstados'!$E$2:$F$17,2,FALSE),
  O268="Amazonas",((W268*0.15)+(X268*0.7))*VLOOKUP(P268,'MunicípiosEstados'!$G$2:$H$63,2,FALSE),
  O268="Bahia",((W268*0.15)+(X268*0.7))*VLOOKUP(P268,'MunicípiosEstados'!$I$2:$J$418,2,FALSE),
  O268="Ceará",((W268*0.15)+(X268*0.7))*VLOOKUP(P268,'MunicípiosEstados'!$K$2:$L$185,2,FALSE),
  O268="Distrito Federal",((W268*0.15)+(X268*0.7))*VLOOKUP(P268,'MunicípiosEstados'!$M$2:$N$2,2,FALSE),
  O268="Espírito Santo",((W268*0.15)+(X268*0.7))*VLOOKUP(P268,'MunicípiosEstados'!$O$2:$P$79,2,FALSE),
  O268="Goiás",((W268*0.15)+(X268*0.7))*VLOOKUP(P268,'MunicípiosEstados'!$Q$2:$R$247,2,FALSE),
  O268="Maranhão",((W268*0.15)+(X268*0.7))*VLOOKUP(P268,'MunicípiosEstados'!$S$2:$T$218,2,FALSE),
  O268="Mato Grosso",((W268*0.15)+(X268*0.7))*VLOOKUP(P268,'MunicípiosEstados'!$U$2:$V$143,2,FALSE),
  O268="Mato Grosso do Sul",((W268*0.15)+(X268*0.7))*VLOOKUP(P268,'MunicípiosEstados'!$W$2:$X$80,2,FALSE),
  O268="Minas Gerais",((W268*0.15)+(X268*0.7))*VLOOKUP(P268,'MunicípiosEstados'!$Y$2:$Z$854,2,FALSE),
  O268="Pará",((W268*0.15)+(X268*0.7))*VLOOKUP(P268,'MunicípiosEstados'!$AA$2:$AB$145,2,FALSE),
  O268="Paraíba",((W268*0.15)+(X268*0.7))*VLOOKUP(P268,'MunicípiosEstados'!$AC$2:$AD$224,2,FALSE),
  O268="Paraná",((W268*0.15)+(X268*0.7))*VLOOKUP(P268,'MunicípiosEstados'!$AE$2:$AF$400,2,FALSE),
  O268="Pernambuco",((W268*0.15)+(X268*0.7))*VLOOKUP(P268,'MunicípiosEstados'!$AG$2:$AH$186,2,FALSE),
  O268="Piauí",((W268*0.15)+(X268*0.7))*VLOOKUP(P268,'MunicípiosEstados'!$AI$2:$AJ$225,2,FALSE),
  O268="Rio Grande do Norte",((W268*0.15)+(X268*0.7))*VLOOKUP(P268,'MunicípiosEstados'!$AK$2:$AL$168,2,FALSE),
  O268="Rio Grande do Sul",((W268*0.15)+(X268*0.7))*VLOOKUP(P268,'MunicípiosEstados'!$AM$2:$AN$498,2,FALSE),
  O268="Rio de Janeiro",((W268*0.15)+(X268*0.7))*VLOOKUP(P268,'MunicípiosEstados'!$AO$2:$AP$93,2,FALSE),
  O268="Rondônia",((W268*0.15)+(X268*0.7))*VLOOKUP(P268,'MunicípiosEstados'!$AQ$2:$AR$53,2,FALSE),
  O268="Roraima",((W268*0.15)+(X268*0.7))*VLOOKUP(P268,'MunicípiosEstados'!$AS$2:$AT$16,2,FALSE),
  O268="Santa Catarina",((W268*0.15)+(X268*0.7))*VLOOKUP(P268,'MunicípiosEstados'!$AU$2:$AV$296,2,FALSE),
  O268="São Paulo",((W268*0.15)+(X268*0.7))*VLOOKUP(P268,'MunicípiosEstados'!$AW$2:$AX$646,2,FALSE),
  O268="Sergipe",((W268*0.15)+(X268*0.7))*VLOOKUP(P268,'MunicípiosEstados'!$AY$2:$AZ$76,2,FALSE),
  O268="Tocantins",((W268*0.15)+(X268*0.7))*VLOOKUP(P268,'MunicípiosEstados'!$BA$2:$BB$140,2,FALSE),
  O268="Exterior",((W268*0.15)+(X268*0.7))*VLOOKUP(P268,'MunicípiosEstados'!$BC$2:$BE$221,3,FALSE),TRUE,0
)
</f>
        <v>10808.46</v>
      </c>
      <c r="AL268" s="25">
        <f t="shared" si="3"/>
        <v>15452.46</v>
      </c>
      <c r="AN268" s="31"/>
    </row>
    <row r="269" ht="22.5" hidden="1" customHeight="1">
      <c r="A269" s="15">
        <f t="shared" si="1"/>
        <v>268</v>
      </c>
      <c r="B269" s="16">
        <v>45999.380603275466</v>
      </c>
      <c r="C269" s="17" t="s">
        <v>1389</v>
      </c>
      <c r="D269" s="18" t="s">
        <v>443</v>
      </c>
      <c r="E269" s="15" t="str">
        <f>VLOOKUP(G269,DiretoriaDepart.Coord.!$A$1:$C$72,2,FALSE)</f>
        <v>Extensão Rural</v>
      </c>
      <c r="F269" s="15" t="str">
        <f>VLOOKUP(G269,DiretoriaDepart.Coord.!$A$1:$C$72,3,FALSE)</f>
        <v>Projetos e Cadeias Produtivas</v>
      </c>
      <c r="G269" s="17" t="s">
        <v>968</v>
      </c>
      <c r="H269" s="15"/>
      <c r="I269" s="17" t="s">
        <v>1409</v>
      </c>
      <c r="J269" s="17" t="s">
        <v>883</v>
      </c>
      <c r="K269" s="17">
        <v>50.0</v>
      </c>
      <c r="L269" s="15"/>
      <c r="M269" s="17" t="s">
        <v>1410</v>
      </c>
      <c r="N269" s="17">
        <v>20.0</v>
      </c>
      <c r="O269" s="17" t="s">
        <v>714</v>
      </c>
      <c r="P269" s="17" t="s">
        <v>64</v>
      </c>
      <c r="Q269" s="20">
        <v>45748.333333333336</v>
      </c>
      <c r="R269" s="20">
        <v>45749.708333333336</v>
      </c>
      <c r="S269" s="17" t="s">
        <v>451</v>
      </c>
      <c r="T269" s="17" t="s">
        <v>747</v>
      </c>
      <c r="U269" s="30" t="s">
        <v>1411</v>
      </c>
      <c r="V269" s="30" t="s">
        <v>1412</v>
      </c>
      <c r="W269" s="22">
        <v>0.0</v>
      </c>
      <c r="X269" s="22">
        <v>0.0</v>
      </c>
      <c r="Y269" s="36">
        <v>0.0</v>
      </c>
      <c r="Z269" s="36">
        <v>0.0</v>
      </c>
      <c r="AA269" s="37">
        <v>0.0</v>
      </c>
      <c r="AB269" s="37">
        <v>0.0</v>
      </c>
      <c r="AC269" s="37">
        <v>0.0</v>
      </c>
      <c r="AD269" s="36">
        <v>0.0</v>
      </c>
      <c r="AE269" s="37">
        <v>0.0</v>
      </c>
      <c r="AF269" s="17" t="s">
        <v>451</v>
      </c>
      <c r="AG269" s="17">
        <v>0.0</v>
      </c>
      <c r="AH269" s="17" t="s">
        <v>464</v>
      </c>
      <c r="AI269" s="25">
        <f>IF(AF269="Sim",INT((R269-Q269+1))*K269*VLOOKUP(P269,'Tabelas Auxiliares'!$A$1:$C$400,3,FALSE),0)</f>
        <v>0</v>
      </c>
      <c r="AJ269" s="25">
        <f t="shared" si="2"/>
        <v>0</v>
      </c>
      <c r="AK269" s="25">
        <f>IFS(
  O269="Acre",((W269*0.15)+(X269*0.7))*VLOOKUP(P269,'MunicípiosEstados'!$A$2:$B$23,2,FALSE),
  O269="Alagoas",((W269*0.15)+(X269*0.7))*VLOOKUP(P269,'MunicípiosEstados'!$C$2:$D$103,2,FALSE),
  O269="Amapá",((W269*0.15)+(X269*0.7))*VLOOKUP(P269,'MunicípiosEstados'!$E$2:$F$17,2,FALSE),
  O269="Amazonas",((W269*0.15)+(X269*0.7))*VLOOKUP(P269,'MunicípiosEstados'!$G$2:$H$63,2,FALSE),
  O269="Bahia",((W269*0.15)+(X269*0.7))*VLOOKUP(P269,'MunicípiosEstados'!$I$2:$J$418,2,FALSE),
  O269="Ceará",((W269*0.15)+(X269*0.7))*VLOOKUP(P269,'MunicípiosEstados'!$K$2:$L$185,2,FALSE),
  O269="Distrito Federal",((W269*0.15)+(X269*0.7))*VLOOKUP(P269,'MunicípiosEstados'!$M$2:$N$2,2,FALSE),
  O269="Espírito Santo",((W269*0.15)+(X269*0.7))*VLOOKUP(P269,'MunicípiosEstados'!$O$2:$P$79,2,FALSE),
  O269="Goiás",((W269*0.15)+(X269*0.7))*VLOOKUP(P269,'MunicípiosEstados'!$Q$2:$R$247,2,FALSE),
  O269="Maranhão",((W269*0.15)+(X269*0.7))*VLOOKUP(P269,'MunicípiosEstados'!$S$2:$T$218,2,FALSE),
  O269="Mato Grosso",((W269*0.15)+(X269*0.7))*VLOOKUP(P269,'MunicípiosEstados'!$U$2:$V$143,2,FALSE),
  O269="Mato Grosso do Sul",((W269*0.15)+(X269*0.7))*VLOOKUP(P269,'MunicípiosEstados'!$W$2:$X$80,2,FALSE),
  O269="Minas Gerais",((W269*0.15)+(X269*0.7))*VLOOKUP(P269,'MunicípiosEstados'!$Y$2:$Z$854,2,FALSE),
  O269="Pará",((W269*0.15)+(X269*0.7))*VLOOKUP(P269,'MunicípiosEstados'!$AA$2:$AB$145,2,FALSE),
  O269="Paraíba",((W269*0.15)+(X269*0.7))*VLOOKUP(P269,'MunicípiosEstados'!$AC$2:$AD$224,2,FALSE),
  O269="Paraná",((W269*0.15)+(X269*0.7))*VLOOKUP(P269,'MunicípiosEstados'!$AE$2:$AF$400,2,FALSE),
  O269="Pernambuco",((W269*0.15)+(X269*0.7))*VLOOKUP(P269,'MunicípiosEstados'!$AG$2:$AH$186,2,FALSE),
  O269="Piauí",((W269*0.15)+(X269*0.7))*VLOOKUP(P269,'MunicípiosEstados'!$AI$2:$AJ$225,2,FALSE),
  O269="Rio Grande do Norte",((W269*0.15)+(X269*0.7))*VLOOKUP(P269,'MunicípiosEstados'!$AK$2:$AL$168,2,FALSE),
  O269="Rio Grande do Sul",((W269*0.15)+(X269*0.7))*VLOOKUP(P269,'MunicípiosEstados'!$AM$2:$AN$498,2,FALSE),
  O269="Rio de Janeiro",((W269*0.15)+(X269*0.7))*VLOOKUP(P269,'MunicípiosEstados'!$AO$2:$AP$93,2,FALSE),
  O269="Rondônia",((W269*0.15)+(X269*0.7))*VLOOKUP(P269,'MunicípiosEstados'!$AQ$2:$AR$53,2,FALSE),
  O269="Roraima",((W269*0.15)+(X269*0.7))*VLOOKUP(P269,'MunicípiosEstados'!$AS$2:$AT$16,2,FALSE),
  O269="Santa Catarina",((W269*0.15)+(X269*0.7))*VLOOKUP(P269,'MunicípiosEstados'!$AU$2:$AV$296,2,FALSE),
  O269="São Paulo",((W269*0.15)+(X269*0.7))*VLOOKUP(P269,'MunicípiosEstados'!$AW$2:$AX$646,2,FALSE),
  O269="Sergipe",((W269*0.15)+(X269*0.7))*VLOOKUP(P269,'MunicípiosEstados'!$AY$2:$AZ$76,2,FALSE),
  O269="Tocantins",((W269*0.15)+(X269*0.7))*VLOOKUP(P269,'MunicípiosEstados'!$BA$2:$BB$140,2,FALSE),
  O269="Exterior",((W269*0.15)+(X269*0.7))*VLOOKUP(P269,'MunicípiosEstados'!$BC$2:$BE$221,3,FALSE),TRUE,0
)
</f>
        <v>0</v>
      </c>
      <c r="AL269" s="43">
        <f t="shared" si="3"/>
        <v>0</v>
      </c>
      <c r="AM269" s="44"/>
      <c r="AN269" s="45"/>
      <c r="AO269" s="14"/>
      <c r="AP269" s="14"/>
      <c r="AQ269" s="14"/>
    </row>
    <row r="270" ht="22.5" hidden="1" customHeight="1">
      <c r="A270" s="15">
        <f t="shared" si="1"/>
        <v>269</v>
      </c>
      <c r="B270" s="16">
        <v>45999.38247203703</v>
      </c>
      <c r="C270" s="17" t="s">
        <v>1389</v>
      </c>
      <c r="D270" s="18" t="s">
        <v>443</v>
      </c>
      <c r="E270" s="15" t="str">
        <f>VLOOKUP(G270,DiretoriaDepart.Coord.!$A$1:$C$72,2,FALSE)</f>
        <v>Extensão Rural</v>
      </c>
      <c r="F270" s="15" t="str">
        <f>VLOOKUP(G270,DiretoriaDepart.Coord.!$A$1:$C$72,3,FALSE)</f>
        <v>Projetos e Cadeias Produtivas</v>
      </c>
      <c r="G270" s="17" t="s">
        <v>968</v>
      </c>
      <c r="H270" s="15"/>
      <c r="I270" s="17" t="s">
        <v>1413</v>
      </c>
      <c r="J270" s="17" t="s">
        <v>883</v>
      </c>
      <c r="K270" s="17">
        <v>100.0</v>
      </c>
      <c r="L270" s="15"/>
      <c r="M270" s="17" t="s">
        <v>508</v>
      </c>
      <c r="N270" s="17">
        <v>0.0</v>
      </c>
      <c r="O270" s="17" t="s">
        <v>714</v>
      </c>
      <c r="P270" s="17" t="s">
        <v>64</v>
      </c>
      <c r="Q270" s="20">
        <v>45717.333333333336</v>
      </c>
      <c r="R270" s="20">
        <v>45717.708333333336</v>
      </c>
      <c r="S270" s="17" t="s">
        <v>451</v>
      </c>
      <c r="T270" s="17" t="s">
        <v>747</v>
      </c>
      <c r="U270" s="28" t="s">
        <v>1414</v>
      </c>
      <c r="V270" s="21" t="s">
        <v>1415</v>
      </c>
      <c r="W270" s="22">
        <v>0.0</v>
      </c>
      <c r="X270" s="22">
        <v>0.0</v>
      </c>
      <c r="Y270" s="23">
        <v>0.0</v>
      </c>
      <c r="Z270" s="23">
        <v>0.0</v>
      </c>
      <c r="AA270" s="24">
        <v>0.0</v>
      </c>
      <c r="AB270" s="24">
        <v>0.0</v>
      </c>
      <c r="AC270" s="24">
        <v>0.0</v>
      </c>
      <c r="AD270" s="23">
        <v>0.0</v>
      </c>
      <c r="AE270" s="24">
        <v>0.0</v>
      </c>
      <c r="AF270" s="17" t="s">
        <v>451</v>
      </c>
      <c r="AG270" s="17">
        <v>0.0</v>
      </c>
      <c r="AH270" s="17" t="s">
        <v>464</v>
      </c>
      <c r="AI270" s="25">
        <f>IF(AF270="Sim",INT((R270-Q270+1))*K270*VLOOKUP(P270,'Tabelas Auxiliares'!$A$1:$C$400,3,FALSE),0)</f>
        <v>0</v>
      </c>
      <c r="AJ270" s="25">
        <f t="shared" si="2"/>
        <v>0</v>
      </c>
      <c r="AK270" s="25">
        <f>IFS(
  O270="Acre",((W270*0.15)+(X270*0.7))*VLOOKUP(P270,'MunicípiosEstados'!$A$2:$B$23,2,FALSE),
  O270="Alagoas",((W270*0.15)+(X270*0.7))*VLOOKUP(P270,'MunicípiosEstados'!$C$2:$D$103,2,FALSE),
  O270="Amapá",((W270*0.15)+(X270*0.7))*VLOOKUP(P270,'MunicípiosEstados'!$E$2:$F$17,2,FALSE),
  O270="Amazonas",((W270*0.15)+(X270*0.7))*VLOOKUP(P270,'MunicípiosEstados'!$G$2:$H$63,2,FALSE),
  O270="Bahia",((W270*0.15)+(X270*0.7))*VLOOKUP(P270,'MunicípiosEstados'!$I$2:$J$418,2,FALSE),
  O270="Ceará",((W270*0.15)+(X270*0.7))*VLOOKUP(P270,'MunicípiosEstados'!$K$2:$L$185,2,FALSE),
  O270="Distrito Federal",((W270*0.15)+(X270*0.7))*VLOOKUP(P270,'MunicípiosEstados'!$M$2:$N$2,2,FALSE),
  O270="Espírito Santo",((W270*0.15)+(X270*0.7))*VLOOKUP(P270,'MunicípiosEstados'!$O$2:$P$79,2,FALSE),
  O270="Goiás",((W270*0.15)+(X270*0.7))*VLOOKUP(P270,'MunicípiosEstados'!$Q$2:$R$247,2,FALSE),
  O270="Maranhão",((W270*0.15)+(X270*0.7))*VLOOKUP(P270,'MunicípiosEstados'!$S$2:$T$218,2,FALSE),
  O270="Mato Grosso",((W270*0.15)+(X270*0.7))*VLOOKUP(P270,'MunicípiosEstados'!$U$2:$V$143,2,FALSE),
  O270="Mato Grosso do Sul",((W270*0.15)+(X270*0.7))*VLOOKUP(P270,'MunicípiosEstados'!$W$2:$X$80,2,FALSE),
  O270="Minas Gerais",((W270*0.15)+(X270*0.7))*VLOOKUP(P270,'MunicípiosEstados'!$Y$2:$Z$854,2,FALSE),
  O270="Pará",((W270*0.15)+(X270*0.7))*VLOOKUP(P270,'MunicípiosEstados'!$AA$2:$AB$145,2,FALSE),
  O270="Paraíba",((W270*0.15)+(X270*0.7))*VLOOKUP(P270,'MunicípiosEstados'!$AC$2:$AD$224,2,FALSE),
  O270="Paraná",((W270*0.15)+(X270*0.7))*VLOOKUP(P270,'MunicípiosEstados'!$AE$2:$AF$400,2,FALSE),
  O270="Pernambuco",((W270*0.15)+(X270*0.7))*VLOOKUP(P270,'MunicípiosEstados'!$AG$2:$AH$186,2,FALSE),
  O270="Piauí",((W270*0.15)+(X270*0.7))*VLOOKUP(P270,'MunicípiosEstados'!$AI$2:$AJ$225,2,FALSE),
  O270="Rio Grande do Norte",((W270*0.15)+(X270*0.7))*VLOOKUP(P270,'MunicípiosEstados'!$AK$2:$AL$168,2,FALSE),
  O270="Rio Grande do Sul",((W270*0.15)+(X270*0.7))*VLOOKUP(P270,'MunicípiosEstados'!$AM$2:$AN$498,2,FALSE),
  O270="Rio de Janeiro",((W270*0.15)+(X270*0.7))*VLOOKUP(P270,'MunicípiosEstados'!$AO$2:$AP$93,2,FALSE),
  O270="Rondônia",((W270*0.15)+(X270*0.7))*VLOOKUP(P270,'MunicípiosEstados'!$AQ$2:$AR$53,2,FALSE),
  O270="Roraima",((W270*0.15)+(X270*0.7))*VLOOKUP(P270,'MunicípiosEstados'!$AS$2:$AT$16,2,FALSE),
  O270="Santa Catarina",((W270*0.15)+(X270*0.7))*VLOOKUP(P270,'MunicípiosEstados'!$AU$2:$AV$296,2,FALSE),
  O270="São Paulo",((W270*0.15)+(X270*0.7))*VLOOKUP(P270,'MunicípiosEstados'!$AW$2:$AX$646,2,FALSE),
  O270="Sergipe",((W270*0.15)+(X270*0.7))*VLOOKUP(P270,'MunicípiosEstados'!$AY$2:$AZ$76,2,FALSE),
  O270="Tocantins",((W270*0.15)+(X270*0.7))*VLOOKUP(P270,'MunicípiosEstados'!$BA$2:$BB$140,2,FALSE),
  O270="Exterior",((W270*0.15)+(X270*0.7))*VLOOKUP(P270,'MunicípiosEstados'!$BC$2:$BE$221,3,FALSE),TRUE,0
)
</f>
        <v>0</v>
      </c>
      <c r="AL270" s="25">
        <f t="shared" si="3"/>
        <v>0</v>
      </c>
      <c r="AN270" s="31"/>
    </row>
    <row r="271" ht="22.5" hidden="1" customHeight="1">
      <c r="A271" s="15">
        <f t="shared" si="1"/>
        <v>270</v>
      </c>
      <c r="B271" s="16">
        <v>45999.384365659724</v>
      </c>
      <c r="C271" s="17" t="s">
        <v>1389</v>
      </c>
      <c r="D271" s="18" t="s">
        <v>443</v>
      </c>
      <c r="E271" s="15" t="str">
        <f>VLOOKUP(G271,DiretoriaDepart.Coord.!$A$1:$C$72,2,FALSE)</f>
        <v>Extensão Rural</v>
      </c>
      <c r="F271" s="15" t="str">
        <f>VLOOKUP(G271,DiretoriaDepart.Coord.!$A$1:$C$72,3,FALSE)</f>
        <v>Projetos e Cadeias Produtivas</v>
      </c>
      <c r="G271" s="17" t="s">
        <v>968</v>
      </c>
      <c r="H271" s="15"/>
      <c r="I271" s="17" t="s">
        <v>1416</v>
      </c>
      <c r="J271" s="17" t="s">
        <v>883</v>
      </c>
      <c r="K271" s="17">
        <v>100.0</v>
      </c>
      <c r="L271" s="15"/>
      <c r="M271" s="17" t="s">
        <v>508</v>
      </c>
      <c r="N271" s="17">
        <v>0.0</v>
      </c>
      <c r="O271" s="17" t="s">
        <v>714</v>
      </c>
      <c r="P271" s="17" t="s">
        <v>64</v>
      </c>
      <c r="Q271" s="20">
        <v>45870.333333333336</v>
      </c>
      <c r="R271" s="20">
        <v>45870.708333333336</v>
      </c>
      <c r="S271" s="17" t="s">
        <v>451</v>
      </c>
      <c r="T271" s="17" t="s">
        <v>747</v>
      </c>
      <c r="U271" s="21" t="s">
        <v>1417</v>
      </c>
      <c r="V271" s="21" t="s">
        <v>1418</v>
      </c>
      <c r="W271" s="22">
        <v>0.0</v>
      </c>
      <c r="X271" s="22">
        <v>0.0</v>
      </c>
      <c r="Y271" s="23">
        <v>0.0</v>
      </c>
      <c r="Z271" s="23">
        <v>0.0</v>
      </c>
      <c r="AA271" s="24">
        <v>0.0</v>
      </c>
      <c r="AB271" s="24">
        <v>0.0</v>
      </c>
      <c r="AC271" s="24">
        <v>0.0</v>
      </c>
      <c r="AD271" s="23">
        <v>0.0</v>
      </c>
      <c r="AE271" s="24">
        <v>0.0</v>
      </c>
      <c r="AF271" s="17" t="s">
        <v>451</v>
      </c>
      <c r="AG271" s="17">
        <v>0.0</v>
      </c>
      <c r="AH271" s="17" t="s">
        <v>464</v>
      </c>
      <c r="AI271" s="25">
        <f>IF(AF271="Sim",INT((R271-Q271+1))*K271*VLOOKUP(P271,'Tabelas Auxiliares'!$A$1:$C$400,3,FALSE),0)</f>
        <v>0</v>
      </c>
      <c r="AJ271" s="25">
        <f t="shared" si="2"/>
        <v>0</v>
      </c>
      <c r="AK271" s="25">
        <f>IFS(
  O271="Acre",((W271*0.15)+(X271*0.7))*VLOOKUP(P271,'MunicípiosEstados'!$A$2:$B$23,2,FALSE),
  O271="Alagoas",((W271*0.15)+(X271*0.7))*VLOOKUP(P271,'MunicípiosEstados'!$C$2:$D$103,2,FALSE),
  O271="Amapá",((W271*0.15)+(X271*0.7))*VLOOKUP(P271,'MunicípiosEstados'!$E$2:$F$17,2,FALSE),
  O271="Amazonas",((W271*0.15)+(X271*0.7))*VLOOKUP(P271,'MunicípiosEstados'!$G$2:$H$63,2,FALSE),
  O271="Bahia",((W271*0.15)+(X271*0.7))*VLOOKUP(P271,'MunicípiosEstados'!$I$2:$J$418,2,FALSE),
  O271="Ceará",((W271*0.15)+(X271*0.7))*VLOOKUP(P271,'MunicípiosEstados'!$K$2:$L$185,2,FALSE),
  O271="Distrito Federal",((W271*0.15)+(X271*0.7))*VLOOKUP(P271,'MunicípiosEstados'!$M$2:$N$2,2,FALSE),
  O271="Espírito Santo",((W271*0.15)+(X271*0.7))*VLOOKUP(P271,'MunicípiosEstados'!$O$2:$P$79,2,FALSE),
  O271="Goiás",((W271*0.15)+(X271*0.7))*VLOOKUP(P271,'MunicípiosEstados'!$Q$2:$R$247,2,FALSE),
  O271="Maranhão",((W271*0.15)+(X271*0.7))*VLOOKUP(P271,'MunicípiosEstados'!$S$2:$T$218,2,FALSE),
  O271="Mato Grosso",((W271*0.15)+(X271*0.7))*VLOOKUP(P271,'MunicípiosEstados'!$U$2:$V$143,2,FALSE),
  O271="Mato Grosso do Sul",((W271*0.15)+(X271*0.7))*VLOOKUP(P271,'MunicípiosEstados'!$W$2:$X$80,2,FALSE),
  O271="Minas Gerais",((W271*0.15)+(X271*0.7))*VLOOKUP(P271,'MunicípiosEstados'!$Y$2:$Z$854,2,FALSE),
  O271="Pará",((W271*0.15)+(X271*0.7))*VLOOKUP(P271,'MunicípiosEstados'!$AA$2:$AB$145,2,FALSE),
  O271="Paraíba",((W271*0.15)+(X271*0.7))*VLOOKUP(P271,'MunicípiosEstados'!$AC$2:$AD$224,2,FALSE),
  O271="Paraná",((W271*0.15)+(X271*0.7))*VLOOKUP(P271,'MunicípiosEstados'!$AE$2:$AF$400,2,FALSE),
  O271="Pernambuco",((W271*0.15)+(X271*0.7))*VLOOKUP(P271,'MunicípiosEstados'!$AG$2:$AH$186,2,FALSE),
  O271="Piauí",((W271*0.15)+(X271*0.7))*VLOOKUP(P271,'MunicípiosEstados'!$AI$2:$AJ$225,2,FALSE),
  O271="Rio Grande do Norte",((W271*0.15)+(X271*0.7))*VLOOKUP(P271,'MunicípiosEstados'!$AK$2:$AL$168,2,FALSE),
  O271="Rio Grande do Sul",((W271*0.15)+(X271*0.7))*VLOOKUP(P271,'MunicípiosEstados'!$AM$2:$AN$498,2,FALSE),
  O271="Rio de Janeiro",((W271*0.15)+(X271*0.7))*VLOOKUP(P271,'MunicípiosEstados'!$AO$2:$AP$93,2,FALSE),
  O271="Rondônia",((W271*0.15)+(X271*0.7))*VLOOKUP(P271,'MunicípiosEstados'!$AQ$2:$AR$53,2,FALSE),
  O271="Roraima",((W271*0.15)+(X271*0.7))*VLOOKUP(P271,'MunicípiosEstados'!$AS$2:$AT$16,2,FALSE),
  O271="Santa Catarina",((W271*0.15)+(X271*0.7))*VLOOKUP(P271,'MunicípiosEstados'!$AU$2:$AV$296,2,FALSE),
  O271="São Paulo",((W271*0.15)+(X271*0.7))*VLOOKUP(P271,'MunicípiosEstados'!$AW$2:$AX$646,2,FALSE),
  O271="Sergipe",((W271*0.15)+(X271*0.7))*VLOOKUP(P271,'MunicípiosEstados'!$AY$2:$AZ$76,2,FALSE),
  O271="Tocantins",((W271*0.15)+(X271*0.7))*VLOOKUP(P271,'MunicípiosEstados'!$BA$2:$BB$140,2,FALSE),
  O271="Exterior",((W271*0.15)+(X271*0.7))*VLOOKUP(P271,'MunicípiosEstados'!$BC$2:$BE$221,3,FALSE),TRUE,0
)
</f>
        <v>0</v>
      </c>
      <c r="AL271" s="25">
        <f t="shared" si="3"/>
        <v>0</v>
      </c>
      <c r="AN271" s="31"/>
    </row>
    <row r="272" ht="22.5" hidden="1" customHeight="1">
      <c r="A272" s="15">
        <f t="shared" si="1"/>
        <v>271</v>
      </c>
      <c r="B272" s="16">
        <v>45999.388587152775</v>
      </c>
      <c r="C272" s="17" t="s">
        <v>1389</v>
      </c>
      <c r="D272" s="18" t="s">
        <v>443</v>
      </c>
      <c r="E272" s="15" t="str">
        <f>VLOOKUP(G272,DiretoriaDepart.Coord.!$A$1:$C$72,2,FALSE)</f>
        <v>Extensão Rural</v>
      </c>
      <c r="F272" s="15" t="str">
        <f>VLOOKUP(G272,DiretoriaDepart.Coord.!$A$1:$C$72,3,FALSE)</f>
        <v>Projetos e Cadeias Produtivas</v>
      </c>
      <c r="G272" s="17" t="s">
        <v>968</v>
      </c>
      <c r="H272" s="15"/>
      <c r="I272" s="17" t="s">
        <v>1419</v>
      </c>
      <c r="J272" s="17" t="s">
        <v>883</v>
      </c>
      <c r="K272" s="17">
        <v>100.0</v>
      </c>
      <c r="L272" s="15"/>
      <c r="M272" s="17" t="s">
        <v>1420</v>
      </c>
      <c r="N272" s="17">
        <v>0.0</v>
      </c>
      <c r="O272" s="17" t="s">
        <v>714</v>
      </c>
      <c r="P272" s="17" t="s">
        <v>64</v>
      </c>
      <c r="Q272" s="20">
        <v>45901.333333333336</v>
      </c>
      <c r="R272" s="20">
        <v>45902.708333333336</v>
      </c>
      <c r="S272" s="17" t="s">
        <v>451</v>
      </c>
      <c r="T272" s="17" t="s">
        <v>747</v>
      </c>
      <c r="U272" s="21" t="s">
        <v>1421</v>
      </c>
      <c r="V272" s="21" t="s">
        <v>1422</v>
      </c>
      <c r="W272" s="22">
        <v>0.0</v>
      </c>
      <c r="X272" s="22">
        <v>0.0</v>
      </c>
      <c r="Y272" s="23">
        <v>0.0</v>
      </c>
      <c r="Z272" s="23">
        <v>0.0</v>
      </c>
      <c r="AA272" s="24">
        <v>0.0</v>
      </c>
      <c r="AB272" s="24">
        <v>0.0</v>
      </c>
      <c r="AC272" s="24">
        <v>0.0</v>
      </c>
      <c r="AD272" s="23">
        <v>0.0</v>
      </c>
      <c r="AE272" s="24">
        <v>0.0</v>
      </c>
      <c r="AF272" s="17" t="s">
        <v>451</v>
      </c>
      <c r="AG272" s="17">
        <v>0.0</v>
      </c>
      <c r="AH272" s="17" t="s">
        <v>464</v>
      </c>
      <c r="AI272" s="25">
        <f>IF(AF272="Sim",INT((R272-Q272+1))*K272*VLOOKUP(P272,'Tabelas Auxiliares'!$A$1:$C$400,3,FALSE),0)</f>
        <v>0</v>
      </c>
      <c r="AJ272" s="25">
        <f t="shared" si="2"/>
        <v>0</v>
      </c>
      <c r="AK272" s="25">
        <f>IFS(
  O272="Acre",((W272*0.15)+(X272*0.7))*VLOOKUP(P272,'MunicípiosEstados'!$A$2:$B$23,2,FALSE),
  O272="Alagoas",((W272*0.15)+(X272*0.7))*VLOOKUP(P272,'MunicípiosEstados'!$C$2:$D$103,2,FALSE),
  O272="Amapá",((W272*0.15)+(X272*0.7))*VLOOKUP(P272,'MunicípiosEstados'!$E$2:$F$17,2,FALSE),
  O272="Amazonas",((W272*0.15)+(X272*0.7))*VLOOKUP(P272,'MunicípiosEstados'!$G$2:$H$63,2,FALSE),
  O272="Bahia",((W272*0.15)+(X272*0.7))*VLOOKUP(P272,'MunicípiosEstados'!$I$2:$J$418,2,FALSE),
  O272="Ceará",((W272*0.15)+(X272*0.7))*VLOOKUP(P272,'MunicípiosEstados'!$K$2:$L$185,2,FALSE),
  O272="Distrito Federal",((W272*0.15)+(X272*0.7))*VLOOKUP(P272,'MunicípiosEstados'!$M$2:$N$2,2,FALSE),
  O272="Espírito Santo",((W272*0.15)+(X272*0.7))*VLOOKUP(P272,'MunicípiosEstados'!$O$2:$P$79,2,FALSE),
  O272="Goiás",((W272*0.15)+(X272*0.7))*VLOOKUP(P272,'MunicípiosEstados'!$Q$2:$R$247,2,FALSE),
  O272="Maranhão",((W272*0.15)+(X272*0.7))*VLOOKUP(P272,'MunicípiosEstados'!$S$2:$T$218,2,FALSE),
  O272="Mato Grosso",((W272*0.15)+(X272*0.7))*VLOOKUP(P272,'MunicípiosEstados'!$U$2:$V$143,2,FALSE),
  O272="Mato Grosso do Sul",((W272*0.15)+(X272*0.7))*VLOOKUP(P272,'MunicípiosEstados'!$W$2:$X$80,2,FALSE),
  O272="Minas Gerais",((W272*0.15)+(X272*0.7))*VLOOKUP(P272,'MunicípiosEstados'!$Y$2:$Z$854,2,FALSE),
  O272="Pará",((W272*0.15)+(X272*0.7))*VLOOKUP(P272,'MunicípiosEstados'!$AA$2:$AB$145,2,FALSE),
  O272="Paraíba",((W272*0.15)+(X272*0.7))*VLOOKUP(P272,'MunicípiosEstados'!$AC$2:$AD$224,2,FALSE),
  O272="Paraná",((W272*0.15)+(X272*0.7))*VLOOKUP(P272,'MunicípiosEstados'!$AE$2:$AF$400,2,FALSE),
  O272="Pernambuco",((W272*0.15)+(X272*0.7))*VLOOKUP(P272,'MunicípiosEstados'!$AG$2:$AH$186,2,FALSE),
  O272="Piauí",((W272*0.15)+(X272*0.7))*VLOOKUP(P272,'MunicípiosEstados'!$AI$2:$AJ$225,2,FALSE),
  O272="Rio Grande do Norte",((W272*0.15)+(X272*0.7))*VLOOKUP(P272,'MunicípiosEstados'!$AK$2:$AL$168,2,FALSE),
  O272="Rio Grande do Sul",((W272*0.15)+(X272*0.7))*VLOOKUP(P272,'MunicípiosEstados'!$AM$2:$AN$498,2,FALSE),
  O272="Rio de Janeiro",((W272*0.15)+(X272*0.7))*VLOOKUP(P272,'MunicípiosEstados'!$AO$2:$AP$93,2,FALSE),
  O272="Rondônia",((W272*0.15)+(X272*0.7))*VLOOKUP(P272,'MunicípiosEstados'!$AQ$2:$AR$53,2,FALSE),
  O272="Roraima",((W272*0.15)+(X272*0.7))*VLOOKUP(P272,'MunicípiosEstados'!$AS$2:$AT$16,2,FALSE),
  O272="Santa Catarina",((W272*0.15)+(X272*0.7))*VLOOKUP(P272,'MunicípiosEstados'!$AU$2:$AV$296,2,FALSE),
  O272="São Paulo",((W272*0.15)+(X272*0.7))*VLOOKUP(P272,'MunicípiosEstados'!$AW$2:$AX$646,2,FALSE),
  O272="Sergipe",((W272*0.15)+(X272*0.7))*VLOOKUP(P272,'MunicípiosEstados'!$AY$2:$AZ$76,2,FALSE),
  O272="Tocantins",((W272*0.15)+(X272*0.7))*VLOOKUP(P272,'MunicípiosEstados'!$BA$2:$BB$140,2,FALSE),
  O272="Exterior",((W272*0.15)+(X272*0.7))*VLOOKUP(P272,'MunicípiosEstados'!$BC$2:$BE$221,3,FALSE),TRUE,0
)
</f>
        <v>0</v>
      </c>
      <c r="AL272" s="25">
        <f t="shared" si="3"/>
        <v>0</v>
      </c>
      <c r="AN272" s="31"/>
    </row>
    <row r="273" ht="22.5" hidden="1" customHeight="1">
      <c r="A273" s="15">
        <f t="shared" si="1"/>
        <v>272</v>
      </c>
      <c r="B273" s="16">
        <v>45999.391086655094</v>
      </c>
      <c r="C273" s="17" t="s">
        <v>1389</v>
      </c>
      <c r="D273" s="18" t="s">
        <v>443</v>
      </c>
      <c r="E273" s="15" t="str">
        <f>VLOOKUP(G273,DiretoriaDepart.Coord.!$A$1:$C$72,2,FALSE)</f>
        <v>Extensão Rural</v>
      </c>
      <c r="F273" s="15" t="str">
        <f>VLOOKUP(G273,DiretoriaDepart.Coord.!$A$1:$C$72,3,FALSE)</f>
        <v>Projetos e Cadeias Produtivas</v>
      </c>
      <c r="G273" s="17" t="s">
        <v>968</v>
      </c>
      <c r="H273" s="15"/>
      <c r="I273" s="17" t="s">
        <v>1423</v>
      </c>
      <c r="J273" s="17" t="s">
        <v>883</v>
      </c>
      <c r="K273" s="17">
        <v>100.0</v>
      </c>
      <c r="L273" s="15"/>
      <c r="M273" s="17" t="s">
        <v>988</v>
      </c>
      <c r="N273" s="17">
        <v>20.0</v>
      </c>
      <c r="O273" s="17" t="s">
        <v>714</v>
      </c>
      <c r="P273" s="17" t="s">
        <v>64</v>
      </c>
      <c r="Q273" s="20">
        <v>45870.333333333336</v>
      </c>
      <c r="R273" s="20">
        <v>45870.708333333336</v>
      </c>
      <c r="S273" s="17" t="s">
        <v>451</v>
      </c>
      <c r="T273" s="17" t="s">
        <v>747</v>
      </c>
      <c r="U273" s="28" t="s">
        <v>1424</v>
      </c>
      <c r="V273" s="21" t="s">
        <v>1425</v>
      </c>
      <c r="W273" s="22">
        <v>0.0</v>
      </c>
      <c r="X273" s="22">
        <v>0.0</v>
      </c>
      <c r="Y273" s="23">
        <v>0.0</v>
      </c>
      <c r="Z273" s="23">
        <v>0.0</v>
      </c>
      <c r="AA273" s="24">
        <v>0.0</v>
      </c>
      <c r="AB273" s="24">
        <v>0.0</v>
      </c>
      <c r="AC273" s="24">
        <v>0.0</v>
      </c>
      <c r="AD273" s="23">
        <v>0.0</v>
      </c>
      <c r="AE273" s="24">
        <v>0.0</v>
      </c>
      <c r="AF273" s="17" t="s">
        <v>451</v>
      </c>
      <c r="AG273" s="17">
        <v>0.0</v>
      </c>
      <c r="AH273" s="17" t="s">
        <v>464</v>
      </c>
      <c r="AI273" s="25">
        <f>IF(AF273="Sim",INT((R273-Q273+1))*K273*VLOOKUP(P273,'Tabelas Auxiliares'!$A$1:$C$400,3,FALSE),0)</f>
        <v>0</v>
      </c>
      <c r="AJ273" s="25">
        <f t="shared" si="2"/>
        <v>0</v>
      </c>
      <c r="AK273" s="25">
        <f>IFS(
  O273="Acre",((W273*0.15)+(X273*0.7))*VLOOKUP(P273,'MunicípiosEstados'!$A$2:$B$23,2,FALSE),
  O273="Alagoas",((W273*0.15)+(X273*0.7))*VLOOKUP(P273,'MunicípiosEstados'!$C$2:$D$103,2,FALSE),
  O273="Amapá",((W273*0.15)+(X273*0.7))*VLOOKUP(P273,'MunicípiosEstados'!$E$2:$F$17,2,FALSE),
  O273="Amazonas",((W273*0.15)+(X273*0.7))*VLOOKUP(P273,'MunicípiosEstados'!$G$2:$H$63,2,FALSE),
  O273="Bahia",((W273*0.15)+(X273*0.7))*VLOOKUP(P273,'MunicípiosEstados'!$I$2:$J$418,2,FALSE),
  O273="Ceará",((W273*0.15)+(X273*0.7))*VLOOKUP(P273,'MunicípiosEstados'!$K$2:$L$185,2,FALSE),
  O273="Distrito Federal",((W273*0.15)+(X273*0.7))*VLOOKUP(P273,'MunicípiosEstados'!$M$2:$N$2,2,FALSE),
  O273="Espírito Santo",((W273*0.15)+(X273*0.7))*VLOOKUP(P273,'MunicípiosEstados'!$O$2:$P$79,2,FALSE),
  O273="Goiás",((W273*0.15)+(X273*0.7))*VLOOKUP(P273,'MunicípiosEstados'!$Q$2:$R$247,2,FALSE),
  O273="Maranhão",((W273*0.15)+(X273*0.7))*VLOOKUP(P273,'MunicípiosEstados'!$S$2:$T$218,2,FALSE),
  O273="Mato Grosso",((W273*0.15)+(X273*0.7))*VLOOKUP(P273,'MunicípiosEstados'!$U$2:$V$143,2,FALSE),
  O273="Mato Grosso do Sul",((W273*0.15)+(X273*0.7))*VLOOKUP(P273,'MunicípiosEstados'!$W$2:$X$80,2,FALSE),
  O273="Minas Gerais",((W273*0.15)+(X273*0.7))*VLOOKUP(P273,'MunicípiosEstados'!$Y$2:$Z$854,2,FALSE),
  O273="Pará",((W273*0.15)+(X273*0.7))*VLOOKUP(P273,'MunicípiosEstados'!$AA$2:$AB$145,2,FALSE),
  O273="Paraíba",((W273*0.15)+(X273*0.7))*VLOOKUP(P273,'MunicípiosEstados'!$AC$2:$AD$224,2,FALSE),
  O273="Paraná",((W273*0.15)+(X273*0.7))*VLOOKUP(P273,'MunicípiosEstados'!$AE$2:$AF$400,2,FALSE),
  O273="Pernambuco",((W273*0.15)+(X273*0.7))*VLOOKUP(P273,'MunicípiosEstados'!$AG$2:$AH$186,2,FALSE),
  O273="Piauí",((W273*0.15)+(X273*0.7))*VLOOKUP(P273,'MunicípiosEstados'!$AI$2:$AJ$225,2,FALSE),
  O273="Rio Grande do Norte",((W273*0.15)+(X273*0.7))*VLOOKUP(P273,'MunicípiosEstados'!$AK$2:$AL$168,2,FALSE),
  O273="Rio Grande do Sul",((W273*0.15)+(X273*0.7))*VLOOKUP(P273,'MunicípiosEstados'!$AM$2:$AN$498,2,FALSE),
  O273="Rio de Janeiro",((W273*0.15)+(X273*0.7))*VLOOKUP(P273,'MunicípiosEstados'!$AO$2:$AP$93,2,FALSE),
  O273="Rondônia",((W273*0.15)+(X273*0.7))*VLOOKUP(P273,'MunicípiosEstados'!$AQ$2:$AR$53,2,FALSE),
  O273="Roraima",((W273*0.15)+(X273*0.7))*VLOOKUP(P273,'MunicípiosEstados'!$AS$2:$AT$16,2,FALSE),
  O273="Santa Catarina",((W273*0.15)+(X273*0.7))*VLOOKUP(P273,'MunicípiosEstados'!$AU$2:$AV$296,2,FALSE),
  O273="São Paulo",((W273*0.15)+(X273*0.7))*VLOOKUP(P273,'MunicípiosEstados'!$AW$2:$AX$646,2,FALSE),
  O273="Sergipe",((W273*0.15)+(X273*0.7))*VLOOKUP(P273,'MunicípiosEstados'!$AY$2:$AZ$76,2,FALSE),
  O273="Tocantins",((W273*0.15)+(X273*0.7))*VLOOKUP(P273,'MunicípiosEstados'!$BA$2:$BB$140,2,FALSE),
  O273="Exterior",((W273*0.15)+(X273*0.7))*VLOOKUP(P273,'MunicípiosEstados'!$BC$2:$BE$221,3,FALSE),TRUE,0
)
</f>
        <v>0</v>
      </c>
      <c r="AL273" s="25">
        <f t="shared" si="3"/>
        <v>0</v>
      </c>
      <c r="AN273" s="31"/>
    </row>
    <row r="274" ht="22.5" hidden="1" customHeight="1">
      <c r="A274" s="15">
        <f t="shared" si="1"/>
        <v>273</v>
      </c>
      <c r="B274" s="16">
        <v>45999.39247961805</v>
      </c>
      <c r="C274" s="17" t="s">
        <v>1389</v>
      </c>
      <c r="D274" s="18" t="s">
        <v>443</v>
      </c>
      <c r="E274" s="15" t="str">
        <f>VLOOKUP(G274,DiretoriaDepart.Coord.!$A$1:$C$72,2,FALSE)</f>
        <v>Extensão Rural</v>
      </c>
      <c r="F274" s="15" t="str">
        <f>VLOOKUP(G274,DiretoriaDepart.Coord.!$A$1:$C$72,3,FALSE)</f>
        <v>Projetos e Cadeias Produtivas</v>
      </c>
      <c r="G274" s="17" t="s">
        <v>968</v>
      </c>
      <c r="H274" s="15"/>
      <c r="I274" s="17" t="s">
        <v>1426</v>
      </c>
      <c r="J274" s="17" t="s">
        <v>883</v>
      </c>
      <c r="K274" s="17">
        <v>100.0</v>
      </c>
      <c r="L274" s="15"/>
      <c r="M274" s="17" t="s">
        <v>508</v>
      </c>
      <c r="N274" s="17">
        <v>0.0</v>
      </c>
      <c r="O274" s="17" t="s">
        <v>714</v>
      </c>
      <c r="P274" s="17" t="s">
        <v>64</v>
      </c>
      <c r="Q274" s="20">
        <v>45910.333333333336</v>
      </c>
      <c r="R274" s="20">
        <v>45910.708333333336</v>
      </c>
      <c r="S274" s="17" t="s">
        <v>451</v>
      </c>
      <c r="T274" s="17" t="s">
        <v>747</v>
      </c>
      <c r="U274" s="28" t="s">
        <v>1427</v>
      </c>
      <c r="V274" s="28" t="s">
        <v>1428</v>
      </c>
      <c r="W274" s="22">
        <v>0.0</v>
      </c>
      <c r="X274" s="22">
        <v>0.0</v>
      </c>
      <c r="Y274" s="23">
        <v>0.0</v>
      </c>
      <c r="Z274" s="23">
        <v>0.0</v>
      </c>
      <c r="AA274" s="24">
        <v>0.0</v>
      </c>
      <c r="AB274" s="24">
        <v>0.0</v>
      </c>
      <c r="AC274" s="24">
        <v>0.0</v>
      </c>
      <c r="AD274" s="23">
        <v>0.0</v>
      </c>
      <c r="AE274" s="24">
        <v>0.0</v>
      </c>
      <c r="AF274" s="17" t="s">
        <v>451</v>
      </c>
      <c r="AG274" s="17">
        <v>0.0</v>
      </c>
      <c r="AH274" s="17" t="s">
        <v>464</v>
      </c>
      <c r="AI274" s="25">
        <f>IF(AF274="Sim",INT((R274-Q274+1))*K274*VLOOKUP(P274,'Tabelas Auxiliares'!$A$1:$C$400,3,FALSE),0)</f>
        <v>0</v>
      </c>
      <c r="AJ274" s="25">
        <f t="shared" si="2"/>
        <v>0</v>
      </c>
      <c r="AK274" s="25">
        <f>IFS(
  O274="Acre",((W274*0.15)+(X274*0.7))*VLOOKUP(P274,'MunicípiosEstados'!$A$2:$B$23,2,FALSE),
  O274="Alagoas",((W274*0.15)+(X274*0.7))*VLOOKUP(P274,'MunicípiosEstados'!$C$2:$D$103,2,FALSE),
  O274="Amapá",((W274*0.15)+(X274*0.7))*VLOOKUP(P274,'MunicípiosEstados'!$E$2:$F$17,2,FALSE),
  O274="Amazonas",((W274*0.15)+(X274*0.7))*VLOOKUP(P274,'MunicípiosEstados'!$G$2:$H$63,2,FALSE),
  O274="Bahia",((W274*0.15)+(X274*0.7))*VLOOKUP(P274,'MunicípiosEstados'!$I$2:$J$418,2,FALSE),
  O274="Ceará",((W274*0.15)+(X274*0.7))*VLOOKUP(P274,'MunicípiosEstados'!$K$2:$L$185,2,FALSE),
  O274="Distrito Federal",((W274*0.15)+(X274*0.7))*VLOOKUP(P274,'MunicípiosEstados'!$M$2:$N$2,2,FALSE),
  O274="Espírito Santo",((W274*0.15)+(X274*0.7))*VLOOKUP(P274,'MunicípiosEstados'!$O$2:$P$79,2,FALSE),
  O274="Goiás",((W274*0.15)+(X274*0.7))*VLOOKUP(P274,'MunicípiosEstados'!$Q$2:$R$247,2,FALSE),
  O274="Maranhão",((W274*0.15)+(X274*0.7))*VLOOKUP(P274,'MunicípiosEstados'!$S$2:$T$218,2,FALSE),
  O274="Mato Grosso",((W274*0.15)+(X274*0.7))*VLOOKUP(P274,'MunicípiosEstados'!$U$2:$V$143,2,FALSE),
  O274="Mato Grosso do Sul",((W274*0.15)+(X274*0.7))*VLOOKUP(P274,'MunicípiosEstados'!$W$2:$X$80,2,FALSE),
  O274="Minas Gerais",((W274*0.15)+(X274*0.7))*VLOOKUP(P274,'MunicípiosEstados'!$Y$2:$Z$854,2,FALSE),
  O274="Pará",((W274*0.15)+(X274*0.7))*VLOOKUP(P274,'MunicípiosEstados'!$AA$2:$AB$145,2,FALSE),
  O274="Paraíba",((W274*0.15)+(X274*0.7))*VLOOKUP(P274,'MunicípiosEstados'!$AC$2:$AD$224,2,FALSE),
  O274="Paraná",((W274*0.15)+(X274*0.7))*VLOOKUP(P274,'MunicípiosEstados'!$AE$2:$AF$400,2,FALSE),
  O274="Pernambuco",((W274*0.15)+(X274*0.7))*VLOOKUP(P274,'MunicípiosEstados'!$AG$2:$AH$186,2,FALSE),
  O274="Piauí",((W274*0.15)+(X274*0.7))*VLOOKUP(P274,'MunicípiosEstados'!$AI$2:$AJ$225,2,FALSE),
  O274="Rio Grande do Norte",((W274*0.15)+(X274*0.7))*VLOOKUP(P274,'MunicípiosEstados'!$AK$2:$AL$168,2,FALSE),
  O274="Rio Grande do Sul",((W274*0.15)+(X274*0.7))*VLOOKUP(P274,'MunicípiosEstados'!$AM$2:$AN$498,2,FALSE),
  O274="Rio de Janeiro",((W274*0.15)+(X274*0.7))*VLOOKUP(P274,'MunicípiosEstados'!$AO$2:$AP$93,2,FALSE),
  O274="Rondônia",((W274*0.15)+(X274*0.7))*VLOOKUP(P274,'MunicípiosEstados'!$AQ$2:$AR$53,2,FALSE),
  O274="Roraima",((W274*0.15)+(X274*0.7))*VLOOKUP(P274,'MunicípiosEstados'!$AS$2:$AT$16,2,FALSE),
  O274="Santa Catarina",((W274*0.15)+(X274*0.7))*VLOOKUP(P274,'MunicípiosEstados'!$AU$2:$AV$296,2,FALSE),
  O274="São Paulo",((W274*0.15)+(X274*0.7))*VLOOKUP(P274,'MunicípiosEstados'!$AW$2:$AX$646,2,FALSE),
  O274="Sergipe",((W274*0.15)+(X274*0.7))*VLOOKUP(P274,'MunicípiosEstados'!$AY$2:$AZ$76,2,FALSE),
  O274="Tocantins",((W274*0.15)+(X274*0.7))*VLOOKUP(P274,'MunicípiosEstados'!$BA$2:$BB$140,2,FALSE),
  O274="Exterior",((W274*0.15)+(X274*0.7))*VLOOKUP(P274,'MunicípiosEstados'!$BC$2:$BE$221,3,FALSE),TRUE,0
)
</f>
        <v>0</v>
      </c>
      <c r="AL274" s="25">
        <f t="shared" si="3"/>
        <v>0</v>
      </c>
      <c r="AN274" s="31"/>
    </row>
    <row r="275" ht="22.5" customHeight="1">
      <c r="A275" s="15">
        <f t="shared" si="1"/>
        <v>274</v>
      </c>
      <c r="B275" s="16">
        <v>45999.45396295139</v>
      </c>
      <c r="C275" s="17" t="s">
        <v>871</v>
      </c>
      <c r="D275" s="18" t="s">
        <v>443</v>
      </c>
      <c r="E275" s="15" t="str">
        <f>VLOOKUP(G275,DiretoriaDepart.Coord.!$A$1:$C$72,2,FALSE)</f>
        <v>Extensão Rural</v>
      </c>
      <c r="F275" s="15" t="str">
        <f>VLOOKUP(G275,DiretoriaDepart.Coord.!$A$1:$C$72,3,FALSE)</f>
        <v>Projetos e Cadeias Produtivas</v>
      </c>
      <c r="G275" s="17" t="s">
        <v>697</v>
      </c>
      <c r="H275" s="15"/>
      <c r="I275" s="17" t="s">
        <v>1429</v>
      </c>
      <c r="J275" s="17" t="s">
        <v>728</v>
      </c>
      <c r="K275" s="17">
        <v>20.0</v>
      </c>
      <c r="L275" s="15"/>
      <c r="M275" s="17" t="s">
        <v>948</v>
      </c>
      <c r="N275" s="17">
        <v>0.0</v>
      </c>
      <c r="O275" s="17" t="s">
        <v>714</v>
      </c>
      <c r="P275" s="17" t="s">
        <v>88</v>
      </c>
      <c r="Q275" s="20">
        <v>45756.333333333336</v>
      </c>
      <c r="R275" s="20">
        <v>45757.5</v>
      </c>
      <c r="S275" s="17" t="s">
        <v>451</v>
      </c>
      <c r="T275" s="17" t="s">
        <v>452</v>
      </c>
      <c r="U275" s="21" t="s">
        <v>1430</v>
      </c>
      <c r="V275" s="21" t="s">
        <v>1431</v>
      </c>
      <c r="W275" s="22">
        <v>60.0</v>
      </c>
      <c r="X275" s="22">
        <v>20.0</v>
      </c>
      <c r="Y275" s="23">
        <v>0.0</v>
      </c>
      <c r="Z275" s="23">
        <v>0.0</v>
      </c>
      <c r="AA275" s="24">
        <v>0.0</v>
      </c>
      <c r="AB275" s="24">
        <v>0.0</v>
      </c>
      <c r="AC275" s="24">
        <v>0.0</v>
      </c>
      <c r="AD275" s="23">
        <v>0.0</v>
      </c>
      <c r="AE275" s="24">
        <v>0.0</v>
      </c>
      <c r="AF275" s="17" t="s">
        <v>451</v>
      </c>
      <c r="AG275" s="17">
        <v>900.0</v>
      </c>
      <c r="AH275" s="17" t="s">
        <v>451</v>
      </c>
      <c r="AI275" s="25">
        <f>IF(AF275="Sim",INT((R275-Q275+1))*K275*VLOOKUP(P275,'Tabelas Auxiliares'!$A$1:$C$400,3,FALSE),0)</f>
        <v>0</v>
      </c>
      <c r="AJ275" s="25">
        <f t="shared" si="2"/>
        <v>630</v>
      </c>
      <c r="AK275" s="25">
        <f>IFS(
  O275="Acre",((W275*0.15)+(X275*0.7))*VLOOKUP(P275,'MunicípiosEstados'!$A$2:$B$23,2,FALSE),
  O275="Alagoas",((W275*0.15)+(X275*0.7))*VLOOKUP(P275,'MunicípiosEstados'!$C$2:$D$103,2,FALSE),
  O275="Amapá",((W275*0.15)+(X275*0.7))*VLOOKUP(P275,'MunicípiosEstados'!$E$2:$F$17,2,FALSE),
  O275="Amazonas",((W275*0.15)+(X275*0.7))*VLOOKUP(P275,'MunicípiosEstados'!$G$2:$H$63,2,FALSE),
  O275="Bahia",((W275*0.15)+(X275*0.7))*VLOOKUP(P275,'MunicípiosEstados'!$I$2:$J$418,2,FALSE),
  O275="Ceará",((W275*0.15)+(X275*0.7))*VLOOKUP(P275,'MunicípiosEstados'!$K$2:$L$185,2,FALSE),
  O275="Distrito Federal",((W275*0.15)+(X275*0.7))*VLOOKUP(P275,'MunicípiosEstados'!$M$2:$N$2,2,FALSE),
  O275="Espírito Santo",((W275*0.15)+(X275*0.7))*VLOOKUP(P275,'MunicípiosEstados'!$O$2:$P$79,2,FALSE),
  O275="Goiás",((W275*0.15)+(X275*0.7))*VLOOKUP(P275,'MunicípiosEstados'!$Q$2:$R$247,2,FALSE),
  O275="Maranhão",((W275*0.15)+(X275*0.7))*VLOOKUP(P275,'MunicípiosEstados'!$S$2:$T$218,2,FALSE),
  O275="Mato Grosso",((W275*0.15)+(X275*0.7))*VLOOKUP(P275,'MunicípiosEstados'!$U$2:$V$143,2,FALSE),
  O275="Mato Grosso do Sul",((W275*0.15)+(X275*0.7))*VLOOKUP(P275,'MunicípiosEstados'!$W$2:$X$80,2,FALSE),
  O275="Minas Gerais",((W275*0.15)+(X275*0.7))*VLOOKUP(P275,'MunicípiosEstados'!$Y$2:$Z$854,2,FALSE),
  O275="Pará",((W275*0.15)+(X275*0.7))*VLOOKUP(P275,'MunicípiosEstados'!$AA$2:$AB$145,2,FALSE),
  O275="Paraíba",((W275*0.15)+(X275*0.7))*VLOOKUP(P275,'MunicípiosEstados'!$AC$2:$AD$224,2,FALSE),
  O275="Paraná",((W275*0.15)+(X275*0.7))*VLOOKUP(P275,'MunicípiosEstados'!$AE$2:$AF$400,2,FALSE),
  O275="Pernambuco",((W275*0.15)+(X275*0.7))*VLOOKUP(P275,'MunicípiosEstados'!$AG$2:$AH$186,2,FALSE),
  O275="Piauí",((W275*0.15)+(X275*0.7))*VLOOKUP(P275,'MunicípiosEstados'!$AI$2:$AJ$225,2,FALSE),
  O275="Rio Grande do Norte",((W275*0.15)+(X275*0.7))*VLOOKUP(P275,'MunicípiosEstados'!$AK$2:$AL$168,2,FALSE),
  O275="Rio Grande do Sul",((W275*0.15)+(X275*0.7))*VLOOKUP(P275,'MunicípiosEstados'!$AM$2:$AN$498,2,FALSE),
  O275="Rio de Janeiro",((W275*0.15)+(X275*0.7))*VLOOKUP(P275,'MunicípiosEstados'!$AO$2:$AP$93,2,FALSE),
  O275="Rondônia",((W275*0.15)+(X275*0.7))*VLOOKUP(P275,'MunicípiosEstados'!$AQ$2:$AR$53,2,FALSE),
  O275="Roraima",((W275*0.15)+(X275*0.7))*VLOOKUP(P275,'MunicípiosEstados'!$AS$2:$AT$16,2,FALSE),
  O275="Santa Catarina",((W275*0.15)+(X275*0.7))*VLOOKUP(P275,'MunicípiosEstados'!$AU$2:$AV$296,2,FALSE),
  O275="São Paulo",((W275*0.15)+(X275*0.7))*VLOOKUP(P275,'MunicípiosEstados'!$AW$2:$AX$646,2,FALSE),
  O275="Sergipe",((W275*0.15)+(X275*0.7))*VLOOKUP(P275,'MunicípiosEstados'!$AY$2:$AZ$76,2,FALSE),
  O275="Tocantins",((W275*0.15)+(X275*0.7))*VLOOKUP(P275,'MunicípiosEstados'!$BA$2:$BB$140,2,FALSE),
  O275="Exterior",((W275*0.15)+(X275*0.7))*VLOOKUP(P275,'MunicípiosEstados'!$BC$2:$BE$221,3,FALSE),TRUE,0
)
</f>
        <v>6682.65</v>
      </c>
      <c r="AL275" s="25">
        <f t="shared" si="3"/>
        <v>7312.65</v>
      </c>
      <c r="AN275" s="31"/>
    </row>
    <row r="276" ht="22.5" hidden="1" customHeight="1">
      <c r="A276" s="15">
        <f t="shared" si="1"/>
        <v>275</v>
      </c>
      <c r="B276" s="16">
        <v>45999.6259918287</v>
      </c>
      <c r="C276" s="17" t="s">
        <v>506</v>
      </c>
      <c r="D276" s="18" t="s">
        <v>443</v>
      </c>
      <c r="E276" s="15" t="str">
        <f>VLOOKUP(G276,DiretoriaDepart.Coord.!$A$1:$C$72,2,FALSE)</f>
        <v>Pesquisa e Inovação</v>
      </c>
      <c r="F276" s="15" t="str">
        <f>VLOOKUP(G276,DiretoriaDepart.Coord.!$A$1:$C$72,3,FALSE)</f>
        <v>Inovação e Comunicação Científica</v>
      </c>
      <c r="G276" s="17" t="s">
        <v>477</v>
      </c>
      <c r="H276" s="15"/>
      <c r="I276" s="17" t="s">
        <v>1432</v>
      </c>
      <c r="J276" s="17" t="s">
        <v>883</v>
      </c>
      <c r="K276" s="17">
        <v>1.0</v>
      </c>
      <c r="L276" s="17" t="s">
        <v>1433</v>
      </c>
      <c r="M276" s="17" t="s">
        <v>451</v>
      </c>
      <c r="N276" s="17">
        <v>0.0</v>
      </c>
      <c r="O276" s="17" t="s">
        <v>714</v>
      </c>
      <c r="P276" s="17" t="s">
        <v>18</v>
      </c>
      <c r="Q276" s="20">
        <v>45848.333333333336</v>
      </c>
      <c r="R276" s="20">
        <v>45849.720138888886</v>
      </c>
      <c r="S276" s="17" t="s">
        <v>464</v>
      </c>
      <c r="T276" s="17" t="s">
        <v>452</v>
      </c>
      <c r="U276" s="21" t="s">
        <v>1434</v>
      </c>
      <c r="V276" s="21" t="s">
        <v>1435</v>
      </c>
      <c r="W276" s="22">
        <v>6.0</v>
      </c>
      <c r="X276" s="22">
        <v>4.0</v>
      </c>
      <c r="Y276" s="23">
        <v>300.0</v>
      </c>
      <c r="Z276" s="23">
        <v>100.0</v>
      </c>
      <c r="AA276" s="24">
        <v>0.0</v>
      </c>
      <c r="AB276" s="24">
        <v>0.0</v>
      </c>
      <c r="AC276" s="24">
        <v>0.0</v>
      </c>
      <c r="AD276" s="23">
        <v>0.0</v>
      </c>
      <c r="AE276" s="24">
        <v>0.0</v>
      </c>
      <c r="AF276" s="17" t="s">
        <v>464</v>
      </c>
      <c r="AG276" s="17">
        <v>1400.0</v>
      </c>
      <c r="AH276" s="17" t="s">
        <v>451</v>
      </c>
      <c r="AI276" s="25">
        <f>IF(AF276="Sim",INT((R276-Q276+1))*K276*VLOOKUP(P276,'Tabelas Auxiliares'!$A$1:$C$400,3,FALSE),0)</f>
        <v>45.28</v>
      </c>
      <c r="AJ276" s="25">
        <f t="shared" si="2"/>
        <v>980</v>
      </c>
      <c r="AK276" s="25">
        <f>IFS(
  O276="Acre",((W276*0.15)+(X276*0.7))*VLOOKUP(P276,'MunicípiosEstados'!$A$2:$B$23,2,FALSE),
  O276="Alagoas",((W276*0.15)+(X276*0.7))*VLOOKUP(P276,'MunicípiosEstados'!$C$2:$D$103,2,FALSE),
  O276="Amapá",((W276*0.15)+(X276*0.7))*VLOOKUP(P276,'MunicípiosEstados'!$E$2:$F$17,2,FALSE),
  O276="Amazonas",((W276*0.15)+(X276*0.7))*VLOOKUP(P276,'MunicípiosEstados'!$G$2:$H$63,2,FALSE),
  O276="Bahia",((W276*0.15)+(X276*0.7))*VLOOKUP(P276,'MunicípiosEstados'!$I$2:$J$418,2,FALSE),
  O276="Ceará",((W276*0.15)+(X276*0.7))*VLOOKUP(P276,'MunicípiosEstados'!$K$2:$L$185,2,FALSE),
  O276="Distrito Federal",((W276*0.15)+(X276*0.7))*VLOOKUP(P276,'MunicípiosEstados'!$M$2:$N$2,2,FALSE),
  O276="Espírito Santo",((W276*0.15)+(X276*0.7))*VLOOKUP(P276,'MunicípiosEstados'!$O$2:$P$79,2,FALSE),
  O276="Goiás",((W276*0.15)+(X276*0.7))*VLOOKUP(P276,'MunicípiosEstados'!$Q$2:$R$247,2,FALSE),
  O276="Maranhão",((W276*0.15)+(X276*0.7))*VLOOKUP(P276,'MunicípiosEstados'!$S$2:$T$218,2,FALSE),
  O276="Mato Grosso",((W276*0.15)+(X276*0.7))*VLOOKUP(P276,'MunicípiosEstados'!$U$2:$V$143,2,FALSE),
  O276="Mato Grosso do Sul",((W276*0.15)+(X276*0.7))*VLOOKUP(P276,'MunicípiosEstados'!$W$2:$X$80,2,FALSE),
  O276="Minas Gerais",((W276*0.15)+(X276*0.7))*VLOOKUP(P276,'MunicípiosEstados'!$Y$2:$Z$854,2,FALSE),
  O276="Pará",((W276*0.15)+(X276*0.7))*VLOOKUP(P276,'MunicípiosEstados'!$AA$2:$AB$145,2,FALSE),
  O276="Paraíba",((W276*0.15)+(X276*0.7))*VLOOKUP(P276,'MunicípiosEstados'!$AC$2:$AD$224,2,FALSE),
  O276="Paraná",((W276*0.15)+(X276*0.7))*VLOOKUP(P276,'MunicípiosEstados'!$AE$2:$AF$400,2,FALSE),
  O276="Pernambuco",((W276*0.15)+(X276*0.7))*VLOOKUP(P276,'MunicípiosEstados'!$AG$2:$AH$186,2,FALSE),
  O276="Piauí",((W276*0.15)+(X276*0.7))*VLOOKUP(P276,'MunicípiosEstados'!$AI$2:$AJ$225,2,FALSE),
  O276="Rio Grande do Norte",((W276*0.15)+(X276*0.7))*VLOOKUP(P276,'MunicípiosEstados'!$AK$2:$AL$168,2,FALSE),
  O276="Rio Grande do Sul",((W276*0.15)+(X276*0.7))*VLOOKUP(P276,'MunicípiosEstados'!$AM$2:$AN$498,2,FALSE),
  O276="Rio de Janeiro",((W276*0.15)+(X276*0.7))*VLOOKUP(P276,'MunicípiosEstados'!$AO$2:$AP$93,2,FALSE),
  O276="Rondônia",((W276*0.15)+(X276*0.7))*VLOOKUP(P276,'MunicípiosEstados'!$AQ$2:$AR$53,2,FALSE),
  O276="Roraima",((W276*0.15)+(X276*0.7))*VLOOKUP(P276,'MunicípiosEstados'!$AS$2:$AT$16,2,FALSE),
  O276="Santa Catarina",((W276*0.15)+(X276*0.7))*VLOOKUP(P276,'MunicípiosEstados'!$AU$2:$AV$296,2,FALSE),
  O276="São Paulo",((W276*0.15)+(X276*0.7))*VLOOKUP(P276,'MunicípiosEstados'!$AW$2:$AX$646,2,FALSE),
  O276="Sergipe",((W276*0.15)+(X276*0.7))*VLOOKUP(P276,'MunicípiosEstados'!$AY$2:$AZ$76,2,FALSE),
  O276="Tocantins",((W276*0.15)+(X276*0.7))*VLOOKUP(P276,'MunicípiosEstados'!$BA$2:$BB$140,2,FALSE),
  O276="Exterior",((W276*0.15)+(X276*0.7))*VLOOKUP(P276,'MunicípiosEstados'!$BC$2:$BE$221,3,FALSE),TRUE,0
)
</f>
        <v>1075.035</v>
      </c>
      <c r="AL276" s="25">
        <f t="shared" si="3"/>
        <v>2500.315</v>
      </c>
      <c r="AN276" s="26"/>
    </row>
    <row r="277" ht="22.5" hidden="1" customHeight="1">
      <c r="A277" s="15">
        <f t="shared" si="1"/>
        <v>276</v>
      </c>
      <c r="B277" s="16">
        <v>45999.64474239583</v>
      </c>
      <c r="C277" s="17" t="s">
        <v>506</v>
      </c>
      <c r="D277" s="18" t="s">
        <v>443</v>
      </c>
      <c r="E277" s="15" t="str">
        <f>VLOOKUP(G277,DiretoriaDepart.Coord.!$A$1:$C$72,2,FALSE)</f>
        <v>Pesquisa e Inovação</v>
      </c>
      <c r="F277" s="15" t="str">
        <f>VLOOKUP(G277,DiretoriaDepart.Coord.!$A$1:$C$72,3,FALSE)</f>
        <v>Pesquisa e Capacitação</v>
      </c>
      <c r="G277" s="17" t="s">
        <v>630</v>
      </c>
      <c r="H277" s="15"/>
      <c r="I277" s="17" t="s">
        <v>1436</v>
      </c>
      <c r="J277" s="17" t="s">
        <v>728</v>
      </c>
      <c r="K277" s="17">
        <v>20.0</v>
      </c>
      <c r="L277" s="15"/>
      <c r="M277" s="17" t="s">
        <v>451</v>
      </c>
      <c r="N277" s="17">
        <v>17.0</v>
      </c>
      <c r="O277" s="17" t="s">
        <v>714</v>
      </c>
      <c r="P277" s="17" t="s">
        <v>18</v>
      </c>
      <c r="Q277" s="20">
        <v>45825.333333333336</v>
      </c>
      <c r="R277" s="20">
        <v>45826.708333333336</v>
      </c>
      <c r="S277" s="17" t="s">
        <v>451</v>
      </c>
      <c r="T277" s="17" t="s">
        <v>452</v>
      </c>
      <c r="U277" s="21" t="s">
        <v>1437</v>
      </c>
      <c r="V277" s="21" t="s">
        <v>1438</v>
      </c>
      <c r="W277" s="22">
        <v>0.0</v>
      </c>
      <c r="X277" s="22">
        <v>0.0</v>
      </c>
      <c r="Y277" s="23">
        <v>0.0</v>
      </c>
      <c r="Z277" s="23">
        <v>200.0</v>
      </c>
      <c r="AA277" s="24">
        <v>0.0</v>
      </c>
      <c r="AB277" s="24">
        <v>0.0</v>
      </c>
      <c r="AC277" s="24">
        <v>0.0</v>
      </c>
      <c r="AD277" s="23">
        <v>0.0</v>
      </c>
      <c r="AE277" s="24">
        <v>0.0</v>
      </c>
      <c r="AF277" s="17" t="s">
        <v>464</v>
      </c>
      <c r="AG277" s="17">
        <v>0.0</v>
      </c>
      <c r="AH277" s="17" t="s">
        <v>464</v>
      </c>
      <c r="AI277" s="25">
        <f>IF(AF277="Sim",INT((R277-Q277+1))*K277*VLOOKUP(P277,'Tabelas Auxiliares'!$A$1:$C$400,3,FALSE),0)</f>
        <v>905.6</v>
      </c>
      <c r="AJ277" s="25">
        <f t="shared" si="2"/>
        <v>0</v>
      </c>
      <c r="AK277" s="25">
        <f>IFS(
  O277="Acre",((W277*0.15)+(X277*0.7))*VLOOKUP(P277,'MunicípiosEstados'!$A$2:$B$23,2,FALSE),
  O277="Alagoas",((W277*0.15)+(X277*0.7))*VLOOKUP(P277,'MunicípiosEstados'!$C$2:$D$103,2,FALSE),
  O277="Amapá",((W277*0.15)+(X277*0.7))*VLOOKUP(P277,'MunicípiosEstados'!$E$2:$F$17,2,FALSE),
  O277="Amazonas",((W277*0.15)+(X277*0.7))*VLOOKUP(P277,'MunicípiosEstados'!$G$2:$H$63,2,FALSE),
  O277="Bahia",((W277*0.15)+(X277*0.7))*VLOOKUP(P277,'MunicípiosEstados'!$I$2:$J$418,2,FALSE),
  O277="Ceará",((W277*0.15)+(X277*0.7))*VLOOKUP(P277,'MunicípiosEstados'!$K$2:$L$185,2,FALSE),
  O277="Distrito Federal",((W277*0.15)+(X277*0.7))*VLOOKUP(P277,'MunicípiosEstados'!$M$2:$N$2,2,FALSE),
  O277="Espírito Santo",((W277*0.15)+(X277*0.7))*VLOOKUP(P277,'MunicípiosEstados'!$O$2:$P$79,2,FALSE),
  O277="Goiás",((W277*0.15)+(X277*0.7))*VLOOKUP(P277,'MunicípiosEstados'!$Q$2:$R$247,2,FALSE),
  O277="Maranhão",((W277*0.15)+(X277*0.7))*VLOOKUP(P277,'MunicípiosEstados'!$S$2:$T$218,2,FALSE),
  O277="Mato Grosso",((W277*0.15)+(X277*0.7))*VLOOKUP(P277,'MunicípiosEstados'!$U$2:$V$143,2,FALSE),
  O277="Mato Grosso do Sul",((W277*0.15)+(X277*0.7))*VLOOKUP(P277,'MunicípiosEstados'!$W$2:$X$80,2,FALSE),
  O277="Minas Gerais",((W277*0.15)+(X277*0.7))*VLOOKUP(P277,'MunicípiosEstados'!$Y$2:$Z$854,2,FALSE),
  O277="Pará",((W277*0.15)+(X277*0.7))*VLOOKUP(P277,'MunicípiosEstados'!$AA$2:$AB$145,2,FALSE),
  O277="Paraíba",((W277*0.15)+(X277*0.7))*VLOOKUP(P277,'MunicípiosEstados'!$AC$2:$AD$224,2,FALSE),
  O277="Paraná",((W277*0.15)+(X277*0.7))*VLOOKUP(P277,'MunicípiosEstados'!$AE$2:$AF$400,2,FALSE),
  O277="Pernambuco",((W277*0.15)+(X277*0.7))*VLOOKUP(P277,'MunicípiosEstados'!$AG$2:$AH$186,2,FALSE),
  O277="Piauí",((W277*0.15)+(X277*0.7))*VLOOKUP(P277,'MunicípiosEstados'!$AI$2:$AJ$225,2,FALSE),
  O277="Rio Grande do Norte",((W277*0.15)+(X277*0.7))*VLOOKUP(P277,'MunicípiosEstados'!$AK$2:$AL$168,2,FALSE),
  O277="Rio Grande do Sul",((W277*0.15)+(X277*0.7))*VLOOKUP(P277,'MunicípiosEstados'!$AM$2:$AN$498,2,FALSE),
  O277="Rio de Janeiro",((W277*0.15)+(X277*0.7))*VLOOKUP(P277,'MunicípiosEstados'!$AO$2:$AP$93,2,FALSE),
  O277="Rondônia",((W277*0.15)+(X277*0.7))*VLOOKUP(P277,'MunicípiosEstados'!$AQ$2:$AR$53,2,FALSE),
  O277="Roraima",((W277*0.15)+(X277*0.7))*VLOOKUP(P277,'MunicípiosEstados'!$AS$2:$AT$16,2,FALSE),
  O277="Santa Catarina",((W277*0.15)+(X277*0.7))*VLOOKUP(P277,'MunicípiosEstados'!$AU$2:$AV$296,2,FALSE),
  O277="São Paulo",((W277*0.15)+(X277*0.7))*VLOOKUP(P277,'MunicípiosEstados'!$AW$2:$AX$646,2,FALSE),
  O277="Sergipe",((W277*0.15)+(X277*0.7))*VLOOKUP(P277,'MunicípiosEstados'!$AY$2:$AZ$76,2,FALSE),
  O277="Tocantins",((W277*0.15)+(X277*0.7))*VLOOKUP(P277,'MunicípiosEstados'!$BA$2:$BB$140,2,FALSE),
  O277="Exterior",((W277*0.15)+(X277*0.7))*VLOOKUP(P277,'MunicípiosEstados'!$BC$2:$BE$221,3,FALSE),TRUE,0
)
</f>
        <v>0</v>
      </c>
      <c r="AL277" s="25">
        <f t="shared" si="3"/>
        <v>1105.6</v>
      </c>
      <c r="AN277" s="26"/>
    </row>
    <row r="278" ht="22.5" hidden="1" customHeight="1">
      <c r="A278" s="15">
        <f t="shared" si="1"/>
        <v>277</v>
      </c>
      <c r="B278" s="16">
        <v>45999.6518037037</v>
      </c>
      <c r="C278" s="17" t="s">
        <v>1439</v>
      </c>
      <c r="D278" s="18" t="s">
        <v>443</v>
      </c>
      <c r="E278" s="15" t="str">
        <f>VLOOKUP(G278,DiretoriaDepart.Coord.!$A$1:$C$72,2,FALSE)</f>
        <v>Pesquisa e Inovação</v>
      </c>
      <c r="F278" s="15" t="str">
        <f>VLOOKUP(G278,DiretoriaDepart.Coord.!$A$1:$C$72,3,FALSE)</f>
        <v>Pesquisa e Capacitação</v>
      </c>
      <c r="G278" s="17" t="s">
        <v>630</v>
      </c>
      <c r="H278" s="15"/>
      <c r="I278" s="17" t="s">
        <v>1440</v>
      </c>
      <c r="J278" s="17" t="s">
        <v>728</v>
      </c>
      <c r="K278" s="17">
        <v>4.0</v>
      </c>
      <c r="L278" s="15"/>
      <c r="M278" s="17" t="s">
        <v>547</v>
      </c>
      <c r="N278" s="17">
        <v>10.0</v>
      </c>
      <c r="O278" s="17" t="s">
        <v>714</v>
      </c>
      <c r="P278" s="17" t="s">
        <v>18</v>
      </c>
      <c r="Q278" s="20">
        <v>45846.333333333336</v>
      </c>
      <c r="R278" s="20">
        <v>45847.708333333336</v>
      </c>
      <c r="S278" s="17" t="s">
        <v>451</v>
      </c>
      <c r="T278" s="17" t="s">
        <v>452</v>
      </c>
      <c r="U278" s="21" t="s">
        <v>1441</v>
      </c>
      <c r="V278" s="21" t="s">
        <v>1442</v>
      </c>
      <c r="W278" s="22">
        <v>0.0</v>
      </c>
      <c r="X278" s="22">
        <v>0.0</v>
      </c>
      <c r="Y278" s="23">
        <v>0.0</v>
      </c>
      <c r="Z278" s="23">
        <v>1000.0</v>
      </c>
      <c r="AA278" s="24">
        <v>0.0</v>
      </c>
      <c r="AB278" s="24">
        <v>0.0</v>
      </c>
      <c r="AC278" s="24">
        <v>0.0</v>
      </c>
      <c r="AD278" s="23">
        <v>0.0</v>
      </c>
      <c r="AE278" s="24">
        <v>0.0</v>
      </c>
      <c r="AF278" s="17" t="s">
        <v>464</v>
      </c>
      <c r="AG278" s="17">
        <v>0.0</v>
      </c>
      <c r="AH278" s="17" t="s">
        <v>464</v>
      </c>
      <c r="AI278" s="25">
        <f>IF(AF278="Sim",INT((R278-Q278+1))*K278*VLOOKUP(P278,'Tabelas Auxiliares'!$A$1:$C$400,3,FALSE),0)</f>
        <v>181.12</v>
      </c>
      <c r="AJ278" s="25">
        <f t="shared" si="2"/>
        <v>0</v>
      </c>
      <c r="AK278" s="25">
        <f>IFS(
  O278="Acre",((W278*0.15)+(X278*0.7))*VLOOKUP(P278,'MunicípiosEstados'!$A$2:$B$23,2,FALSE),
  O278="Alagoas",((W278*0.15)+(X278*0.7))*VLOOKUP(P278,'MunicípiosEstados'!$C$2:$D$103,2,FALSE),
  O278="Amapá",((W278*0.15)+(X278*0.7))*VLOOKUP(P278,'MunicípiosEstados'!$E$2:$F$17,2,FALSE),
  O278="Amazonas",((W278*0.15)+(X278*0.7))*VLOOKUP(P278,'MunicípiosEstados'!$G$2:$H$63,2,FALSE),
  O278="Bahia",((W278*0.15)+(X278*0.7))*VLOOKUP(P278,'MunicípiosEstados'!$I$2:$J$418,2,FALSE),
  O278="Ceará",((W278*0.15)+(X278*0.7))*VLOOKUP(P278,'MunicípiosEstados'!$K$2:$L$185,2,FALSE),
  O278="Distrito Federal",((W278*0.15)+(X278*0.7))*VLOOKUP(P278,'MunicípiosEstados'!$M$2:$N$2,2,FALSE),
  O278="Espírito Santo",((W278*0.15)+(X278*0.7))*VLOOKUP(P278,'MunicípiosEstados'!$O$2:$P$79,2,FALSE),
  O278="Goiás",((W278*0.15)+(X278*0.7))*VLOOKUP(P278,'MunicípiosEstados'!$Q$2:$R$247,2,FALSE),
  O278="Maranhão",((W278*0.15)+(X278*0.7))*VLOOKUP(P278,'MunicípiosEstados'!$S$2:$T$218,2,FALSE),
  O278="Mato Grosso",((W278*0.15)+(X278*0.7))*VLOOKUP(P278,'MunicípiosEstados'!$U$2:$V$143,2,FALSE),
  O278="Mato Grosso do Sul",((W278*0.15)+(X278*0.7))*VLOOKUP(P278,'MunicípiosEstados'!$W$2:$X$80,2,FALSE),
  O278="Minas Gerais",((W278*0.15)+(X278*0.7))*VLOOKUP(P278,'MunicípiosEstados'!$Y$2:$Z$854,2,FALSE),
  O278="Pará",((W278*0.15)+(X278*0.7))*VLOOKUP(P278,'MunicípiosEstados'!$AA$2:$AB$145,2,FALSE),
  O278="Paraíba",((W278*0.15)+(X278*0.7))*VLOOKUP(P278,'MunicípiosEstados'!$AC$2:$AD$224,2,FALSE),
  O278="Paraná",((W278*0.15)+(X278*0.7))*VLOOKUP(P278,'MunicípiosEstados'!$AE$2:$AF$400,2,FALSE),
  O278="Pernambuco",((W278*0.15)+(X278*0.7))*VLOOKUP(P278,'MunicípiosEstados'!$AG$2:$AH$186,2,FALSE),
  O278="Piauí",((W278*0.15)+(X278*0.7))*VLOOKUP(P278,'MunicípiosEstados'!$AI$2:$AJ$225,2,FALSE),
  O278="Rio Grande do Norte",((W278*0.15)+(X278*0.7))*VLOOKUP(P278,'MunicípiosEstados'!$AK$2:$AL$168,2,FALSE),
  O278="Rio Grande do Sul",((W278*0.15)+(X278*0.7))*VLOOKUP(P278,'MunicípiosEstados'!$AM$2:$AN$498,2,FALSE),
  O278="Rio de Janeiro",((W278*0.15)+(X278*0.7))*VLOOKUP(P278,'MunicípiosEstados'!$AO$2:$AP$93,2,FALSE),
  O278="Rondônia",((W278*0.15)+(X278*0.7))*VLOOKUP(P278,'MunicípiosEstados'!$AQ$2:$AR$53,2,FALSE),
  O278="Roraima",((W278*0.15)+(X278*0.7))*VLOOKUP(P278,'MunicípiosEstados'!$AS$2:$AT$16,2,FALSE),
  O278="Santa Catarina",((W278*0.15)+(X278*0.7))*VLOOKUP(P278,'MunicípiosEstados'!$AU$2:$AV$296,2,FALSE),
  O278="São Paulo",((W278*0.15)+(X278*0.7))*VLOOKUP(P278,'MunicípiosEstados'!$AW$2:$AX$646,2,FALSE),
  O278="Sergipe",((W278*0.15)+(X278*0.7))*VLOOKUP(P278,'MunicípiosEstados'!$AY$2:$AZ$76,2,FALSE),
  O278="Tocantins",((W278*0.15)+(X278*0.7))*VLOOKUP(P278,'MunicípiosEstados'!$BA$2:$BB$140,2,FALSE),
  O278="Exterior",((W278*0.15)+(X278*0.7))*VLOOKUP(P278,'MunicípiosEstados'!$BC$2:$BE$221,3,FALSE),TRUE,0
)
</f>
        <v>0</v>
      </c>
      <c r="AL278" s="25">
        <f t="shared" si="3"/>
        <v>1181.12</v>
      </c>
      <c r="AN278" s="26"/>
    </row>
    <row r="279" ht="22.5" hidden="1" customHeight="1">
      <c r="A279" s="15">
        <f t="shared" si="1"/>
        <v>278</v>
      </c>
      <c r="B279" s="16">
        <v>45999.69368515046</v>
      </c>
      <c r="C279" s="17" t="s">
        <v>866</v>
      </c>
      <c r="D279" s="18" t="s">
        <v>443</v>
      </c>
      <c r="E279" s="15" t="str">
        <f>VLOOKUP(G279,DiretoriaDepart.Coord.!$A$1:$C$72,2,FALSE)</f>
        <v>Gestão Institucional</v>
      </c>
      <c r="F279" s="15" t="str">
        <f>VLOOKUP(G279,DiretoriaDepart.Coord.!$A$1:$C$72,3,FALSE)</f>
        <v>Recursos Humanos</v>
      </c>
      <c r="G279" s="17" t="s">
        <v>867</v>
      </c>
      <c r="H279" s="15"/>
      <c r="I279" s="17" t="s">
        <v>1443</v>
      </c>
      <c r="J279" s="17" t="s">
        <v>728</v>
      </c>
      <c r="K279" s="17">
        <v>5.0</v>
      </c>
      <c r="L279" s="15"/>
      <c r="M279" s="17" t="s">
        <v>1444</v>
      </c>
      <c r="N279" s="17">
        <v>0.0</v>
      </c>
      <c r="O279" s="17" t="s">
        <v>714</v>
      </c>
      <c r="P279" s="17" t="s">
        <v>6</v>
      </c>
      <c r="Q279" s="20">
        <v>45717.333333333336</v>
      </c>
      <c r="R279" s="20">
        <v>45809.708333333336</v>
      </c>
      <c r="S279" s="17" t="s">
        <v>451</v>
      </c>
      <c r="T279" s="17" t="s">
        <v>747</v>
      </c>
      <c r="U279" s="28" t="s">
        <v>1445</v>
      </c>
      <c r="V279" s="21" t="s">
        <v>1446</v>
      </c>
      <c r="W279" s="22">
        <v>0.0</v>
      </c>
      <c r="X279" s="22">
        <v>0.0</v>
      </c>
      <c r="Y279" s="23">
        <v>23450.0</v>
      </c>
      <c r="Z279" s="23">
        <v>0.0</v>
      </c>
      <c r="AA279" s="24">
        <v>0.0</v>
      </c>
      <c r="AB279" s="24">
        <v>0.0</v>
      </c>
      <c r="AC279" s="24">
        <v>0.0</v>
      </c>
      <c r="AD279" s="23">
        <v>0.0</v>
      </c>
      <c r="AE279" s="24">
        <v>0.0</v>
      </c>
      <c r="AF279" s="17" t="s">
        <v>451</v>
      </c>
      <c r="AG279" s="17">
        <v>0.0</v>
      </c>
      <c r="AH279" s="17" t="s">
        <v>464</v>
      </c>
      <c r="AI279" s="25">
        <f>IF(AF279="Sim",INT((R279-Q279+1))*K279*VLOOKUP(P279,'Tabelas Auxiliares'!$A$1:$C$400,3,FALSE),0)</f>
        <v>0</v>
      </c>
      <c r="AJ279" s="25">
        <f t="shared" si="2"/>
        <v>0</v>
      </c>
      <c r="AK279" s="25">
        <f>IFS(
  O279="Acre",((W279*0.15)+(X279*0.7))*VLOOKUP(P279,'MunicípiosEstados'!$A$2:$B$23,2,FALSE),
  O279="Alagoas",((W279*0.15)+(X279*0.7))*VLOOKUP(P279,'MunicípiosEstados'!$C$2:$D$103,2,FALSE),
  O279="Amapá",((W279*0.15)+(X279*0.7))*VLOOKUP(P279,'MunicípiosEstados'!$E$2:$F$17,2,FALSE),
  O279="Amazonas",((W279*0.15)+(X279*0.7))*VLOOKUP(P279,'MunicípiosEstados'!$G$2:$H$63,2,FALSE),
  O279="Bahia",((W279*0.15)+(X279*0.7))*VLOOKUP(P279,'MunicípiosEstados'!$I$2:$J$418,2,FALSE),
  O279="Ceará",((W279*0.15)+(X279*0.7))*VLOOKUP(P279,'MunicípiosEstados'!$K$2:$L$185,2,FALSE),
  O279="Distrito Federal",((W279*0.15)+(X279*0.7))*VLOOKUP(P279,'MunicípiosEstados'!$M$2:$N$2,2,FALSE),
  O279="Espírito Santo",((W279*0.15)+(X279*0.7))*VLOOKUP(P279,'MunicípiosEstados'!$O$2:$P$79,2,FALSE),
  O279="Goiás",((W279*0.15)+(X279*0.7))*VLOOKUP(P279,'MunicípiosEstados'!$Q$2:$R$247,2,FALSE),
  O279="Maranhão",((W279*0.15)+(X279*0.7))*VLOOKUP(P279,'MunicípiosEstados'!$S$2:$T$218,2,FALSE),
  O279="Mato Grosso",((W279*0.15)+(X279*0.7))*VLOOKUP(P279,'MunicípiosEstados'!$U$2:$V$143,2,FALSE),
  O279="Mato Grosso do Sul",((W279*0.15)+(X279*0.7))*VLOOKUP(P279,'MunicípiosEstados'!$W$2:$X$80,2,FALSE),
  O279="Minas Gerais",((W279*0.15)+(X279*0.7))*VLOOKUP(P279,'MunicípiosEstados'!$Y$2:$Z$854,2,FALSE),
  O279="Pará",((W279*0.15)+(X279*0.7))*VLOOKUP(P279,'MunicípiosEstados'!$AA$2:$AB$145,2,FALSE),
  O279="Paraíba",((W279*0.15)+(X279*0.7))*VLOOKUP(P279,'MunicípiosEstados'!$AC$2:$AD$224,2,FALSE),
  O279="Paraná",((W279*0.15)+(X279*0.7))*VLOOKUP(P279,'MunicípiosEstados'!$AE$2:$AF$400,2,FALSE),
  O279="Pernambuco",((W279*0.15)+(X279*0.7))*VLOOKUP(P279,'MunicípiosEstados'!$AG$2:$AH$186,2,FALSE),
  O279="Piauí",((W279*0.15)+(X279*0.7))*VLOOKUP(P279,'MunicípiosEstados'!$AI$2:$AJ$225,2,FALSE),
  O279="Rio Grande do Norte",((W279*0.15)+(X279*0.7))*VLOOKUP(P279,'MunicípiosEstados'!$AK$2:$AL$168,2,FALSE),
  O279="Rio Grande do Sul",((W279*0.15)+(X279*0.7))*VLOOKUP(P279,'MunicípiosEstados'!$AM$2:$AN$498,2,FALSE),
  O279="Rio de Janeiro",((W279*0.15)+(X279*0.7))*VLOOKUP(P279,'MunicípiosEstados'!$AO$2:$AP$93,2,FALSE),
  O279="Rondônia",((W279*0.15)+(X279*0.7))*VLOOKUP(P279,'MunicípiosEstados'!$AQ$2:$AR$53,2,FALSE),
  O279="Roraima",((W279*0.15)+(X279*0.7))*VLOOKUP(P279,'MunicípiosEstados'!$AS$2:$AT$16,2,FALSE),
  O279="Santa Catarina",((W279*0.15)+(X279*0.7))*VLOOKUP(P279,'MunicípiosEstados'!$AU$2:$AV$296,2,FALSE),
  O279="São Paulo",((W279*0.15)+(X279*0.7))*VLOOKUP(P279,'MunicípiosEstados'!$AW$2:$AX$646,2,FALSE),
  O279="Sergipe",((W279*0.15)+(X279*0.7))*VLOOKUP(P279,'MunicípiosEstados'!$AY$2:$AZ$76,2,FALSE),
  O279="Tocantins",((W279*0.15)+(X279*0.7))*VLOOKUP(P279,'MunicípiosEstados'!$BA$2:$BB$140,2,FALSE),
  O279="Exterior",((W279*0.15)+(X279*0.7))*VLOOKUP(P279,'MunicípiosEstados'!$BC$2:$BE$221,3,FALSE),TRUE,0
)
</f>
        <v>0</v>
      </c>
      <c r="AL279" s="25">
        <f t="shared" si="3"/>
        <v>23450</v>
      </c>
      <c r="AN279" s="31"/>
    </row>
    <row r="280" ht="22.5" hidden="1" customHeight="1">
      <c r="A280" s="15">
        <f t="shared" si="1"/>
        <v>279</v>
      </c>
      <c r="B280" s="16">
        <v>45999.69497239584</v>
      </c>
      <c r="C280" s="17" t="s">
        <v>1120</v>
      </c>
      <c r="D280" s="18" t="s">
        <v>443</v>
      </c>
      <c r="E280" s="15" t="str">
        <f>VLOOKUP(G280,DiretoriaDepart.Coord.!$A$1:$C$72,2,FALSE)</f>
        <v>Extensão Rural</v>
      </c>
      <c r="F280" s="15" t="str">
        <f>VLOOKUP(G280,DiretoriaDepart.Coord.!$A$1:$C$72,3,FALSE)</f>
        <v>Projetos e Cadeias Produtivas</v>
      </c>
      <c r="G280" s="17" t="s">
        <v>1121</v>
      </c>
      <c r="H280" s="15"/>
      <c r="I280" s="17" t="s">
        <v>1447</v>
      </c>
      <c r="J280" s="17" t="s">
        <v>728</v>
      </c>
      <c r="K280" s="17">
        <v>14.0</v>
      </c>
      <c r="L280" s="15"/>
      <c r="M280" s="17" t="s">
        <v>970</v>
      </c>
      <c r="N280" s="17">
        <v>0.0</v>
      </c>
      <c r="O280" s="17" t="s">
        <v>714</v>
      </c>
      <c r="P280" s="17" t="s">
        <v>294</v>
      </c>
      <c r="Q280" s="20">
        <v>45872.5625</v>
      </c>
      <c r="R280" s="20">
        <v>45876.5</v>
      </c>
      <c r="S280" s="17" t="s">
        <v>451</v>
      </c>
      <c r="T280" s="17" t="s">
        <v>452</v>
      </c>
      <c r="U280" s="28" t="s">
        <v>1448</v>
      </c>
      <c r="V280" s="21" t="s">
        <v>1449</v>
      </c>
      <c r="W280" s="22">
        <v>170.0</v>
      </c>
      <c r="X280" s="22">
        <v>70.0</v>
      </c>
      <c r="Y280" s="23">
        <v>0.0</v>
      </c>
      <c r="Z280" s="23">
        <v>0.0</v>
      </c>
      <c r="AA280" s="24">
        <v>0.0</v>
      </c>
      <c r="AB280" s="24">
        <v>0.0</v>
      </c>
      <c r="AC280" s="24">
        <v>0.0</v>
      </c>
      <c r="AD280" s="23">
        <v>0.0</v>
      </c>
      <c r="AE280" s="24">
        <v>0.0</v>
      </c>
      <c r="AF280" s="17" t="s">
        <v>451</v>
      </c>
      <c r="AG280" s="17">
        <v>2500.0</v>
      </c>
      <c r="AH280" s="17" t="s">
        <v>451</v>
      </c>
      <c r="AI280" s="25">
        <f>IF(AF280="Sim",INT((R280-Q280+1))*K280*VLOOKUP(P280,'Tabelas Auxiliares'!$A$1:$C$400,3,FALSE),0)</f>
        <v>0</v>
      </c>
      <c r="AJ280" s="25">
        <f t="shared" si="2"/>
        <v>1750</v>
      </c>
      <c r="AK280" s="25">
        <f>IFS(
  O280="Acre",((W280*0.15)+(X280*0.7))*VLOOKUP(P280,'MunicípiosEstados'!$A$2:$B$23,2,FALSE),
  O280="Alagoas",((W280*0.15)+(X280*0.7))*VLOOKUP(P280,'MunicípiosEstados'!$C$2:$D$103,2,FALSE),
  O280="Amapá",((W280*0.15)+(X280*0.7))*VLOOKUP(P280,'MunicípiosEstados'!$E$2:$F$17,2,FALSE),
  O280="Amazonas",((W280*0.15)+(X280*0.7))*VLOOKUP(P280,'MunicípiosEstados'!$G$2:$H$63,2,FALSE),
  O280="Bahia",((W280*0.15)+(X280*0.7))*VLOOKUP(P280,'MunicípiosEstados'!$I$2:$J$418,2,FALSE),
  O280="Ceará",((W280*0.15)+(X280*0.7))*VLOOKUP(P280,'MunicípiosEstados'!$K$2:$L$185,2,FALSE),
  O280="Distrito Federal",((W280*0.15)+(X280*0.7))*VLOOKUP(P280,'MunicípiosEstados'!$M$2:$N$2,2,FALSE),
  O280="Espírito Santo",((W280*0.15)+(X280*0.7))*VLOOKUP(P280,'MunicípiosEstados'!$O$2:$P$79,2,FALSE),
  O280="Goiás",((W280*0.15)+(X280*0.7))*VLOOKUP(P280,'MunicípiosEstados'!$Q$2:$R$247,2,FALSE),
  O280="Maranhão",((W280*0.15)+(X280*0.7))*VLOOKUP(P280,'MunicípiosEstados'!$S$2:$T$218,2,FALSE),
  O280="Mato Grosso",((W280*0.15)+(X280*0.7))*VLOOKUP(P280,'MunicípiosEstados'!$U$2:$V$143,2,FALSE),
  O280="Mato Grosso do Sul",((W280*0.15)+(X280*0.7))*VLOOKUP(P280,'MunicípiosEstados'!$W$2:$X$80,2,FALSE),
  O280="Minas Gerais",((W280*0.15)+(X280*0.7))*VLOOKUP(P280,'MunicípiosEstados'!$Y$2:$Z$854,2,FALSE),
  O280="Pará",((W280*0.15)+(X280*0.7))*VLOOKUP(P280,'MunicípiosEstados'!$AA$2:$AB$145,2,FALSE),
  O280="Paraíba",((W280*0.15)+(X280*0.7))*VLOOKUP(P280,'MunicípiosEstados'!$AC$2:$AD$224,2,FALSE),
  O280="Paraná",((W280*0.15)+(X280*0.7))*VLOOKUP(P280,'MunicípiosEstados'!$AE$2:$AF$400,2,FALSE),
  O280="Pernambuco",((W280*0.15)+(X280*0.7))*VLOOKUP(P280,'MunicípiosEstados'!$AG$2:$AH$186,2,FALSE),
  O280="Piauí",((W280*0.15)+(X280*0.7))*VLOOKUP(P280,'MunicípiosEstados'!$AI$2:$AJ$225,2,FALSE),
  O280="Rio Grande do Norte",((W280*0.15)+(X280*0.7))*VLOOKUP(P280,'MunicípiosEstados'!$AK$2:$AL$168,2,FALSE),
  O280="Rio Grande do Sul",((W280*0.15)+(X280*0.7))*VLOOKUP(P280,'MunicípiosEstados'!$AM$2:$AN$498,2,FALSE),
  O280="Rio de Janeiro",((W280*0.15)+(X280*0.7))*VLOOKUP(P280,'MunicípiosEstados'!$AO$2:$AP$93,2,FALSE),
  O280="Rondônia",((W280*0.15)+(X280*0.7))*VLOOKUP(P280,'MunicípiosEstados'!$AQ$2:$AR$53,2,FALSE),
  O280="Roraima",((W280*0.15)+(X280*0.7))*VLOOKUP(P280,'MunicípiosEstados'!$AS$2:$AT$16,2,FALSE),
  O280="Santa Catarina",((W280*0.15)+(X280*0.7))*VLOOKUP(P280,'MunicípiosEstados'!$AU$2:$AV$296,2,FALSE),
  O280="São Paulo",((W280*0.15)+(X280*0.7))*VLOOKUP(P280,'MunicípiosEstados'!$AW$2:$AX$646,2,FALSE),
  O280="Sergipe",((W280*0.15)+(X280*0.7))*VLOOKUP(P280,'MunicípiosEstados'!$AY$2:$AZ$76,2,FALSE),
  O280="Tocantins",((W280*0.15)+(X280*0.7))*VLOOKUP(P280,'MunicípiosEstados'!$BA$2:$BB$140,2,FALSE),
  O280="Exterior",((W280*0.15)+(X280*0.7))*VLOOKUP(P280,'MunicípiosEstados'!$BC$2:$BE$221,3,FALSE),TRUE,0
)
</f>
        <v>21645.975</v>
      </c>
      <c r="AL280" s="25">
        <f t="shared" si="3"/>
        <v>23395.975</v>
      </c>
      <c r="AN280" s="31"/>
    </row>
    <row r="281" ht="22.5" hidden="1" customHeight="1">
      <c r="A281" s="15">
        <f t="shared" si="1"/>
        <v>280</v>
      </c>
      <c r="B281" s="16">
        <v>45999.71704201389</v>
      </c>
      <c r="C281" s="17" t="s">
        <v>866</v>
      </c>
      <c r="D281" s="18" t="s">
        <v>443</v>
      </c>
      <c r="E281" s="15" t="str">
        <f>VLOOKUP(G281,DiretoriaDepart.Coord.!$A$1:$C$72,2,FALSE)</f>
        <v>Gestão Institucional</v>
      </c>
      <c r="F281" s="15" t="str">
        <f>VLOOKUP(G281,DiretoriaDepart.Coord.!$A$1:$C$72,3,FALSE)</f>
        <v>Recursos Humanos</v>
      </c>
      <c r="G281" s="17" t="s">
        <v>867</v>
      </c>
      <c r="H281" s="15"/>
      <c r="I281" s="17" t="s">
        <v>1450</v>
      </c>
      <c r="J281" s="17" t="s">
        <v>728</v>
      </c>
      <c r="K281" s="17">
        <v>90.0</v>
      </c>
      <c r="L281" s="15"/>
      <c r="M281" s="17" t="s">
        <v>1451</v>
      </c>
      <c r="N281" s="17">
        <v>0.0</v>
      </c>
      <c r="O281" s="17" t="s">
        <v>714</v>
      </c>
      <c r="P281" s="17" t="s">
        <v>6</v>
      </c>
      <c r="Q281" s="20">
        <v>45901.333333333336</v>
      </c>
      <c r="R281" s="20">
        <v>45910.5</v>
      </c>
      <c r="S281" s="17" t="s">
        <v>451</v>
      </c>
      <c r="T281" s="17" t="s">
        <v>452</v>
      </c>
      <c r="U281" s="28" t="s">
        <v>1452</v>
      </c>
      <c r="V281" s="21" t="s">
        <v>1453</v>
      </c>
      <c r="W281" s="22">
        <v>1215.0</v>
      </c>
      <c r="X281" s="22">
        <v>567.0</v>
      </c>
      <c r="Y281" s="23">
        <v>658800.0</v>
      </c>
      <c r="Z281" s="23">
        <v>0.0</v>
      </c>
      <c r="AA281" s="24">
        <v>0.0</v>
      </c>
      <c r="AB281" s="24">
        <v>0.0</v>
      </c>
      <c r="AC281" s="24">
        <v>0.0</v>
      </c>
      <c r="AD281" s="23">
        <v>0.0</v>
      </c>
      <c r="AE281" s="24">
        <v>0.0</v>
      </c>
      <c r="AF281" s="17" t="s">
        <v>464</v>
      </c>
      <c r="AG281" s="17">
        <v>2702.0</v>
      </c>
      <c r="AH281" s="17" t="s">
        <v>464</v>
      </c>
      <c r="AI281" s="25">
        <f>IF(AF281="Sim",INT((R281-Q281+1))*K281*VLOOKUP(P281,'Tabelas Auxiliares'!$A$1:$C$400,3,FALSE),0)</f>
        <v>20376</v>
      </c>
      <c r="AJ281" s="25">
        <f t="shared" si="2"/>
        <v>1891.4</v>
      </c>
      <c r="AK281" s="25">
        <f>IFS(
  O281="Acre",((W281*0.15)+(X281*0.7))*VLOOKUP(P281,'MunicípiosEstados'!$A$2:$B$23,2,FALSE),
  O281="Alagoas",((W281*0.15)+(X281*0.7))*VLOOKUP(P281,'MunicípiosEstados'!$C$2:$D$103,2,FALSE),
  O281="Amapá",((W281*0.15)+(X281*0.7))*VLOOKUP(P281,'MunicípiosEstados'!$E$2:$F$17,2,FALSE),
  O281="Amazonas",((W281*0.15)+(X281*0.7))*VLOOKUP(P281,'MunicípiosEstados'!$G$2:$H$63,2,FALSE),
  O281="Bahia",((W281*0.15)+(X281*0.7))*VLOOKUP(P281,'MunicípiosEstados'!$I$2:$J$418,2,FALSE),
  O281="Ceará",((W281*0.15)+(X281*0.7))*VLOOKUP(P281,'MunicípiosEstados'!$K$2:$L$185,2,FALSE),
  O281="Distrito Federal",((W281*0.15)+(X281*0.7))*VLOOKUP(P281,'MunicípiosEstados'!$M$2:$N$2,2,FALSE),
  O281="Espírito Santo",((W281*0.15)+(X281*0.7))*VLOOKUP(P281,'MunicípiosEstados'!$O$2:$P$79,2,FALSE),
  O281="Goiás",((W281*0.15)+(X281*0.7))*VLOOKUP(P281,'MunicípiosEstados'!$Q$2:$R$247,2,FALSE),
  O281="Maranhão",((W281*0.15)+(X281*0.7))*VLOOKUP(P281,'MunicípiosEstados'!$S$2:$T$218,2,FALSE),
  O281="Mato Grosso",((W281*0.15)+(X281*0.7))*VLOOKUP(P281,'MunicípiosEstados'!$U$2:$V$143,2,FALSE),
  O281="Mato Grosso do Sul",((W281*0.15)+(X281*0.7))*VLOOKUP(P281,'MunicípiosEstados'!$W$2:$X$80,2,FALSE),
  O281="Minas Gerais",((W281*0.15)+(X281*0.7))*VLOOKUP(P281,'MunicípiosEstados'!$Y$2:$Z$854,2,FALSE),
  O281="Pará",((W281*0.15)+(X281*0.7))*VLOOKUP(P281,'MunicípiosEstados'!$AA$2:$AB$145,2,FALSE),
  O281="Paraíba",((W281*0.15)+(X281*0.7))*VLOOKUP(P281,'MunicípiosEstados'!$AC$2:$AD$224,2,FALSE),
  O281="Paraná",((W281*0.15)+(X281*0.7))*VLOOKUP(P281,'MunicípiosEstados'!$AE$2:$AF$400,2,FALSE),
  O281="Pernambuco",((W281*0.15)+(X281*0.7))*VLOOKUP(P281,'MunicípiosEstados'!$AG$2:$AH$186,2,FALSE),
  O281="Piauí",((W281*0.15)+(X281*0.7))*VLOOKUP(P281,'MunicípiosEstados'!$AI$2:$AJ$225,2,FALSE),
  O281="Rio Grande do Norte",((W281*0.15)+(X281*0.7))*VLOOKUP(P281,'MunicípiosEstados'!$AK$2:$AL$168,2,FALSE),
  O281="Rio Grande do Sul",((W281*0.15)+(X281*0.7))*VLOOKUP(P281,'MunicípiosEstados'!$AM$2:$AN$498,2,FALSE),
  O281="Rio de Janeiro",((W281*0.15)+(X281*0.7))*VLOOKUP(P281,'MunicípiosEstados'!$AO$2:$AP$93,2,FALSE),
  O281="Rondônia",((W281*0.15)+(X281*0.7))*VLOOKUP(P281,'MunicípiosEstados'!$AQ$2:$AR$53,2,FALSE),
  O281="Roraima",((W281*0.15)+(X281*0.7))*VLOOKUP(P281,'MunicípiosEstados'!$AS$2:$AT$16,2,FALSE),
  O281="Santa Catarina",((W281*0.15)+(X281*0.7))*VLOOKUP(P281,'MunicípiosEstados'!$AU$2:$AV$296,2,FALSE),
  O281="São Paulo",((W281*0.15)+(X281*0.7))*VLOOKUP(P281,'MunicípiosEstados'!$AW$2:$AX$646,2,FALSE),
  O281="Sergipe",((W281*0.15)+(X281*0.7))*VLOOKUP(P281,'MunicípiosEstados'!$AY$2:$AZ$76,2,FALSE),
  O281="Tocantins",((W281*0.15)+(X281*0.7))*VLOOKUP(P281,'MunicípiosEstados'!$BA$2:$BB$140,2,FALSE),
  O281="Exterior",((W281*0.15)+(X281*0.7))*VLOOKUP(P281,'MunicípiosEstados'!$BC$2:$BE$221,3,FALSE),TRUE,0
)
</f>
        <v>215015.229</v>
      </c>
      <c r="AL281" s="25">
        <f t="shared" si="3"/>
        <v>896082.629</v>
      </c>
      <c r="AN281" s="31"/>
    </row>
    <row r="282" ht="22.5" hidden="1" customHeight="1">
      <c r="A282" s="15">
        <f t="shared" si="1"/>
        <v>281</v>
      </c>
      <c r="B282" s="16">
        <v>45999.72070118056</v>
      </c>
      <c r="C282" s="17" t="s">
        <v>866</v>
      </c>
      <c r="D282" s="18" t="s">
        <v>443</v>
      </c>
      <c r="E282" s="15" t="str">
        <f>VLOOKUP(G282,DiretoriaDepart.Coord.!$A$1:$C$72,2,FALSE)</f>
        <v>Gestão Institucional</v>
      </c>
      <c r="F282" s="15" t="str">
        <f>VLOOKUP(G282,DiretoriaDepart.Coord.!$A$1:$C$72,3,FALSE)</f>
        <v>Recursos Humanos</v>
      </c>
      <c r="G282" s="17" t="s">
        <v>867</v>
      </c>
      <c r="H282" s="15"/>
      <c r="I282" s="17" t="s">
        <v>1454</v>
      </c>
      <c r="J282" s="17" t="s">
        <v>728</v>
      </c>
      <c r="K282" s="17">
        <v>100.0</v>
      </c>
      <c r="L282" s="15"/>
      <c r="M282" s="17" t="s">
        <v>1455</v>
      </c>
      <c r="N282" s="17">
        <v>0.0</v>
      </c>
      <c r="O282" s="17" t="s">
        <v>714</v>
      </c>
      <c r="P282" s="17" t="s">
        <v>6</v>
      </c>
      <c r="Q282" s="20">
        <v>45708.333333333336</v>
      </c>
      <c r="R282" s="20">
        <v>45712.708333333336</v>
      </c>
      <c r="S282" s="17" t="s">
        <v>451</v>
      </c>
      <c r="T282" s="17" t="s">
        <v>747</v>
      </c>
      <c r="U282" s="21" t="s">
        <v>1456</v>
      </c>
      <c r="V282" s="21" t="s">
        <v>1457</v>
      </c>
      <c r="W282" s="22">
        <v>0.0</v>
      </c>
      <c r="X282" s="22">
        <v>0.0</v>
      </c>
      <c r="Y282" s="23">
        <v>120000.0</v>
      </c>
      <c r="Z282" s="23">
        <v>0.0</v>
      </c>
      <c r="AA282" s="24">
        <v>0.0</v>
      </c>
      <c r="AB282" s="24">
        <v>0.0</v>
      </c>
      <c r="AC282" s="24">
        <v>0.0</v>
      </c>
      <c r="AD282" s="23">
        <v>0.0</v>
      </c>
      <c r="AE282" s="24">
        <v>0.0</v>
      </c>
      <c r="AF282" s="17" t="s">
        <v>451</v>
      </c>
      <c r="AG282" s="17">
        <v>0.0</v>
      </c>
      <c r="AH282" s="17" t="s">
        <v>464</v>
      </c>
      <c r="AI282" s="25">
        <f>IF(AF282="Sim",INT((R282-Q282+1))*K282*VLOOKUP(P282,'Tabelas Auxiliares'!$A$1:$C$400,3,FALSE),0)</f>
        <v>0</v>
      </c>
      <c r="AJ282" s="25">
        <f t="shared" si="2"/>
        <v>0</v>
      </c>
      <c r="AK282" s="25">
        <f>IFS(
  O282="Acre",((W282*0.15)+(X282*0.7))*VLOOKUP(P282,'MunicípiosEstados'!$A$2:$B$23,2,FALSE),
  O282="Alagoas",((W282*0.15)+(X282*0.7))*VLOOKUP(P282,'MunicípiosEstados'!$C$2:$D$103,2,FALSE),
  O282="Amapá",((W282*0.15)+(X282*0.7))*VLOOKUP(P282,'MunicípiosEstados'!$E$2:$F$17,2,FALSE),
  O282="Amazonas",((W282*0.15)+(X282*0.7))*VLOOKUP(P282,'MunicípiosEstados'!$G$2:$H$63,2,FALSE),
  O282="Bahia",((W282*0.15)+(X282*0.7))*VLOOKUP(P282,'MunicípiosEstados'!$I$2:$J$418,2,FALSE),
  O282="Ceará",((W282*0.15)+(X282*0.7))*VLOOKUP(P282,'MunicípiosEstados'!$K$2:$L$185,2,FALSE),
  O282="Distrito Federal",((W282*0.15)+(X282*0.7))*VLOOKUP(P282,'MunicípiosEstados'!$M$2:$N$2,2,FALSE),
  O282="Espírito Santo",((W282*0.15)+(X282*0.7))*VLOOKUP(P282,'MunicípiosEstados'!$O$2:$P$79,2,FALSE),
  O282="Goiás",((W282*0.15)+(X282*0.7))*VLOOKUP(P282,'MunicípiosEstados'!$Q$2:$R$247,2,FALSE),
  O282="Maranhão",((W282*0.15)+(X282*0.7))*VLOOKUP(P282,'MunicípiosEstados'!$S$2:$T$218,2,FALSE),
  O282="Mato Grosso",((W282*0.15)+(X282*0.7))*VLOOKUP(P282,'MunicípiosEstados'!$U$2:$V$143,2,FALSE),
  O282="Mato Grosso do Sul",((W282*0.15)+(X282*0.7))*VLOOKUP(P282,'MunicípiosEstados'!$W$2:$X$80,2,FALSE),
  O282="Minas Gerais",((W282*0.15)+(X282*0.7))*VLOOKUP(P282,'MunicípiosEstados'!$Y$2:$Z$854,2,FALSE),
  O282="Pará",((W282*0.15)+(X282*0.7))*VLOOKUP(P282,'MunicípiosEstados'!$AA$2:$AB$145,2,FALSE),
  O282="Paraíba",((W282*0.15)+(X282*0.7))*VLOOKUP(P282,'MunicípiosEstados'!$AC$2:$AD$224,2,FALSE),
  O282="Paraná",((W282*0.15)+(X282*0.7))*VLOOKUP(P282,'MunicípiosEstados'!$AE$2:$AF$400,2,FALSE),
  O282="Pernambuco",((W282*0.15)+(X282*0.7))*VLOOKUP(P282,'MunicípiosEstados'!$AG$2:$AH$186,2,FALSE),
  O282="Piauí",((W282*0.15)+(X282*0.7))*VLOOKUP(P282,'MunicípiosEstados'!$AI$2:$AJ$225,2,FALSE),
  O282="Rio Grande do Norte",((W282*0.15)+(X282*0.7))*VLOOKUP(P282,'MunicípiosEstados'!$AK$2:$AL$168,2,FALSE),
  O282="Rio Grande do Sul",((W282*0.15)+(X282*0.7))*VLOOKUP(P282,'MunicípiosEstados'!$AM$2:$AN$498,2,FALSE),
  O282="Rio de Janeiro",((W282*0.15)+(X282*0.7))*VLOOKUP(P282,'MunicípiosEstados'!$AO$2:$AP$93,2,FALSE),
  O282="Rondônia",((W282*0.15)+(X282*0.7))*VLOOKUP(P282,'MunicípiosEstados'!$AQ$2:$AR$53,2,FALSE),
  O282="Roraima",((W282*0.15)+(X282*0.7))*VLOOKUP(P282,'MunicípiosEstados'!$AS$2:$AT$16,2,FALSE),
  O282="Santa Catarina",((W282*0.15)+(X282*0.7))*VLOOKUP(P282,'MunicípiosEstados'!$AU$2:$AV$296,2,FALSE),
  O282="São Paulo",((W282*0.15)+(X282*0.7))*VLOOKUP(P282,'MunicípiosEstados'!$AW$2:$AX$646,2,FALSE),
  O282="Sergipe",((W282*0.15)+(X282*0.7))*VLOOKUP(P282,'MunicípiosEstados'!$AY$2:$AZ$76,2,FALSE),
  O282="Tocantins",((W282*0.15)+(X282*0.7))*VLOOKUP(P282,'MunicípiosEstados'!$BA$2:$BB$140,2,FALSE),
  O282="Exterior",((W282*0.15)+(X282*0.7))*VLOOKUP(P282,'MunicípiosEstados'!$BC$2:$BE$221,3,FALSE),TRUE,0
)
</f>
        <v>0</v>
      </c>
      <c r="AL282" s="25">
        <f t="shared" si="3"/>
        <v>120000</v>
      </c>
      <c r="AN282" s="31"/>
    </row>
    <row r="283" ht="22.5" hidden="1" customHeight="1">
      <c r="A283" s="15">
        <f t="shared" si="1"/>
        <v>282</v>
      </c>
      <c r="B283" s="16">
        <v>45999.738781238426</v>
      </c>
      <c r="C283" s="17" t="s">
        <v>1458</v>
      </c>
      <c r="D283" s="18" t="s">
        <v>456</v>
      </c>
      <c r="E283" s="15" t="str">
        <f>VLOOKUP(G283,DiretoriaDepart.Coord.!$A$1:$C$72,2,FALSE)</f>
        <v>Pesquisa e Inovação</v>
      </c>
      <c r="F283" s="15" t="str">
        <f>VLOOKUP(G283,DiretoriaDepart.Coord.!$A$1:$C$72,3,FALSE)</f>
        <v>Pesquisa e Capacitação</v>
      </c>
      <c r="G283" s="17" t="s">
        <v>1459</v>
      </c>
      <c r="H283" s="15"/>
      <c r="I283" s="17" t="s">
        <v>1460</v>
      </c>
      <c r="J283" s="17" t="s">
        <v>728</v>
      </c>
      <c r="K283" s="17">
        <v>1.0</v>
      </c>
      <c r="L283" s="17" t="s">
        <v>1461</v>
      </c>
      <c r="M283" s="17" t="s">
        <v>1462</v>
      </c>
      <c r="N283" s="17">
        <v>10.0</v>
      </c>
      <c r="O283" s="17" t="s">
        <v>714</v>
      </c>
      <c r="P283" s="17" t="s">
        <v>26</v>
      </c>
      <c r="Q283" s="20">
        <v>45781.333333333336</v>
      </c>
      <c r="R283" s="20">
        <v>45785.708333333336</v>
      </c>
      <c r="S283" s="17" t="s">
        <v>451</v>
      </c>
      <c r="T283" s="17" t="s">
        <v>452</v>
      </c>
      <c r="U283" s="28" t="s">
        <v>1463</v>
      </c>
      <c r="V283" s="21" t="s">
        <v>1464</v>
      </c>
      <c r="W283" s="22">
        <v>9.0</v>
      </c>
      <c r="X283" s="22">
        <v>4.0</v>
      </c>
      <c r="Y283" s="23">
        <v>350.0</v>
      </c>
      <c r="Z283" s="23">
        <v>0.0</v>
      </c>
      <c r="AA283" s="24">
        <v>0.0</v>
      </c>
      <c r="AB283" s="24">
        <v>0.0</v>
      </c>
      <c r="AC283" s="24">
        <v>0.0</v>
      </c>
      <c r="AD283" s="23">
        <v>0.0</v>
      </c>
      <c r="AE283" s="24">
        <v>0.0</v>
      </c>
      <c r="AF283" s="17" t="s">
        <v>451</v>
      </c>
      <c r="AG283" s="17">
        <v>200.0</v>
      </c>
      <c r="AH283" s="17" t="s">
        <v>451</v>
      </c>
      <c r="AI283" s="25">
        <f>IF(AF283="Sim",INT((R283-Q283+1))*K283*VLOOKUP(P283,'Tabelas Auxiliares'!$A$1:$C$400,3,FALSE),0)</f>
        <v>0</v>
      </c>
      <c r="AJ283" s="25">
        <f t="shared" si="2"/>
        <v>140</v>
      </c>
      <c r="AK283" s="25">
        <f>IFS(
  O283="Acre",((W283*0.15)+(X283*0.7))*VLOOKUP(P283,'MunicípiosEstados'!$A$2:$B$23,2,FALSE),
  O283="Alagoas",((W283*0.15)+(X283*0.7))*VLOOKUP(P283,'MunicípiosEstados'!$C$2:$D$103,2,FALSE),
  O283="Amapá",((W283*0.15)+(X283*0.7))*VLOOKUP(P283,'MunicípiosEstados'!$E$2:$F$17,2,FALSE),
  O283="Amazonas",((W283*0.15)+(X283*0.7))*VLOOKUP(P283,'MunicípiosEstados'!$G$2:$H$63,2,FALSE),
  O283="Bahia",((W283*0.15)+(X283*0.7))*VLOOKUP(P283,'MunicípiosEstados'!$I$2:$J$418,2,FALSE),
  O283="Ceará",((W283*0.15)+(X283*0.7))*VLOOKUP(P283,'MunicípiosEstados'!$K$2:$L$185,2,FALSE),
  O283="Distrito Federal",((W283*0.15)+(X283*0.7))*VLOOKUP(P283,'MunicípiosEstados'!$M$2:$N$2,2,FALSE),
  O283="Espírito Santo",((W283*0.15)+(X283*0.7))*VLOOKUP(P283,'MunicípiosEstados'!$O$2:$P$79,2,FALSE),
  O283="Goiás",((W283*0.15)+(X283*0.7))*VLOOKUP(P283,'MunicípiosEstados'!$Q$2:$R$247,2,FALSE),
  O283="Maranhão",((W283*0.15)+(X283*0.7))*VLOOKUP(P283,'MunicípiosEstados'!$S$2:$T$218,2,FALSE),
  O283="Mato Grosso",((W283*0.15)+(X283*0.7))*VLOOKUP(P283,'MunicípiosEstados'!$U$2:$V$143,2,FALSE),
  O283="Mato Grosso do Sul",((W283*0.15)+(X283*0.7))*VLOOKUP(P283,'MunicípiosEstados'!$W$2:$X$80,2,FALSE),
  O283="Minas Gerais",((W283*0.15)+(X283*0.7))*VLOOKUP(P283,'MunicípiosEstados'!$Y$2:$Z$854,2,FALSE),
  O283="Pará",((W283*0.15)+(X283*0.7))*VLOOKUP(P283,'MunicípiosEstados'!$AA$2:$AB$145,2,FALSE),
  O283="Paraíba",((W283*0.15)+(X283*0.7))*VLOOKUP(P283,'MunicípiosEstados'!$AC$2:$AD$224,2,FALSE),
  O283="Paraná",((W283*0.15)+(X283*0.7))*VLOOKUP(P283,'MunicípiosEstados'!$AE$2:$AF$400,2,FALSE),
  O283="Pernambuco",((W283*0.15)+(X283*0.7))*VLOOKUP(P283,'MunicípiosEstados'!$AG$2:$AH$186,2,FALSE),
  O283="Piauí",((W283*0.15)+(X283*0.7))*VLOOKUP(P283,'MunicípiosEstados'!$AI$2:$AJ$225,2,FALSE),
  O283="Rio Grande do Norte",((W283*0.15)+(X283*0.7))*VLOOKUP(P283,'MunicípiosEstados'!$AK$2:$AL$168,2,FALSE),
  O283="Rio Grande do Sul",((W283*0.15)+(X283*0.7))*VLOOKUP(P283,'MunicípiosEstados'!$AM$2:$AN$498,2,FALSE),
  O283="Rio de Janeiro",((W283*0.15)+(X283*0.7))*VLOOKUP(P283,'MunicípiosEstados'!$AO$2:$AP$93,2,FALSE),
  O283="Rondônia",((W283*0.15)+(X283*0.7))*VLOOKUP(P283,'MunicípiosEstados'!$AQ$2:$AR$53,2,FALSE),
  O283="Roraima",((W283*0.15)+(X283*0.7))*VLOOKUP(P283,'MunicípiosEstados'!$AS$2:$AT$16,2,FALSE),
  O283="Santa Catarina",((W283*0.15)+(X283*0.7))*VLOOKUP(P283,'MunicípiosEstados'!$AU$2:$AV$296,2,FALSE),
  O283="São Paulo",((W283*0.15)+(X283*0.7))*VLOOKUP(P283,'MunicípiosEstados'!$AW$2:$AX$646,2,FALSE),
  O283="Sergipe",((W283*0.15)+(X283*0.7))*VLOOKUP(P283,'MunicípiosEstados'!$AY$2:$AZ$76,2,FALSE),
  O283="Tocantins",((W283*0.15)+(X283*0.7))*VLOOKUP(P283,'MunicípiosEstados'!$BA$2:$BB$140,2,FALSE),
  O283="Exterior",((W283*0.15)+(X283*0.7))*VLOOKUP(P283,'MunicípiosEstados'!$BC$2:$BE$221,3,FALSE),TRUE,0
)
</f>
        <v>1205.7825</v>
      </c>
      <c r="AL283" s="25">
        <f t="shared" si="3"/>
        <v>1695.7825</v>
      </c>
      <c r="AN283" s="29" t="s">
        <v>456</v>
      </c>
    </row>
    <row r="284" ht="22.5" hidden="1" customHeight="1">
      <c r="A284" s="15">
        <f t="shared" si="1"/>
        <v>283</v>
      </c>
      <c r="B284" s="16">
        <v>45999.7572894676</v>
      </c>
      <c r="C284" s="17" t="s">
        <v>512</v>
      </c>
      <c r="D284" s="18" t="s">
        <v>443</v>
      </c>
      <c r="E284" s="15" t="str">
        <f>VLOOKUP(G284,DiretoriaDepart.Coord.!$A$1:$C$72,2,FALSE)</f>
        <v>Extensão Rural</v>
      </c>
      <c r="F284" s="15" t="str">
        <f>VLOOKUP(G284,DiretoriaDepart.Coord.!$A$1:$C$72,3,FALSE)</f>
        <v>Políticas Públicas</v>
      </c>
      <c r="G284" s="17" t="s">
        <v>513</v>
      </c>
      <c r="H284" s="15"/>
      <c r="I284" s="17" t="s">
        <v>1465</v>
      </c>
      <c r="J284" s="17" t="s">
        <v>446</v>
      </c>
      <c r="K284" s="17">
        <v>23.0</v>
      </c>
      <c r="L284" s="17" t="s">
        <v>706</v>
      </c>
      <c r="M284" s="17" t="s">
        <v>1466</v>
      </c>
      <c r="N284" s="17">
        <v>127.0</v>
      </c>
      <c r="O284" s="17" t="s">
        <v>714</v>
      </c>
      <c r="P284" s="17" t="s">
        <v>34</v>
      </c>
      <c r="Q284" s="20">
        <v>45776.333333333336</v>
      </c>
      <c r="R284" s="20">
        <v>45777.708333333336</v>
      </c>
      <c r="S284" s="17" t="s">
        <v>451</v>
      </c>
      <c r="T284" s="17" t="s">
        <v>452</v>
      </c>
      <c r="U284" s="28" t="s">
        <v>520</v>
      </c>
      <c r="V284" s="21" t="s">
        <v>1467</v>
      </c>
      <c r="W284" s="22">
        <v>207.0</v>
      </c>
      <c r="X284" s="22">
        <v>69.0</v>
      </c>
      <c r="Y284" s="23">
        <v>0.0</v>
      </c>
      <c r="Z284" s="23">
        <v>500.0</v>
      </c>
      <c r="AA284" s="24">
        <v>0.0</v>
      </c>
      <c r="AB284" s="24">
        <v>0.0</v>
      </c>
      <c r="AC284" s="24">
        <v>0.0</v>
      </c>
      <c r="AD284" s="23">
        <v>0.0</v>
      </c>
      <c r="AE284" s="24">
        <v>0.0</v>
      </c>
      <c r="AF284" s="17" t="s">
        <v>464</v>
      </c>
      <c r="AG284" s="17">
        <v>7000.0</v>
      </c>
      <c r="AH284" s="17" t="s">
        <v>451</v>
      </c>
      <c r="AI284" s="25">
        <f>IF(AF284="Sim",INT((R284-Q284+1))*K284*VLOOKUP(P284,'Tabelas Auxiliares'!$A$1:$C$400,3,FALSE),0)</f>
        <v>1041.44</v>
      </c>
      <c r="AJ284" s="25">
        <f t="shared" si="2"/>
        <v>4900</v>
      </c>
      <c r="AK284" s="25">
        <f>IFS(
  O284="Acre",((W284*0.15)+(X284*0.7))*VLOOKUP(P284,'MunicípiosEstados'!$A$2:$B$23,2,FALSE),
  O284="Alagoas",((W284*0.15)+(X284*0.7))*VLOOKUP(P284,'MunicípiosEstados'!$C$2:$D$103,2,FALSE),
  O284="Amapá",((W284*0.15)+(X284*0.7))*VLOOKUP(P284,'MunicípiosEstados'!$E$2:$F$17,2,FALSE),
  O284="Amazonas",((W284*0.15)+(X284*0.7))*VLOOKUP(P284,'MunicípiosEstados'!$G$2:$H$63,2,FALSE),
  O284="Bahia",((W284*0.15)+(X284*0.7))*VLOOKUP(P284,'MunicípiosEstados'!$I$2:$J$418,2,FALSE),
  O284="Ceará",((W284*0.15)+(X284*0.7))*VLOOKUP(P284,'MunicípiosEstados'!$K$2:$L$185,2,FALSE),
  O284="Distrito Federal",((W284*0.15)+(X284*0.7))*VLOOKUP(P284,'MunicípiosEstados'!$M$2:$N$2,2,FALSE),
  O284="Espírito Santo",((W284*0.15)+(X284*0.7))*VLOOKUP(P284,'MunicípiosEstados'!$O$2:$P$79,2,FALSE),
  O284="Goiás",((W284*0.15)+(X284*0.7))*VLOOKUP(P284,'MunicípiosEstados'!$Q$2:$R$247,2,FALSE),
  O284="Maranhão",((W284*0.15)+(X284*0.7))*VLOOKUP(P284,'MunicípiosEstados'!$S$2:$T$218,2,FALSE),
  O284="Mato Grosso",((W284*0.15)+(X284*0.7))*VLOOKUP(P284,'MunicípiosEstados'!$U$2:$V$143,2,FALSE),
  O284="Mato Grosso do Sul",((W284*0.15)+(X284*0.7))*VLOOKUP(P284,'MunicípiosEstados'!$W$2:$X$80,2,FALSE),
  O284="Minas Gerais",((W284*0.15)+(X284*0.7))*VLOOKUP(P284,'MunicípiosEstados'!$Y$2:$Z$854,2,FALSE),
  O284="Pará",((W284*0.15)+(X284*0.7))*VLOOKUP(P284,'MunicípiosEstados'!$AA$2:$AB$145,2,FALSE),
  O284="Paraíba",((W284*0.15)+(X284*0.7))*VLOOKUP(P284,'MunicípiosEstados'!$AC$2:$AD$224,2,FALSE),
  O284="Paraná",((W284*0.15)+(X284*0.7))*VLOOKUP(P284,'MunicípiosEstados'!$AE$2:$AF$400,2,FALSE),
  O284="Pernambuco",((W284*0.15)+(X284*0.7))*VLOOKUP(P284,'MunicípiosEstados'!$AG$2:$AH$186,2,FALSE),
  O284="Piauí",((W284*0.15)+(X284*0.7))*VLOOKUP(P284,'MunicípiosEstados'!$AI$2:$AJ$225,2,FALSE),
  O284="Rio Grande do Norte",((W284*0.15)+(X284*0.7))*VLOOKUP(P284,'MunicípiosEstados'!$AK$2:$AL$168,2,FALSE),
  O284="Rio Grande do Sul",((W284*0.15)+(X284*0.7))*VLOOKUP(P284,'MunicípiosEstados'!$AM$2:$AN$498,2,FALSE),
  O284="Rio de Janeiro",((W284*0.15)+(X284*0.7))*VLOOKUP(P284,'MunicípiosEstados'!$AO$2:$AP$93,2,FALSE),
  O284="Rondônia",((W284*0.15)+(X284*0.7))*VLOOKUP(P284,'MunicípiosEstados'!$AQ$2:$AR$53,2,FALSE),
  O284="Roraima",((W284*0.15)+(X284*0.7))*VLOOKUP(P284,'MunicípiosEstados'!$AS$2:$AT$16,2,FALSE),
  O284="Santa Catarina",((W284*0.15)+(X284*0.7))*VLOOKUP(P284,'MunicípiosEstados'!$AU$2:$AV$296,2,FALSE),
  O284="São Paulo",((W284*0.15)+(X284*0.7))*VLOOKUP(P284,'MunicípiosEstados'!$AW$2:$AX$646,2,FALSE),
  O284="Sergipe",((W284*0.15)+(X284*0.7))*VLOOKUP(P284,'MunicípiosEstados'!$AY$2:$AZ$76,2,FALSE),
  O284="Tocantins",((W284*0.15)+(X284*0.7))*VLOOKUP(P284,'MunicípiosEstados'!$BA$2:$BB$140,2,FALSE),
  O284="Exterior",((W284*0.15)+(X284*0.7))*VLOOKUP(P284,'MunicípiosEstados'!$BC$2:$BE$221,3,FALSE),TRUE,0
)
</f>
        <v>23055.1425</v>
      </c>
      <c r="AL284" s="25">
        <f t="shared" si="3"/>
        <v>29496.5825</v>
      </c>
      <c r="AN284" s="31"/>
    </row>
    <row r="285" ht="22.5" hidden="1" customHeight="1">
      <c r="A285" s="15">
        <f t="shared" si="1"/>
        <v>284</v>
      </c>
      <c r="B285" s="16">
        <v>45999.81577002315</v>
      </c>
      <c r="C285" s="17" t="s">
        <v>512</v>
      </c>
      <c r="D285" s="18" t="s">
        <v>443</v>
      </c>
      <c r="E285" s="15" t="str">
        <f>VLOOKUP(G285,DiretoriaDepart.Coord.!$A$1:$C$72,2,FALSE)</f>
        <v>Extensão Rural</v>
      </c>
      <c r="F285" s="15" t="str">
        <f>VLOOKUP(G285,DiretoriaDepart.Coord.!$A$1:$C$72,3,FALSE)</f>
        <v>Políticas Públicas</v>
      </c>
      <c r="G285" s="17" t="s">
        <v>513</v>
      </c>
      <c r="H285" s="15"/>
      <c r="I285" s="17" t="s">
        <v>1468</v>
      </c>
      <c r="J285" s="17" t="s">
        <v>446</v>
      </c>
      <c r="K285" s="17">
        <v>8.0</v>
      </c>
      <c r="L285" s="17" t="s">
        <v>1469</v>
      </c>
      <c r="M285" s="17" t="s">
        <v>948</v>
      </c>
      <c r="N285" s="17">
        <v>60.0</v>
      </c>
      <c r="O285" s="17" t="s">
        <v>714</v>
      </c>
      <c r="P285" s="17" t="s">
        <v>1470</v>
      </c>
      <c r="Q285" s="20">
        <v>45824.375</v>
      </c>
      <c r="R285" s="20">
        <v>45825.708333333336</v>
      </c>
      <c r="S285" s="17" t="s">
        <v>451</v>
      </c>
      <c r="T285" s="17" t="s">
        <v>452</v>
      </c>
      <c r="U285" s="28" t="s">
        <v>520</v>
      </c>
      <c r="V285" s="21" t="s">
        <v>1471</v>
      </c>
      <c r="W285" s="22">
        <v>48.0</v>
      </c>
      <c r="X285" s="22">
        <v>24.0</v>
      </c>
      <c r="Y285" s="23">
        <v>0.0</v>
      </c>
      <c r="Z285" s="23">
        <v>5000.0</v>
      </c>
      <c r="AA285" s="24">
        <v>6000.0</v>
      </c>
      <c r="AB285" s="24">
        <v>0.0</v>
      </c>
      <c r="AC285" s="24">
        <v>400.0</v>
      </c>
      <c r="AD285" s="23">
        <v>0.0</v>
      </c>
      <c r="AE285" s="24">
        <v>0.0</v>
      </c>
      <c r="AF285" s="17" t="s">
        <v>464</v>
      </c>
      <c r="AG285" s="17">
        <v>2500.0</v>
      </c>
      <c r="AH285" s="17" t="s">
        <v>451</v>
      </c>
      <c r="AI285" s="25">
        <f>IF(AF285="Sim",INT((R285-Q285+1))*K285*VLOOKUP(P285,'Tabelas Auxiliares'!$A$1:$C$400,3,FALSE),0)</f>
        <v>362.24</v>
      </c>
      <c r="AJ285" s="25">
        <f t="shared" si="2"/>
        <v>1750</v>
      </c>
      <c r="AK285" s="25">
        <f>IFS(
  O285="Acre",((W285*0.15)+(X285*0.7))*VLOOKUP(P285,'MunicípiosEstados'!$A$2:$B$23,2,FALSE),
  O285="Alagoas",((W285*0.15)+(X285*0.7))*VLOOKUP(P285,'MunicípiosEstados'!$C$2:$D$103,2,FALSE),
  O285="Amapá",((W285*0.15)+(X285*0.7))*VLOOKUP(P285,'MunicípiosEstados'!$E$2:$F$17,2,FALSE),
  O285="Amazonas",((W285*0.15)+(X285*0.7))*VLOOKUP(P285,'MunicípiosEstados'!$G$2:$H$63,2,FALSE),
  O285="Bahia",((W285*0.15)+(X285*0.7))*VLOOKUP(P285,'MunicípiosEstados'!$I$2:$J$418,2,FALSE),
  O285="Ceará",((W285*0.15)+(X285*0.7))*VLOOKUP(P285,'MunicípiosEstados'!$K$2:$L$185,2,FALSE),
  O285="Distrito Federal",((W285*0.15)+(X285*0.7))*VLOOKUP(P285,'MunicípiosEstados'!$M$2:$N$2,2,FALSE),
  O285="Espírito Santo",((W285*0.15)+(X285*0.7))*VLOOKUP(P285,'MunicípiosEstados'!$O$2:$P$79,2,FALSE),
  O285="Goiás",((W285*0.15)+(X285*0.7))*VLOOKUP(P285,'MunicípiosEstados'!$Q$2:$R$247,2,FALSE),
  O285="Maranhão",((W285*0.15)+(X285*0.7))*VLOOKUP(P285,'MunicípiosEstados'!$S$2:$T$218,2,FALSE),
  O285="Mato Grosso",((W285*0.15)+(X285*0.7))*VLOOKUP(P285,'MunicípiosEstados'!$U$2:$V$143,2,FALSE),
  O285="Mato Grosso do Sul",((W285*0.15)+(X285*0.7))*VLOOKUP(P285,'MunicípiosEstados'!$W$2:$X$80,2,FALSE),
  O285="Minas Gerais",((W285*0.15)+(X285*0.7))*VLOOKUP(P285,'MunicípiosEstados'!$Y$2:$Z$854,2,FALSE),
  O285="Pará",((W285*0.15)+(X285*0.7))*VLOOKUP(P285,'MunicípiosEstados'!$AA$2:$AB$145,2,FALSE),
  O285="Paraíba",((W285*0.15)+(X285*0.7))*VLOOKUP(P285,'MunicípiosEstados'!$AC$2:$AD$224,2,FALSE),
  O285="Paraná",((W285*0.15)+(X285*0.7))*VLOOKUP(P285,'MunicípiosEstados'!$AE$2:$AF$400,2,FALSE),
  O285="Pernambuco",((W285*0.15)+(X285*0.7))*VLOOKUP(P285,'MunicípiosEstados'!$AG$2:$AH$186,2,FALSE),
  O285="Piauí",((W285*0.15)+(X285*0.7))*VLOOKUP(P285,'MunicípiosEstados'!$AI$2:$AJ$225,2,FALSE),
  O285="Rio Grande do Norte",((W285*0.15)+(X285*0.7))*VLOOKUP(P285,'MunicípiosEstados'!$AK$2:$AL$168,2,FALSE),
  O285="Rio Grande do Sul",((W285*0.15)+(X285*0.7))*VLOOKUP(P285,'MunicípiosEstados'!$AM$2:$AN$498,2,FALSE),
  O285="Rio de Janeiro",((W285*0.15)+(X285*0.7))*VLOOKUP(P285,'MunicípiosEstados'!$AO$2:$AP$93,2,FALSE),
  O285="Rondônia",((W285*0.15)+(X285*0.7))*VLOOKUP(P285,'MunicípiosEstados'!$AQ$2:$AR$53,2,FALSE),
  O285="Roraima",((W285*0.15)+(X285*0.7))*VLOOKUP(P285,'MunicípiosEstados'!$AS$2:$AT$16,2,FALSE),
  O285="Santa Catarina",((W285*0.15)+(X285*0.7))*VLOOKUP(P285,'MunicípiosEstados'!$AU$2:$AV$296,2,FALSE),
  O285="São Paulo",((W285*0.15)+(X285*0.7))*VLOOKUP(P285,'MunicípiosEstados'!$AW$2:$AX$646,2,FALSE),
  O285="Sergipe",((W285*0.15)+(X285*0.7))*VLOOKUP(P285,'MunicípiosEstados'!$AY$2:$AZ$76,2,FALSE),
  O285="Tocantins",((W285*0.15)+(X285*0.7))*VLOOKUP(P285,'MunicípiosEstados'!$BA$2:$BB$140,2,FALSE),
  O285="Exterior",((W285*0.15)+(X285*0.7))*VLOOKUP(P285,'MunicípiosEstados'!$BC$2:$BE$221,3,FALSE),TRUE,0
)
</f>
        <v>8910.24</v>
      </c>
      <c r="AL285" s="25">
        <f t="shared" si="3"/>
        <v>22422.48</v>
      </c>
      <c r="AN285" s="31"/>
    </row>
    <row r="286" ht="22.5" hidden="1" customHeight="1">
      <c r="A286" s="15">
        <f t="shared" si="1"/>
        <v>285</v>
      </c>
      <c r="B286" s="16">
        <v>45999.8231009375</v>
      </c>
      <c r="C286" s="17" t="s">
        <v>512</v>
      </c>
      <c r="D286" s="18" t="s">
        <v>443</v>
      </c>
      <c r="E286" s="15" t="str">
        <f>VLOOKUP(G286,DiretoriaDepart.Coord.!$A$1:$C$72,2,FALSE)</f>
        <v>Extensão Rural</v>
      </c>
      <c r="F286" s="15" t="str">
        <f>VLOOKUP(G286,DiretoriaDepart.Coord.!$A$1:$C$72,3,FALSE)</f>
        <v>Políticas Públicas</v>
      </c>
      <c r="G286" s="17" t="s">
        <v>513</v>
      </c>
      <c r="H286" s="15"/>
      <c r="I286" s="17" t="s">
        <v>1472</v>
      </c>
      <c r="J286" s="17" t="s">
        <v>645</v>
      </c>
      <c r="K286" s="17">
        <v>3.0</v>
      </c>
      <c r="L286" s="17" t="s">
        <v>706</v>
      </c>
      <c r="M286" s="17" t="s">
        <v>1466</v>
      </c>
      <c r="N286" s="17">
        <v>15.0</v>
      </c>
      <c r="O286" s="17" t="s">
        <v>714</v>
      </c>
      <c r="P286" s="17" t="s">
        <v>1473</v>
      </c>
      <c r="Q286" s="20">
        <v>45715.5</v>
      </c>
      <c r="R286" s="20">
        <v>45717.625</v>
      </c>
      <c r="S286" s="17" t="s">
        <v>451</v>
      </c>
      <c r="T286" s="17" t="s">
        <v>452</v>
      </c>
      <c r="U286" s="28" t="s">
        <v>520</v>
      </c>
      <c r="V286" s="21" t="s">
        <v>1474</v>
      </c>
      <c r="W286" s="22">
        <v>27.0</v>
      </c>
      <c r="X286" s="22">
        <v>9.0</v>
      </c>
      <c r="Y286" s="23">
        <v>0.0</v>
      </c>
      <c r="Z286" s="23">
        <v>5000.0</v>
      </c>
      <c r="AA286" s="24">
        <v>0.0</v>
      </c>
      <c r="AB286" s="24">
        <v>0.0</v>
      </c>
      <c r="AC286" s="24">
        <v>0.0</v>
      </c>
      <c r="AD286" s="23">
        <v>0.0</v>
      </c>
      <c r="AE286" s="24">
        <v>0.0</v>
      </c>
      <c r="AF286" s="17" t="s">
        <v>451</v>
      </c>
      <c r="AG286" s="17">
        <v>900.0</v>
      </c>
      <c r="AH286" s="17" t="s">
        <v>451</v>
      </c>
      <c r="AI286" s="25">
        <f>IF(AF286="Sim",INT((R286-Q286+1))*K286*VLOOKUP(P286,'Tabelas Auxiliares'!$A$1:$C$400,3,FALSE),0)</f>
        <v>0</v>
      </c>
      <c r="AJ286" s="25">
        <f t="shared" si="2"/>
        <v>630</v>
      </c>
      <c r="AK286" s="25">
        <f>IFS(
  O286="Acre",((W286*0.15)+(X286*0.7))*VLOOKUP(P286,'MunicípiosEstados'!$A$2:$B$23,2,FALSE),
  O286="Alagoas",((W286*0.15)+(X286*0.7))*VLOOKUP(P286,'MunicípiosEstados'!$C$2:$D$103,2,FALSE),
  O286="Amapá",((W286*0.15)+(X286*0.7))*VLOOKUP(P286,'MunicípiosEstados'!$E$2:$F$17,2,FALSE),
  O286="Amazonas",((W286*0.15)+(X286*0.7))*VLOOKUP(P286,'MunicípiosEstados'!$G$2:$H$63,2,FALSE),
  O286="Bahia",((W286*0.15)+(X286*0.7))*VLOOKUP(P286,'MunicípiosEstados'!$I$2:$J$418,2,FALSE),
  O286="Ceará",((W286*0.15)+(X286*0.7))*VLOOKUP(P286,'MunicípiosEstados'!$K$2:$L$185,2,FALSE),
  O286="Distrito Federal",((W286*0.15)+(X286*0.7))*VLOOKUP(P286,'MunicípiosEstados'!$M$2:$N$2,2,FALSE),
  O286="Espírito Santo",((W286*0.15)+(X286*0.7))*VLOOKUP(P286,'MunicípiosEstados'!$O$2:$P$79,2,FALSE),
  O286="Goiás",((W286*0.15)+(X286*0.7))*VLOOKUP(P286,'MunicípiosEstados'!$Q$2:$R$247,2,FALSE),
  O286="Maranhão",((W286*0.15)+(X286*0.7))*VLOOKUP(P286,'MunicípiosEstados'!$S$2:$T$218,2,FALSE),
  O286="Mato Grosso",((W286*0.15)+(X286*0.7))*VLOOKUP(P286,'MunicípiosEstados'!$U$2:$V$143,2,FALSE),
  O286="Mato Grosso do Sul",((W286*0.15)+(X286*0.7))*VLOOKUP(P286,'MunicípiosEstados'!$W$2:$X$80,2,FALSE),
  O286="Minas Gerais",((W286*0.15)+(X286*0.7))*VLOOKUP(P286,'MunicípiosEstados'!$Y$2:$Z$854,2,FALSE),
  O286="Pará",((W286*0.15)+(X286*0.7))*VLOOKUP(P286,'MunicípiosEstados'!$AA$2:$AB$145,2,FALSE),
  O286="Paraíba",((W286*0.15)+(X286*0.7))*VLOOKUP(P286,'MunicípiosEstados'!$AC$2:$AD$224,2,FALSE),
  O286="Paraná",((W286*0.15)+(X286*0.7))*VLOOKUP(P286,'MunicípiosEstados'!$AE$2:$AF$400,2,FALSE),
  O286="Pernambuco",((W286*0.15)+(X286*0.7))*VLOOKUP(P286,'MunicípiosEstados'!$AG$2:$AH$186,2,FALSE),
  O286="Piauí",((W286*0.15)+(X286*0.7))*VLOOKUP(P286,'MunicípiosEstados'!$AI$2:$AJ$225,2,FALSE),
  O286="Rio Grande do Norte",((W286*0.15)+(X286*0.7))*VLOOKUP(P286,'MunicípiosEstados'!$AK$2:$AL$168,2,FALSE),
  O286="Rio Grande do Sul",((W286*0.15)+(X286*0.7))*VLOOKUP(P286,'MunicípiosEstados'!$AM$2:$AN$498,2,FALSE),
  O286="Rio de Janeiro",((W286*0.15)+(X286*0.7))*VLOOKUP(P286,'MunicípiosEstados'!$AO$2:$AP$93,2,FALSE),
  O286="Rondônia",((W286*0.15)+(X286*0.7))*VLOOKUP(P286,'MunicípiosEstados'!$AQ$2:$AR$53,2,FALSE),
  O286="Roraima",((W286*0.15)+(X286*0.7))*VLOOKUP(P286,'MunicípiosEstados'!$AS$2:$AT$16,2,FALSE),
  O286="Santa Catarina",((W286*0.15)+(X286*0.7))*VLOOKUP(P286,'MunicípiosEstados'!$AU$2:$AV$296,2,FALSE),
  O286="São Paulo",((W286*0.15)+(X286*0.7))*VLOOKUP(P286,'MunicípiosEstados'!$AW$2:$AX$646,2,FALSE),
  O286="Sergipe",((W286*0.15)+(X286*0.7))*VLOOKUP(P286,'MunicípiosEstados'!$AY$2:$AZ$76,2,FALSE),
  O286="Tocantins",((W286*0.15)+(X286*0.7))*VLOOKUP(P286,'MunicípiosEstados'!$BA$2:$BB$140,2,FALSE),
  O286="Exterior",((W286*0.15)+(X286*0.7))*VLOOKUP(P286,'MunicípiosEstados'!$BC$2:$BE$221,3,FALSE),TRUE,0
)
</f>
        <v>3007.1925</v>
      </c>
      <c r="AL286" s="25">
        <f t="shared" si="3"/>
        <v>8637.1925</v>
      </c>
      <c r="AN286" s="31"/>
    </row>
    <row r="287" ht="22.5" hidden="1" customHeight="1">
      <c r="A287" s="15">
        <f t="shared" si="1"/>
        <v>286</v>
      </c>
      <c r="B287" s="16">
        <v>45999.82686876158</v>
      </c>
      <c r="C287" s="17" t="s">
        <v>512</v>
      </c>
      <c r="D287" s="18" t="s">
        <v>443</v>
      </c>
      <c r="E287" s="15" t="str">
        <f>VLOOKUP(G287,DiretoriaDepart.Coord.!$A$1:$C$72,2,FALSE)</f>
        <v>Extensão Rural</v>
      </c>
      <c r="F287" s="15" t="str">
        <f>VLOOKUP(G287,DiretoriaDepart.Coord.!$A$1:$C$72,3,FALSE)</f>
        <v>Políticas Públicas</v>
      </c>
      <c r="G287" s="17" t="s">
        <v>513</v>
      </c>
      <c r="H287" s="15"/>
      <c r="I287" s="17" t="s">
        <v>1475</v>
      </c>
      <c r="J287" s="17" t="s">
        <v>645</v>
      </c>
      <c r="K287" s="17">
        <v>3.0</v>
      </c>
      <c r="L287" s="17" t="s">
        <v>1476</v>
      </c>
      <c r="M287" s="17" t="s">
        <v>1466</v>
      </c>
      <c r="N287" s="17">
        <v>15.0</v>
      </c>
      <c r="O287" s="17" t="s">
        <v>714</v>
      </c>
      <c r="P287" s="17" t="s">
        <v>321</v>
      </c>
      <c r="Q287" s="20">
        <v>45925.5</v>
      </c>
      <c r="R287" s="20">
        <v>45927.625</v>
      </c>
      <c r="S287" s="17" t="s">
        <v>451</v>
      </c>
      <c r="T287" s="17" t="s">
        <v>452</v>
      </c>
      <c r="U287" s="28" t="s">
        <v>520</v>
      </c>
      <c r="V287" s="21" t="s">
        <v>1474</v>
      </c>
      <c r="W287" s="22">
        <v>27.0</v>
      </c>
      <c r="X287" s="22">
        <v>9.0</v>
      </c>
      <c r="Y287" s="23">
        <v>0.0</v>
      </c>
      <c r="Z287" s="23">
        <v>5000.0</v>
      </c>
      <c r="AA287" s="24">
        <v>0.0</v>
      </c>
      <c r="AB287" s="24">
        <v>0.0</v>
      </c>
      <c r="AC287" s="24">
        <v>0.0</v>
      </c>
      <c r="AD287" s="23">
        <v>0.0</v>
      </c>
      <c r="AE287" s="24">
        <v>0.0</v>
      </c>
      <c r="AF287" s="17" t="s">
        <v>451</v>
      </c>
      <c r="AG287" s="17">
        <v>900.0</v>
      </c>
      <c r="AH287" s="17" t="s">
        <v>451</v>
      </c>
      <c r="AI287" s="25">
        <f>IF(AF287="Sim",INT((R287-Q287+1))*K287*VLOOKUP(P287,'Tabelas Auxiliares'!$A$1:$C$400,3,FALSE),0)</f>
        <v>0</v>
      </c>
      <c r="AJ287" s="25">
        <f t="shared" si="2"/>
        <v>630</v>
      </c>
      <c r="AK287" s="25">
        <f>IFS(
  O287="Acre",((W287*0.15)+(X287*0.7))*VLOOKUP(P287,'MunicípiosEstados'!$A$2:$B$23,2,FALSE),
  O287="Alagoas",((W287*0.15)+(X287*0.7))*VLOOKUP(P287,'MunicípiosEstados'!$C$2:$D$103,2,FALSE),
  O287="Amapá",((W287*0.15)+(X287*0.7))*VLOOKUP(P287,'MunicípiosEstados'!$E$2:$F$17,2,FALSE),
  O287="Amazonas",((W287*0.15)+(X287*0.7))*VLOOKUP(P287,'MunicípiosEstados'!$G$2:$H$63,2,FALSE),
  O287="Bahia",((W287*0.15)+(X287*0.7))*VLOOKUP(P287,'MunicípiosEstados'!$I$2:$J$418,2,FALSE),
  O287="Ceará",((W287*0.15)+(X287*0.7))*VLOOKUP(P287,'MunicípiosEstados'!$K$2:$L$185,2,FALSE),
  O287="Distrito Federal",((W287*0.15)+(X287*0.7))*VLOOKUP(P287,'MunicípiosEstados'!$M$2:$N$2,2,FALSE),
  O287="Espírito Santo",((W287*0.15)+(X287*0.7))*VLOOKUP(P287,'MunicípiosEstados'!$O$2:$P$79,2,FALSE),
  O287="Goiás",((W287*0.15)+(X287*0.7))*VLOOKUP(P287,'MunicípiosEstados'!$Q$2:$R$247,2,FALSE),
  O287="Maranhão",((W287*0.15)+(X287*0.7))*VLOOKUP(P287,'MunicípiosEstados'!$S$2:$T$218,2,FALSE),
  O287="Mato Grosso",((W287*0.15)+(X287*0.7))*VLOOKUP(P287,'MunicípiosEstados'!$U$2:$V$143,2,FALSE),
  O287="Mato Grosso do Sul",((W287*0.15)+(X287*0.7))*VLOOKUP(P287,'MunicípiosEstados'!$W$2:$X$80,2,FALSE),
  O287="Minas Gerais",((W287*0.15)+(X287*0.7))*VLOOKUP(P287,'MunicípiosEstados'!$Y$2:$Z$854,2,FALSE),
  O287="Pará",((W287*0.15)+(X287*0.7))*VLOOKUP(P287,'MunicípiosEstados'!$AA$2:$AB$145,2,FALSE),
  O287="Paraíba",((W287*0.15)+(X287*0.7))*VLOOKUP(P287,'MunicípiosEstados'!$AC$2:$AD$224,2,FALSE),
  O287="Paraná",((W287*0.15)+(X287*0.7))*VLOOKUP(P287,'MunicípiosEstados'!$AE$2:$AF$400,2,FALSE),
  O287="Pernambuco",((W287*0.15)+(X287*0.7))*VLOOKUP(P287,'MunicípiosEstados'!$AG$2:$AH$186,2,FALSE),
  O287="Piauí",((W287*0.15)+(X287*0.7))*VLOOKUP(P287,'MunicípiosEstados'!$AI$2:$AJ$225,2,FALSE),
  O287="Rio Grande do Norte",((W287*0.15)+(X287*0.7))*VLOOKUP(P287,'MunicípiosEstados'!$AK$2:$AL$168,2,FALSE),
  O287="Rio Grande do Sul",((W287*0.15)+(X287*0.7))*VLOOKUP(P287,'MunicípiosEstados'!$AM$2:$AN$498,2,FALSE),
  O287="Rio de Janeiro",((W287*0.15)+(X287*0.7))*VLOOKUP(P287,'MunicípiosEstados'!$AO$2:$AP$93,2,FALSE),
  O287="Rondônia",((W287*0.15)+(X287*0.7))*VLOOKUP(P287,'MunicípiosEstados'!$AQ$2:$AR$53,2,FALSE),
  O287="Roraima",((W287*0.15)+(X287*0.7))*VLOOKUP(P287,'MunicípiosEstados'!$AS$2:$AT$16,2,FALSE),
  O287="Santa Catarina",((W287*0.15)+(X287*0.7))*VLOOKUP(P287,'MunicípiosEstados'!$AU$2:$AV$296,2,FALSE),
  O287="São Paulo",((W287*0.15)+(X287*0.7))*VLOOKUP(P287,'MunicípiosEstados'!$AW$2:$AX$646,2,FALSE),
  O287="Sergipe",((W287*0.15)+(X287*0.7))*VLOOKUP(P287,'MunicípiosEstados'!$AY$2:$AZ$76,2,FALSE),
  O287="Tocantins",((W287*0.15)+(X287*0.7))*VLOOKUP(P287,'MunicípiosEstados'!$BA$2:$BB$140,2,FALSE),
  O287="Exterior",((W287*0.15)+(X287*0.7))*VLOOKUP(P287,'MunicípiosEstados'!$BC$2:$BE$221,3,FALSE),TRUE,0
)
</f>
        <v>3007.1925</v>
      </c>
      <c r="AL287" s="25">
        <f t="shared" si="3"/>
        <v>8637.1925</v>
      </c>
      <c r="AN287" s="31"/>
    </row>
    <row r="288" ht="22.5" hidden="1" customHeight="1">
      <c r="A288" s="15">
        <f t="shared" si="1"/>
        <v>287</v>
      </c>
      <c r="B288" s="16">
        <v>45999.83833762731</v>
      </c>
      <c r="C288" s="17" t="s">
        <v>512</v>
      </c>
      <c r="D288" s="18" t="s">
        <v>443</v>
      </c>
      <c r="E288" s="15" t="str">
        <f>VLOOKUP(G288,DiretoriaDepart.Coord.!$A$1:$C$72,2,FALSE)</f>
        <v>Extensão Rural</v>
      </c>
      <c r="F288" s="15" t="str">
        <f>VLOOKUP(G288,DiretoriaDepart.Coord.!$A$1:$C$72,3,FALSE)</f>
        <v>Políticas Públicas</v>
      </c>
      <c r="G288" s="17" t="s">
        <v>513</v>
      </c>
      <c r="H288" s="15"/>
      <c r="I288" s="17" t="s">
        <v>1477</v>
      </c>
      <c r="J288" s="17" t="s">
        <v>645</v>
      </c>
      <c r="K288" s="17">
        <v>3.0</v>
      </c>
      <c r="L288" s="15"/>
      <c r="M288" s="17" t="s">
        <v>1466</v>
      </c>
      <c r="N288" s="17">
        <v>15.0</v>
      </c>
      <c r="O288" s="17" t="s">
        <v>714</v>
      </c>
      <c r="P288" s="17" t="s">
        <v>1478</v>
      </c>
      <c r="Q288" s="20">
        <v>45771.5</v>
      </c>
      <c r="R288" s="20">
        <v>45773.625</v>
      </c>
      <c r="S288" s="17" t="s">
        <v>464</v>
      </c>
      <c r="T288" s="17" t="s">
        <v>452</v>
      </c>
      <c r="U288" s="28" t="s">
        <v>520</v>
      </c>
      <c r="V288" s="21" t="s">
        <v>1474</v>
      </c>
      <c r="W288" s="22">
        <v>27.0</v>
      </c>
      <c r="X288" s="22">
        <v>9.0</v>
      </c>
      <c r="Y288" s="23">
        <v>0.0</v>
      </c>
      <c r="Z288" s="23">
        <v>5000.0</v>
      </c>
      <c r="AA288" s="24">
        <v>0.0</v>
      </c>
      <c r="AB288" s="24">
        <v>0.0</v>
      </c>
      <c r="AC288" s="24">
        <v>0.0</v>
      </c>
      <c r="AD288" s="23">
        <v>0.0</v>
      </c>
      <c r="AE288" s="24">
        <v>0.0</v>
      </c>
      <c r="AF288" s="17" t="s">
        <v>451</v>
      </c>
      <c r="AG288" s="17">
        <v>900.0</v>
      </c>
      <c r="AH288" s="17" t="s">
        <v>451</v>
      </c>
      <c r="AI288" s="25">
        <f>IF(AF288="Sim",INT((R288-Q288+1))*K288*VLOOKUP(P288,'Tabelas Auxiliares'!$A$1:$C$400,3,FALSE),0)</f>
        <v>0</v>
      </c>
      <c r="AJ288" s="25">
        <f t="shared" si="2"/>
        <v>630</v>
      </c>
      <c r="AK288" s="25">
        <f>IFS(
  O288="Acre",((W288*0.15)+(X288*0.7))*VLOOKUP(P288,'MunicípiosEstados'!$A$2:$B$23,2,FALSE),
  O288="Alagoas",((W288*0.15)+(X288*0.7))*VLOOKUP(P288,'MunicípiosEstados'!$C$2:$D$103,2,FALSE),
  O288="Amapá",((W288*0.15)+(X288*0.7))*VLOOKUP(P288,'MunicípiosEstados'!$E$2:$F$17,2,FALSE),
  O288="Amazonas",((W288*0.15)+(X288*0.7))*VLOOKUP(P288,'MunicípiosEstados'!$G$2:$H$63,2,FALSE),
  O288="Bahia",((W288*0.15)+(X288*0.7))*VLOOKUP(P288,'MunicípiosEstados'!$I$2:$J$418,2,FALSE),
  O288="Ceará",((W288*0.15)+(X288*0.7))*VLOOKUP(P288,'MunicípiosEstados'!$K$2:$L$185,2,FALSE),
  O288="Distrito Federal",((W288*0.15)+(X288*0.7))*VLOOKUP(P288,'MunicípiosEstados'!$M$2:$N$2,2,FALSE),
  O288="Espírito Santo",((W288*0.15)+(X288*0.7))*VLOOKUP(P288,'MunicípiosEstados'!$O$2:$P$79,2,FALSE),
  O288="Goiás",((W288*0.15)+(X288*0.7))*VLOOKUP(P288,'MunicípiosEstados'!$Q$2:$R$247,2,FALSE),
  O288="Maranhão",((W288*0.15)+(X288*0.7))*VLOOKUP(P288,'MunicípiosEstados'!$S$2:$T$218,2,FALSE),
  O288="Mato Grosso",((W288*0.15)+(X288*0.7))*VLOOKUP(P288,'MunicípiosEstados'!$U$2:$V$143,2,FALSE),
  O288="Mato Grosso do Sul",((W288*0.15)+(X288*0.7))*VLOOKUP(P288,'MunicípiosEstados'!$W$2:$X$80,2,FALSE),
  O288="Minas Gerais",((W288*0.15)+(X288*0.7))*VLOOKUP(P288,'MunicípiosEstados'!$Y$2:$Z$854,2,FALSE),
  O288="Pará",((W288*0.15)+(X288*0.7))*VLOOKUP(P288,'MunicípiosEstados'!$AA$2:$AB$145,2,FALSE),
  O288="Paraíba",((W288*0.15)+(X288*0.7))*VLOOKUP(P288,'MunicípiosEstados'!$AC$2:$AD$224,2,FALSE),
  O288="Paraná",((W288*0.15)+(X288*0.7))*VLOOKUP(P288,'MunicípiosEstados'!$AE$2:$AF$400,2,FALSE),
  O288="Pernambuco",((W288*0.15)+(X288*0.7))*VLOOKUP(P288,'MunicípiosEstados'!$AG$2:$AH$186,2,FALSE),
  O288="Piauí",((W288*0.15)+(X288*0.7))*VLOOKUP(P288,'MunicípiosEstados'!$AI$2:$AJ$225,2,FALSE),
  O288="Rio Grande do Norte",((W288*0.15)+(X288*0.7))*VLOOKUP(P288,'MunicípiosEstados'!$AK$2:$AL$168,2,FALSE),
  O288="Rio Grande do Sul",((W288*0.15)+(X288*0.7))*VLOOKUP(P288,'MunicípiosEstados'!$AM$2:$AN$498,2,FALSE),
  O288="Rio de Janeiro",((W288*0.15)+(X288*0.7))*VLOOKUP(P288,'MunicípiosEstados'!$AO$2:$AP$93,2,FALSE),
  O288="Rondônia",((W288*0.15)+(X288*0.7))*VLOOKUP(P288,'MunicípiosEstados'!$AQ$2:$AR$53,2,FALSE),
  O288="Roraima",((W288*0.15)+(X288*0.7))*VLOOKUP(P288,'MunicípiosEstados'!$AS$2:$AT$16,2,FALSE),
  O288="Santa Catarina",((W288*0.15)+(X288*0.7))*VLOOKUP(P288,'MunicípiosEstados'!$AU$2:$AV$296,2,FALSE),
  O288="São Paulo",((W288*0.15)+(X288*0.7))*VLOOKUP(P288,'MunicípiosEstados'!$AW$2:$AX$646,2,FALSE),
  O288="Sergipe",((W288*0.15)+(X288*0.7))*VLOOKUP(P288,'MunicípiosEstados'!$AY$2:$AZ$76,2,FALSE),
  O288="Tocantins",((W288*0.15)+(X288*0.7))*VLOOKUP(P288,'MunicípiosEstados'!$BA$2:$BB$140,2,FALSE),
  O288="Exterior",((W288*0.15)+(X288*0.7))*VLOOKUP(P288,'MunicípiosEstados'!$BC$2:$BE$221,3,FALSE),TRUE,0
)
</f>
        <v>3007.1925</v>
      </c>
      <c r="AL288" s="25">
        <f t="shared" si="3"/>
        <v>8637.1925</v>
      </c>
      <c r="AN288" s="31"/>
    </row>
    <row r="289" ht="22.5" hidden="1" customHeight="1">
      <c r="A289" s="15">
        <f t="shared" si="1"/>
        <v>288</v>
      </c>
      <c r="B289" s="16">
        <v>45999.84233425926</v>
      </c>
      <c r="C289" s="17" t="s">
        <v>512</v>
      </c>
      <c r="D289" s="18" t="s">
        <v>443</v>
      </c>
      <c r="E289" s="15" t="str">
        <f>VLOOKUP(G289,DiretoriaDepart.Coord.!$A$1:$C$72,2,FALSE)</f>
        <v>Extensão Rural</v>
      </c>
      <c r="F289" s="15" t="str">
        <f>VLOOKUP(G289,DiretoriaDepart.Coord.!$A$1:$C$72,3,FALSE)</f>
        <v>Políticas Públicas</v>
      </c>
      <c r="G289" s="17" t="s">
        <v>513</v>
      </c>
      <c r="H289" s="15"/>
      <c r="I289" s="17" t="s">
        <v>1479</v>
      </c>
      <c r="J289" s="17" t="s">
        <v>645</v>
      </c>
      <c r="K289" s="17">
        <v>3.0</v>
      </c>
      <c r="L289" s="15"/>
      <c r="M289" s="17" t="s">
        <v>1466</v>
      </c>
      <c r="N289" s="17">
        <v>15.0</v>
      </c>
      <c r="O289" s="17" t="s">
        <v>714</v>
      </c>
      <c r="P289" s="17" t="s">
        <v>6</v>
      </c>
      <c r="Q289" s="20">
        <v>45855.5</v>
      </c>
      <c r="R289" s="20">
        <v>45857.625</v>
      </c>
      <c r="S289" s="17" t="s">
        <v>451</v>
      </c>
      <c r="T289" s="17" t="s">
        <v>452</v>
      </c>
      <c r="U289" s="28" t="s">
        <v>520</v>
      </c>
      <c r="V289" s="21" t="s">
        <v>1474</v>
      </c>
      <c r="W289" s="22">
        <v>27.0</v>
      </c>
      <c r="X289" s="22">
        <v>9.0</v>
      </c>
      <c r="Y289" s="23">
        <v>0.0</v>
      </c>
      <c r="Z289" s="23">
        <v>5000.0</v>
      </c>
      <c r="AA289" s="24">
        <v>0.0</v>
      </c>
      <c r="AB289" s="24">
        <v>0.0</v>
      </c>
      <c r="AC289" s="24">
        <v>0.0</v>
      </c>
      <c r="AD289" s="23">
        <v>0.0</v>
      </c>
      <c r="AE289" s="24">
        <v>0.0</v>
      </c>
      <c r="AF289" s="17" t="s">
        <v>451</v>
      </c>
      <c r="AG289" s="17">
        <v>900.0</v>
      </c>
      <c r="AH289" s="17" t="s">
        <v>451</v>
      </c>
      <c r="AI289" s="25">
        <f>IF(AF289="Sim",INT((R289-Q289+1))*K289*VLOOKUP(P289,'Tabelas Auxiliares'!$A$1:$C$400,3,FALSE),0)</f>
        <v>0</v>
      </c>
      <c r="AJ289" s="25">
        <f t="shared" si="2"/>
        <v>630</v>
      </c>
      <c r="AK289" s="25">
        <f>IFS(
  O289="Acre",((W289*0.15)+(X289*0.7))*VLOOKUP(P289,'MunicípiosEstados'!$A$2:$B$23,2,FALSE),
  O289="Alagoas",((W289*0.15)+(X289*0.7))*VLOOKUP(P289,'MunicípiosEstados'!$C$2:$D$103,2,FALSE),
  O289="Amapá",((W289*0.15)+(X289*0.7))*VLOOKUP(P289,'MunicípiosEstados'!$E$2:$F$17,2,FALSE),
  O289="Amazonas",((W289*0.15)+(X289*0.7))*VLOOKUP(P289,'MunicípiosEstados'!$G$2:$H$63,2,FALSE),
  O289="Bahia",((W289*0.15)+(X289*0.7))*VLOOKUP(P289,'MunicípiosEstados'!$I$2:$J$418,2,FALSE),
  O289="Ceará",((W289*0.15)+(X289*0.7))*VLOOKUP(P289,'MunicípiosEstados'!$K$2:$L$185,2,FALSE),
  O289="Distrito Federal",((W289*0.15)+(X289*0.7))*VLOOKUP(P289,'MunicípiosEstados'!$M$2:$N$2,2,FALSE),
  O289="Espírito Santo",((W289*0.15)+(X289*0.7))*VLOOKUP(P289,'MunicípiosEstados'!$O$2:$P$79,2,FALSE),
  O289="Goiás",((W289*0.15)+(X289*0.7))*VLOOKUP(P289,'MunicípiosEstados'!$Q$2:$R$247,2,FALSE),
  O289="Maranhão",((W289*0.15)+(X289*0.7))*VLOOKUP(P289,'MunicípiosEstados'!$S$2:$T$218,2,FALSE),
  O289="Mato Grosso",((W289*0.15)+(X289*0.7))*VLOOKUP(P289,'MunicípiosEstados'!$U$2:$V$143,2,FALSE),
  O289="Mato Grosso do Sul",((W289*0.15)+(X289*0.7))*VLOOKUP(P289,'MunicípiosEstados'!$W$2:$X$80,2,FALSE),
  O289="Minas Gerais",((W289*0.15)+(X289*0.7))*VLOOKUP(P289,'MunicípiosEstados'!$Y$2:$Z$854,2,FALSE),
  O289="Pará",((W289*0.15)+(X289*0.7))*VLOOKUP(P289,'MunicípiosEstados'!$AA$2:$AB$145,2,FALSE),
  O289="Paraíba",((W289*0.15)+(X289*0.7))*VLOOKUP(P289,'MunicípiosEstados'!$AC$2:$AD$224,2,FALSE),
  O289="Paraná",((W289*0.15)+(X289*0.7))*VLOOKUP(P289,'MunicípiosEstados'!$AE$2:$AF$400,2,FALSE),
  O289="Pernambuco",((W289*0.15)+(X289*0.7))*VLOOKUP(P289,'MunicípiosEstados'!$AG$2:$AH$186,2,FALSE),
  O289="Piauí",((W289*0.15)+(X289*0.7))*VLOOKUP(P289,'MunicípiosEstados'!$AI$2:$AJ$225,2,FALSE),
  O289="Rio Grande do Norte",((W289*0.15)+(X289*0.7))*VLOOKUP(P289,'MunicípiosEstados'!$AK$2:$AL$168,2,FALSE),
  O289="Rio Grande do Sul",((W289*0.15)+(X289*0.7))*VLOOKUP(P289,'MunicípiosEstados'!$AM$2:$AN$498,2,FALSE),
  O289="Rio de Janeiro",((W289*0.15)+(X289*0.7))*VLOOKUP(P289,'MunicípiosEstados'!$AO$2:$AP$93,2,FALSE),
  O289="Rondônia",((W289*0.15)+(X289*0.7))*VLOOKUP(P289,'MunicípiosEstados'!$AQ$2:$AR$53,2,FALSE),
  O289="Roraima",((W289*0.15)+(X289*0.7))*VLOOKUP(P289,'MunicípiosEstados'!$AS$2:$AT$16,2,FALSE),
  O289="Santa Catarina",((W289*0.15)+(X289*0.7))*VLOOKUP(P289,'MunicípiosEstados'!$AU$2:$AV$296,2,FALSE),
  O289="São Paulo",((W289*0.15)+(X289*0.7))*VLOOKUP(P289,'MunicípiosEstados'!$AW$2:$AX$646,2,FALSE),
  O289="Sergipe",((W289*0.15)+(X289*0.7))*VLOOKUP(P289,'MunicípiosEstados'!$AY$2:$AZ$76,2,FALSE),
  O289="Tocantins",((W289*0.15)+(X289*0.7))*VLOOKUP(P289,'MunicípiosEstados'!$BA$2:$BB$140,2,FALSE),
  O289="Exterior",((W289*0.15)+(X289*0.7))*VLOOKUP(P289,'MunicípiosEstados'!$BC$2:$BE$221,3,FALSE),TRUE,0
)
</f>
        <v>3842.541</v>
      </c>
      <c r="AL289" s="25">
        <f t="shared" si="3"/>
        <v>9472.541</v>
      </c>
      <c r="AN289" s="31"/>
    </row>
    <row r="290" ht="22.5" hidden="1" customHeight="1">
      <c r="A290" s="15">
        <f t="shared" si="1"/>
        <v>289</v>
      </c>
      <c r="B290" s="16">
        <v>46000.385904166666</v>
      </c>
      <c r="C290" s="17" t="s">
        <v>866</v>
      </c>
      <c r="D290" s="18" t="s">
        <v>443</v>
      </c>
      <c r="E290" s="15" t="str">
        <f>VLOOKUP(G290,DiretoriaDepart.Coord.!$A$1:$C$72,2,FALSE)</f>
        <v>Gestão Institucional</v>
      </c>
      <c r="F290" s="15" t="str">
        <f>VLOOKUP(G290,DiretoriaDepart.Coord.!$A$1:$C$72,3,FALSE)</f>
        <v>Recursos Humanos</v>
      </c>
      <c r="G290" s="17" t="s">
        <v>867</v>
      </c>
      <c r="H290" s="15"/>
      <c r="I290" s="17" t="s">
        <v>1480</v>
      </c>
      <c r="J290" s="17" t="s">
        <v>728</v>
      </c>
      <c r="K290" s="17">
        <v>168.0</v>
      </c>
      <c r="L290" s="15"/>
      <c r="M290" s="17" t="s">
        <v>461</v>
      </c>
      <c r="N290" s="17">
        <v>0.0</v>
      </c>
      <c r="O290" s="17" t="s">
        <v>714</v>
      </c>
      <c r="P290" s="17" t="s">
        <v>6</v>
      </c>
      <c r="Q290" s="20">
        <v>45680.333333333336</v>
      </c>
      <c r="R290" s="20">
        <v>45685.708333333336</v>
      </c>
      <c r="S290" s="17" t="s">
        <v>451</v>
      </c>
      <c r="T290" s="17" t="s">
        <v>452</v>
      </c>
      <c r="U290" s="21" t="s">
        <v>1481</v>
      </c>
      <c r="V290" s="21" t="s">
        <v>1482</v>
      </c>
      <c r="W290" s="22">
        <v>3040.0</v>
      </c>
      <c r="X290" s="22">
        <v>1488.0</v>
      </c>
      <c r="Y290" s="23">
        <v>0.0</v>
      </c>
      <c r="Z290" s="23">
        <v>0.0</v>
      </c>
      <c r="AA290" s="24">
        <v>0.0</v>
      </c>
      <c r="AB290" s="24">
        <v>0.0</v>
      </c>
      <c r="AC290" s="24">
        <v>0.0</v>
      </c>
      <c r="AD290" s="23">
        <v>0.0</v>
      </c>
      <c r="AE290" s="24">
        <v>0.0</v>
      </c>
      <c r="AF290" s="17" t="s">
        <v>464</v>
      </c>
      <c r="AG290" s="17">
        <v>10200.0</v>
      </c>
      <c r="AH290" s="17" t="s">
        <v>451</v>
      </c>
      <c r="AI290" s="25">
        <f>IF(AF290="Sim",INT((R290-Q290+1))*K290*VLOOKUP(P290,'Tabelas Auxiliares'!$A$1:$C$400,3,FALSE),0)</f>
        <v>22821.12</v>
      </c>
      <c r="AJ290" s="25">
        <f t="shared" si="2"/>
        <v>7140</v>
      </c>
      <c r="AK290" s="25">
        <f>IFS(
  O290="Acre",((W290*0.15)+(X290*0.7))*VLOOKUP(P290,'MunicípiosEstados'!$A$2:$B$23,2,FALSE),
  O290="Alagoas",((W290*0.15)+(X290*0.7))*VLOOKUP(P290,'MunicípiosEstados'!$C$2:$D$103,2,FALSE),
  O290="Amapá",((W290*0.15)+(X290*0.7))*VLOOKUP(P290,'MunicípiosEstados'!$E$2:$F$17,2,FALSE),
  O290="Amazonas",((W290*0.15)+(X290*0.7))*VLOOKUP(P290,'MunicípiosEstados'!$G$2:$H$63,2,FALSE),
  O290="Bahia",((W290*0.15)+(X290*0.7))*VLOOKUP(P290,'MunicípiosEstados'!$I$2:$J$418,2,FALSE),
  O290="Ceará",((W290*0.15)+(X290*0.7))*VLOOKUP(P290,'MunicípiosEstados'!$K$2:$L$185,2,FALSE),
  O290="Distrito Federal",((W290*0.15)+(X290*0.7))*VLOOKUP(P290,'MunicípiosEstados'!$M$2:$N$2,2,FALSE),
  O290="Espírito Santo",((W290*0.15)+(X290*0.7))*VLOOKUP(P290,'MunicípiosEstados'!$O$2:$P$79,2,FALSE),
  O290="Goiás",((W290*0.15)+(X290*0.7))*VLOOKUP(P290,'MunicípiosEstados'!$Q$2:$R$247,2,FALSE),
  O290="Maranhão",((W290*0.15)+(X290*0.7))*VLOOKUP(P290,'MunicípiosEstados'!$S$2:$T$218,2,FALSE),
  O290="Mato Grosso",((W290*0.15)+(X290*0.7))*VLOOKUP(P290,'MunicípiosEstados'!$U$2:$V$143,2,FALSE),
  O290="Mato Grosso do Sul",((W290*0.15)+(X290*0.7))*VLOOKUP(P290,'MunicípiosEstados'!$W$2:$X$80,2,FALSE),
  O290="Minas Gerais",((W290*0.15)+(X290*0.7))*VLOOKUP(P290,'MunicípiosEstados'!$Y$2:$Z$854,2,FALSE),
  O290="Pará",((W290*0.15)+(X290*0.7))*VLOOKUP(P290,'MunicípiosEstados'!$AA$2:$AB$145,2,FALSE),
  O290="Paraíba",((W290*0.15)+(X290*0.7))*VLOOKUP(P290,'MunicípiosEstados'!$AC$2:$AD$224,2,FALSE),
  O290="Paraná",((W290*0.15)+(X290*0.7))*VLOOKUP(P290,'MunicípiosEstados'!$AE$2:$AF$400,2,FALSE),
  O290="Pernambuco",((W290*0.15)+(X290*0.7))*VLOOKUP(P290,'MunicípiosEstados'!$AG$2:$AH$186,2,FALSE),
  O290="Piauí",((W290*0.15)+(X290*0.7))*VLOOKUP(P290,'MunicípiosEstados'!$AI$2:$AJ$225,2,FALSE),
  O290="Rio Grande do Norte",((W290*0.15)+(X290*0.7))*VLOOKUP(P290,'MunicípiosEstados'!$AK$2:$AL$168,2,FALSE),
  O290="Rio Grande do Sul",((W290*0.15)+(X290*0.7))*VLOOKUP(P290,'MunicípiosEstados'!$AM$2:$AN$498,2,FALSE),
  O290="Rio de Janeiro",((W290*0.15)+(X290*0.7))*VLOOKUP(P290,'MunicípiosEstados'!$AO$2:$AP$93,2,FALSE),
  O290="Rondônia",((W290*0.15)+(X290*0.7))*VLOOKUP(P290,'MunicípiosEstados'!$AQ$2:$AR$53,2,FALSE),
  O290="Roraima",((W290*0.15)+(X290*0.7))*VLOOKUP(P290,'MunicípiosEstados'!$AS$2:$AT$16,2,FALSE),
  O290="Santa Catarina",((W290*0.15)+(X290*0.7))*VLOOKUP(P290,'MunicípiosEstados'!$AU$2:$AV$296,2,FALSE),
  O290="São Paulo",((W290*0.15)+(X290*0.7))*VLOOKUP(P290,'MunicípiosEstados'!$AW$2:$AX$646,2,FALSE),
  O290="Sergipe",((W290*0.15)+(X290*0.7))*VLOOKUP(P290,'MunicípiosEstados'!$AY$2:$AZ$76,2,FALSE),
  O290="Tocantins",((W290*0.15)+(X290*0.7))*VLOOKUP(P290,'MunicípiosEstados'!$BA$2:$BB$140,2,FALSE),
  O290="Exterior",((W290*0.15)+(X290*0.7))*VLOOKUP(P290,'MunicípiosEstados'!$BC$2:$BE$221,3,FALSE),TRUE,0
)
</f>
        <v>555998.976</v>
      </c>
      <c r="AL290" s="25">
        <f t="shared" si="3"/>
        <v>585960.096</v>
      </c>
      <c r="AN290" s="31"/>
    </row>
    <row r="291" ht="22.5" hidden="1" customHeight="1">
      <c r="A291" s="15">
        <f t="shared" si="1"/>
        <v>290</v>
      </c>
      <c r="B291" s="16">
        <v>46000.470059768515</v>
      </c>
      <c r="C291" s="17" t="s">
        <v>1483</v>
      </c>
      <c r="D291" s="18" t="s">
        <v>443</v>
      </c>
      <c r="E291" s="15" t="str">
        <f>VLOOKUP(G291,DiretoriaDepart.Coord.!$A$1:$C$72,2,FALSE)</f>
        <v>Gestão Institucional</v>
      </c>
      <c r="F291" s="15" t="str">
        <f>VLOOKUP(G291,DiretoriaDepart.Coord.!$A$1:$C$72,3,FALSE)</f>
        <v>Recursos Humanos</v>
      </c>
      <c r="G291" s="17" t="s">
        <v>867</v>
      </c>
      <c r="H291" s="15"/>
      <c r="I291" s="17" t="s">
        <v>1484</v>
      </c>
      <c r="J291" s="17" t="s">
        <v>737</v>
      </c>
      <c r="K291" s="17">
        <v>133.0</v>
      </c>
      <c r="L291" s="15"/>
      <c r="M291" s="17" t="s">
        <v>1074</v>
      </c>
      <c r="N291" s="17">
        <v>0.0</v>
      </c>
      <c r="O291" s="17" t="s">
        <v>714</v>
      </c>
      <c r="P291" s="17" t="s">
        <v>18</v>
      </c>
      <c r="Q291" s="20">
        <v>45873.333333333336</v>
      </c>
      <c r="R291" s="20">
        <v>45875.708333333336</v>
      </c>
      <c r="S291" s="17" t="s">
        <v>451</v>
      </c>
      <c r="T291" s="17" t="s">
        <v>452</v>
      </c>
      <c r="U291" s="21" t="s">
        <v>1485</v>
      </c>
      <c r="V291" s="21" t="s">
        <v>1486</v>
      </c>
      <c r="W291" s="22">
        <v>633.0</v>
      </c>
      <c r="X291" s="22">
        <v>280.0</v>
      </c>
      <c r="Y291" s="23">
        <v>0.0</v>
      </c>
      <c r="Z291" s="23">
        <v>0.0</v>
      </c>
      <c r="AA291" s="24">
        <v>0.0</v>
      </c>
      <c r="AB291" s="24">
        <v>0.0</v>
      </c>
      <c r="AC291" s="24">
        <v>0.0</v>
      </c>
      <c r="AD291" s="23">
        <v>0.0</v>
      </c>
      <c r="AE291" s="24">
        <v>0.0</v>
      </c>
      <c r="AF291" s="17" t="s">
        <v>464</v>
      </c>
      <c r="AG291" s="17">
        <v>15516.0</v>
      </c>
      <c r="AH291" s="17" t="s">
        <v>464</v>
      </c>
      <c r="AI291" s="25">
        <f>IF(AF291="Sim",INT((R291-Q291+1))*K291*VLOOKUP(P291,'Tabelas Auxiliares'!$A$1:$C$400,3,FALSE),0)</f>
        <v>9033.36</v>
      </c>
      <c r="AJ291" s="25">
        <f t="shared" si="2"/>
        <v>10861.2</v>
      </c>
      <c r="AK291" s="25">
        <f>IFS(
  O291="Acre",((W291*0.15)+(X291*0.7))*VLOOKUP(P291,'MunicípiosEstados'!$A$2:$B$23,2,FALSE),
  O291="Alagoas",((W291*0.15)+(X291*0.7))*VLOOKUP(P291,'MunicípiosEstados'!$C$2:$D$103,2,FALSE),
  O291="Amapá",((W291*0.15)+(X291*0.7))*VLOOKUP(P291,'MunicípiosEstados'!$E$2:$F$17,2,FALSE),
  O291="Amazonas",((W291*0.15)+(X291*0.7))*VLOOKUP(P291,'MunicípiosEstados'!$G$2:$H$63,2,FALSE),
  O291="Bahia",((W291*0.15)+(X291*0.7))*VLOOKUP(P291,'MunicípiosEstados'!$I$2:$J$418,2,FALSE),
  O291="Ceará",((W291*0.15)+(X291*0.7))*VLOOKUP(P291,'MunicípiosEstados'!$K$2:$L$185,2,FALSE),
  O291="Distrito Federal",((W291*0.15)+(X291*0.7))*VLOOKUP(P291,'MunicípiosEstados'!$M$2:$N$2,2,FALSE),
  O291="Espírito Santo",((W291*0.15)+(X291*0.7))*VLOOKUP(P291,'MunicípiosEstados'!$O$2:$P$79,2,FALSE),
  O291="Goiás",((W291*0.15)+(X291*0.7))*VLOOKUP(P291,'MunicípiosEstados'!$Q$2:$R$247,2,FALSE),
  O291="Maranhão",((W291*0.15)+(X291*0.7))*VLOOKUP(P291,'MunicípiosEstados'!$S$2:$T$218,2,FALSE),
  O291="Mato Grosso",((W291*0.15)+(X291*0.7))*VLOOKUP(P291,'MunicípiosEstados'!$U$2:$V$143,2,FALSE),
  O291="Mato Grosso do Sul",((W291*0.15)+(X291*0.7))*VLOOKUP(P291,'MunicípiosEstados'!$W$2:$X$80,2,FALSE),
  O291="Minas Gerais",((W291*0.15)+(X291*0.7))*VLOOKUP(P291,'MunicípiosEstados'!$Y$2:$Z$854,2,FALSE),
  O291="Pará",((W291*0.15)+(X291*0.7))*VLOOKUP(P291,'MunicípiosEstados'!$AA$2:$AB$145,2,FALSE),
  O291="Paraíba",((W291*0.15)+(X291*0.7))*VLOOKUP(P291,'MunicípiosEstados'!$AC$2:$AD$224,2,FALSE),
  O291="Paraná",((W291*0.15)+(X291*0.7))*VLOOKUP(P291,'MunicípiosEstados'!$AE$2:$AF$400,2,FALSE),
  O291="Pernambuco",((W291*0.15)+(X291*0.7))*VLOOKUP(P291,'MunicípiosEstados'!$AG$2:$AH$186,2,FALSE),
  O291="Piauí",((W291*0.15)+(X291*0.7))*VLOOKUP(P291,'MunicípiosEstados'!$AI$2:$AJ$225,2,FALSE),
  O291="Rio Grande do Norte",((W291*0.15)+(X291*0.7))*VLOOKUP(P291,'MunicípiosEstados'!$AK$2:$AL$168,2,FALSE),
  O291="Rio Grande do Sul",((W291*0.15)+(X291*0.7))*VLOOKUP(P291,'MunicípiosEstados'!$AM$2:$AN$498,2,FALSE),
  O291="Rio de Janeiro",((W291*0.15)+(X291*0.7))*VLOOKUP(P291,'MunicípiosEstados'!$AO$2:$AP$93,2,FALSE),
  O291="Rondônia",((W291*0.15)+(X291*0.7))*VLOOKUP(P291,'MunicípiosEstados'!$AQ$2:$AR$53,2,FALSE),
  O291="Roraima",((W291*0.15)+(X291*0.7))*VLOOKUP(P291,'MunicípiosEstados'!$AS$2:$AT$16,2,FALSE),
  O291="Santa Catarina",((W291*0.15)+(X291*0.7))*VLOOKUP(P291,'MunicípiosEstados'!$AU$2:$AV$296,2,FALSE),
  O291="São Paulo",((W291*0.15)+(X291*0.7))*VLOOKUP(P291,'MunicípiosEstados'!$AW$2:$AX$646,2,FALSE),
  O291="Sergipe",((W291*0.15)+(X291*0.7))*VLOOKUP(P291,'MunicípiosEstados'!$AY$2:$AZ$76,2,FALSE),
  O291="Tocantins",((W291*0.15)+(X291*0.7))*VLOOKUP(P291,'MunicípiosEstados'!$BA$2:$BB$140,2,FALSE),
  O291="Exterior",((W291*0.15)+(X291*0.7))*VLOOKUP(P291,'MunicípiosEstados'!$BC$2:$BE$221,3,FALSE),TRUE,0
)
</f>
        <v>84535.5225</v>
      </c>
      <c r="AL291" s="25">
        <f t="shared" si="3"/>
        <v>104430.0825</v>
      </c>
      <c r="AN291" s="31"/>
    </row>
    <row r="292" ht="22.5" hidden="1" customHeight="1">
      <c r="A292" s="15">
        <f t="shared" si="1"/>
        <v>291</v>
      </c>
      <c r="B292" s="16">
        <v>46000.48625787037</v>
      </c>
      <c r="C292" s="17" t="s">
        <v>866</v>
      </c>
      <c r="D292" s="18" t="s">
        <v>443</v>
      </c>
      <c r="E292" s="15" t="str">
        <f>VLOOKUP(G292,DiretoriaDepart.Coord.!$A$1:$C$72,2,FALSE)</f>
        <v>Gestão Institucional</v>
      </c>
      <c r="F292" s="15" t="str">
        <f>VLOOKUP(G292,DiretoriaDepart.Coord.!$A$1:$C$72,3,FALSE)</f>
        <v>Recursos Humanos</v>
      </c>
      <c r="G292" s="17" t="s">
        <v>867</v>
      </c>
      <c r="H292" s="15"/>
      <c r="I292" s="17" t="s">
        <v>1487</v>
      </c>
      <c r="J292" s="17" t="s">
        <v>737</v>
      </c>
      <c r="K292" s="17">
        <v>29.0</v>
      </c>
      <c r="L292" s="15"/>
      <c r="M292" s="17" t="s">
        <v>1074</v>
      </c>
      <c r="N292" s="17">
        <v>0.0</v>
      </c>
      <c r="O292" s="17" t="s">
        <v>714</v>
      </c>
      <c r="P292" s="17" t="s">
        <v>18</v>
      </c>
      <c r="Q292" s="20">
        <v>45717.541666666664</v>
      </c>
      <c r="R292" s="20">
        <v>45718.708333333336</v>
      </c>
      <c r="S292" s="17" t="s">
        <v>451</v>
      </c>
      <c r="T292" s="17" t="s">
        <v>452</v>
      </c>
      <c r="U292" s="21" t="s">
        <v>1488</v>
      </c>
      <c r="V292" s="21" t="s">
        <v>1489</v>
      </c>
      <c r="W292" s="22">
        <v>116.0</v>
      </c>
      <c r="X292" s="22">
        <v>0.0</v>
      </c>
      <c r="Y292" s="23">
        <v>0.0</v>
      </c>
      <c r="Z292" s="23">
        <v>0.0</v>
      </c>
      <c r="AA292" s="24">
        <v>0.0</v>
      </c>
      <c r="AB292" s="24">
        <v>0.0</v>
      </c>
      <c r="AC292" s="24">
        <v>0.0</v>
      </c>
      <c r="AD292" s="23">
        <v>0.0</v>
      </c>
      <c r="AE292" s="24">
        <v>0.0</v>
      </c>
      <c r="AF292" s="17" t="s">
        <v>464</v>
      </c>
      <c r="AG292" s="17">
        <v>7200.0</v>
      </c>
      <c r="AH292" s="17" t="s">
        <v>464</v>
      </c>
      <c r="AI292" s="25">
        <f>IF(AF292="Sim",INT((R292-Q292+1))*K292*VLOOKUP(P292,'Tabelas Auxiliares'!$A$1:$C$400,3,FALSE),0)</f>
        <v>1313.12</v>
      </c>
      <c r="AJ292" s="25">
        <f t="shared" si="2"/>
        <v>5040</v>
      </c>
      <c r="AK292" s="25">
        <f>IFS(
  O292="Acre",((W292*0.15)+(X292*0.7))*VLOOKUP(P292,'MunicípiosEstados'!$A$2:$B$23,2,FALSE),
  O292="Alagoas",((W292*0.15)+(X292*0.7))*VLOOKUP(P292,'MunicípiosEstados'!$C$2:$D$103,2,FALSE),
  O292="Amapá",((W292*0.15)+(X292*0.7))*VLOOKUP(P292,'MunicípiosEstados'!$E$2:$F$17,2,FALSE),
  O292="Amazonas",((W292*0.15)+(X292*0.7))*VLOOKUP(P292,'MunicípiosEstados'!$G$2:$H$63,2,FALSE),
  O292="Bahia",((W292*0.15)+(X292*0.7))*VLOOKUP(P292,'MunicípiosEstados'!$I$2:$J$418,2,FALSE),
  O292="Ceará",((W292*0.15)+(X292*0.7))*VLOOKUP(P292,'MunicípiosEstados'!$K$2:$L$185,2,FALSE),
  O292="Distrito Federal",((W292*0.15)+(X292*0.7))*VLOOKUP(P292,'MunicípiosEstados'!$M$2:$N$2,2,FALSE),
  O292="Espírito Santo",((W292*0.15)+(X292*0.7))*VLOOKUP(P292,'MunicípiosEstados'!$O$2:$P$79,2,FALSE),
  O292="Goiás",((W292*0.15)+(X292*0.7))*VLOOKUP(P292,'MunicípiosEstados'!$Q$2:$R$247,2,FALSE),
  O292="Maranhão",((W292*0.15)+(X292*0.7))*VLOOKUP(P292,'MunicípiosEstados'!$S$2:$T$218,2,FALSE),
  O292="Mato Grosso",((W292*0.15)+(X292*0.7))*VLOOKUP(P292,'MunicípiosEstados'!$U$2:$V$143,2,FALSE),
  O292="Mato Grosso do Sul",((W292*0.15)+(X292*0.7))*VLOOKUP(P292,'MunicípiosEstados'!$W$2:$X$80,2,FALSE),
  O292="Minas Gerais",((W292*0.15)+(X292*0.7))*VLOOKUP(P292,'MunicípiosEstados'!$Y$2:$Z$854,2,FALSE),
  O292="Pará",((W292*0.15)+(X292*0.7))*VLOOKUP(P292,'MunicípiosEstados'!$AA$2:$AB$145,2,FALSE),
  O292="Paraíba",((W292*0.15)+(X292*0.7))*VLOOKUP(P292,'MunicípiosEstados'!$AC$2:$AD$224,2,FALSE),
  O292="Paraná",((W292*0.15)+(X292*0.7))*VLOOKUP(P292,'MunicípiosEstados'!$AE$2:$AF$400,2,FALSE),
  O292="Pernambuco",((W292*0.15)+(X292*0.7))*VLOOKUP(P292,'MunicípiosEstados'!$AG$2:$AH$186,2,FALSE),
  O292="Piauí",((W292*0.15)+(X292*0.7))*VLOOKUP(P292,'MunicípiosEstados'!$AI$2:$AJ$225,2,FALSE),
  O292="Rio Grande do Norte",((W292*0.15)+(X292*0.7))*VLOOKUP(P292,'MunicípiosEstados'!$AK$2:$AL$168,2,FALSE),
  O292="Rio Grande do Sul",((W292*0.15)+(X292*0.7))*VLOOKUP(P292,'MunicípiosEstados'!$AM$2:$AN$498,2,FALSE),
  O292="Rio de Janeiro",((W292*0.15)+(X292*0.7))*VLOOKUP(P292,'MunicípiosEstados'!$AO$2:$AP$93,2,FALSE),
  O292="Rondônia",((W292*0.15)+(X292*0.7))*VLOOKUP(P292,'MunicípiosEstados'!$AQ$2:$AR$53,2,FALSE),
  O292="Roraima",((W292*0.15)+(X292*0.7))*VLOOKUP(P292,'MunicípiosEstados'!$AS$2:$AT$16,2,FALSE),
  O292="Santa Catarina",((W292*0.15)+(X292*0.7))*VLOOKUP(P292,'MunicípiosEstados'!$AU$2:$AV$296,2,FALSE),
  O292="São Paulo",((W292*0.15)+(X292*0.7))*VLOOKUP(P292,'MunicípiosEstados'!$AW$2:$AX$646,2,FALSE),
  O292="Sergipe",((W292*0.15)+(X292*0.7))*VLOOKUP(P292,'MunicípiosEstados'!$AY$2:$AZ$76,2,FALSE),
  O292="Tocantins",((W292*0.15)+(X292*0.7))*VLOOKUP(P292,'MunicípiosEstados'!$BA$2:$BB$140,2,FALSE),
  O292="Exterior",((W292*0.15)+(X292*0.7))*VLOOKUP(P292,'MunicípiosEstados'!$BC$2:$BE$221,3,FALSE),TRUE,0
)
</f>
        <v>5055.57</v>
      </c>
      <c r="AL292" s="25">
        <f t="shared" si="3"/>
        <v>11408.69</v>
      </c>
      <c r="AN292" s="31"/>
    </row>
    <row r="293" ht="22.5" hidden="1" customHeight="1">
      <c r="A293" s="46">
        <f t="shared" si="1"/>
        <v>292</v>
      </c>
      <c r="B293" s="47">
        <v>46006.43843146991</v>
      </c>
      <c r="C293" s="28" t="s">
        <v>866</v>
      </c>
      <c r="D293" s="18" t="s">
        <v>443</v>
      </c>
      <c r="E293" s="46" t="str">
        <f>VLOOKUP(G293,DiretoriaDepart.Coord.!$A$1:$C$72,2,FALSE)</f>
        <v>Gestão Institucional</v>
      </c>
      <c r="F293" s="46" t="str">
        <f>VLOOKUP(G293,DiretoriaDepart.Coord.!$A$1:$C$72,3,FALSE)</f>
        <v>Recursos Humanos</v>
      </c>
      <c r="G293" s="28" t="s">
        <v>867</v>
      </c>
      <c r="I293" s="28" t="s">
        <v>1490</v>
      </c>
      <c r="J293" s="28" t="s">
        <v>728</v>
      </c>
      <c r="K293" s="28">
        <v>38.0</v>
      </c>
      <c r="M293" s="28" t="s">
        <v>834</v>
      </c>
      <c r="N293" s="28">
        <v>0.0</v>
      </c>
      <c r="O293" s="28" t="s">
        <v>714</v>
      </c>
      <c r="P293" s="28" t="s">
        <v>14</v>
      </c>
      <c r="Q293" s="48">
        <v>45717.333333333336</v>
      </c>
      <c r="R293" s="48">
        <v>45718.708333333336</v>
      </c>
      <c r="S293" s="28" t="s">
        <v>451</v>
      </c>
      <c r="T293" s="28" t="s">
        <v>452</v>
      </c>
      <c r="U293" s="28" t="s">
        <v>1491</v>
      </c>
      <c r="V293" s="28" t="s">
        <v>1492</v>
      </c>
      <c r="W293" s="22">
        <v>154.0</v>
      </c>
      <c r="X293" s="22">
        <v>68.0</v>
      </c>
      <c r="Y293" s="23">
        <v>0.0</v>
      </c>
      <c r="Z293" s="23">
        <v>0.0</v>
      </c>
      <c r="AA293" s="24">
        <v>0.0</v>
      </c>
      <c r="AB293" s="24">
        <v>0.0</v>
      </c>
      <c r="AC293" s="24">
        <v>0.0</v>
      </c>
      <c r="AD293" s="23">
        <v>0.0</v>
      </c>
      <c r="AE293" s="24">
        <v>0.0</v>
      </c>
      <c r="AF293" s="28" t="s">
        <v>464</v>
      </c>
      <c r="AG293" s="28">
        <v>2109.0</v>
      </c>
      <c r="AH293" s="28" t="s">
        <v>464</v>
      </c>
      <c r="AI293" s="25">
        <f>IF(AF293="Sim",INT((R293-Q293+1))*K293*VLOOKUP(P293,'Tabelas Auxiliares'!$A$1:$C$400,3,FALSE),0)</f>
        <v>1720.64</v>
      </c>
      <c r="AJ293" s="25">
        <f t="shared" si="2"/>
        <v>1476.3</v>
      </c>
      <c r="AK293" s="25">
        <f>IFS(
  O293="Acre",((W293*0.15)+(X293*0.7))*VLOOKUP(P293,'MunicípiosEstados'!$A$2:$B$23,2,FALSE),
  O293="Alagoas",((W293*0.15)+(X293*0.7))*VLOOKUP(P293,'MunicípiosEstados'!$C$2:$D$103,2,FALSE),
  O293="Amapá",((W293*0.15)+(X293*0.7))*VLOOKUP(P293,'MunicípiosEstados'!$E$2:$F$17,2,FALSE),
  O293="Amazonas",((W293*0.15)+(X293*0.7))*VLOOKUP(P293,'MunicípiosEstados'!$G$2:$H$63,2,FALSE),
  O293="Bahia",((W293*0.15)+(X293*0.7))*VLOOKUP(P293,'MunicípiosEstados'!$I$2:$J$418,2,FALSE),
  O293="Ceará",((W293*0.15)+(X293*0.7))*VLOOKUP(P293,'MunicípiosEstados'!$K$2:$L$185,2,FALSE),
  O293="Distrito Federal",((W293*0.15)+(X293*0.7))*VLOOKUP(P293,'MunicípiosEstados'!$M$2:$N$2,2,FALSE),
  O293="Espírito Santo",((W293*0.15)+(X293*0.7))*VLOOKUP(P293,'MunicípiosEstados'!$O$2:$P$79,2,FALSE),
  O293="Goiás",((W293*0.15)+(X293*0.7))*VLOOKUP(P293,'MunicípiosEstados'!$Q$2:$R$247,2,FALSE),
  O293="Maranhão",((W293*0.15)+(X293*0.7))*VLOOKUP(P293,'MunicípiosEstados'!$S$2:$T$218,2,FALSE),
  O293="Mato Grosso",((W293*0.15)+(X293*0.7))*VLOOKUP(P293,'MunicípiosEstados'!$U$2:$V$143,2,FALSE),
  O293="Mato Grosso do Sul",((W293*0.15)+(X293*0.7))*VLOOKUP(P293,'MunicípiosEstados'!$W$2:$X$80,2,FALSE),
  O293="Minas Gerais",((W293*0.15)+(X293*0.7))*VLOOKUP(P293,'MunicípiosEstados'!$Y$2:$Z$854,2,FALSE),
  O293="Pará",((W293*0.15)+(X293*0.7))*VLOOKUP(P293,'MunicípiosEstados'!$AA$2:$AB$145,2,FALSE),
  O293="Paraíba",((W293*0.15)+(X293*0.7))*VLOOKUP(P293,'MunicípiosEstados'!$AC$2:$AD$224,2,FALSE),
  O293="Paraná",((W293*0.15)+(X293*0.7))*VLOOKUP(P293,'MunicípiosEstados'!$AE$2:$AF$400,2,FALSE),
  O293="Pernambuco",((W293*0.15)+(X293*0.7))*VLOOKUP(P293,'MunicípiosEstados'!$AG$2:$AH$186,2,FALSE),
  O293="Piauí",((W293*0.15)+(X293*0.7))*VLOOKUP(P293,'MunicípiosEstados'!$AI$2:$AJ$225,2,FALSE),
  O293="Rio Grande do Norte",((W293*0.15)+(X293*0.7))*VLOOKUP(P293,'MunicípiosEstados'!$AK$2:$AL$168,2,FALSE),
  O293="Rio Grande do Sul",((W293*0.15)+(X293*0.7))*VLOOKUP(P293,'MunicípiosEstados'!$AM$2:$AN$498,2,FALSE),
  O293="Rio de Janeiro",((W293*0.15)+(X293*0.7))*VLOOKUP(P293,'MunicípiosEstados'!$AO$2:$AP$93,2,FALSE),
  O293="Rondônia",((W293*0.15)+(X293*0.7))*VLOOKUP(P293,'MunicípiosEstados'!$AQ$2:$AR$53,2,FALSE),
  O293="Roraima",((W293*0.15)+(X293*0.7))*VLOOKUP(P293,'MunicípiosEstados'!$AS$2:$AT$16,2,FALSE),
  O293="Santa Catarina",((W293*0.15)+(X293*0.7))*VLOOKUP(P293,'MunicípiosEstados'!$AU$2:$AV$296,2,FALSE),
  O293="São Paulo",((W293*0.15)+(X293*0.7))*VLOOKUP(P293,'MunicípiosEstados'!$AW$2:$AX$646,2,FALSE),
  O293="Sergipe",((W293*0.15)+(X293*0.7))*VLOOKUP(P293,'MunicípiosEstados'!$AY$2:$AZ$76,2,FALSE),
  O293="Tocantins",((W293*0.15)+(X293*0.7))*VLOOKUP(P293,'MunicípiosEstados'!$BA$2:$BB$140,2,FALSE),
  O293="Exterior",((W293*0.15)+(X293*0.7))*VLOOKUP(P293,'MunicípiosEstados'!$BC$2:$BE$221,3,FALSE),TRUE,0
)
</f>
        <v>20541.885</v>
      </c>
      <c r="AL293" s="25">
        <f t="shared" si="3"/>
        <v>23738.825</v>
      </c>
      <c r="AN293" s="31"/>
    </row>
    <row r="294" ht="22.5" hidden="1" customHeight="1">
      <c r="A294" s="46">
        <f t="shared" si="1"/>
        <v>293</v>
      </c>
      <c r="B294" s="47">
        <v>46009.426547361116</v>
      </c>
      <c r="C294" s="28" t="s">
        <v>1493</v>
      </c>
      <c r="D294" s="18" t="s">
        <v>443</v>
      </c>
      <c r="E294" s="46" t="str">
        <f>VLOOKUP(G294,DiretoriaDepart.Coord.!$A$1:$C$72,2,FALSE)</f>
        <v>Gestão Institucional</v>
      </c>
      <c r="F294" s="46" t="str">
        <f>VLOOKUP(G294,DiretoriaDepart.Coord.!$A$1:$C$72,3,FALSE)</f>
        <v>Recursos Humanos</v>
      </c>
      <c r="G294" s="28" t="s">
        <v>867</v>
      </c>
      <c r="I294" s="28" t="s">
        <v>1494</v>
      </c>
      <c r="J294" s="28" t="s">
        <v>446</v>
      </c>
      <c r="K294" s="28">
        <v>20.0</v>
      </c>
      <c r="M294" s="28" t="s">
        <v>1495</v>
      </c>
      <c r="N294" s="28">
        <v>1.0</v>
      </c>
      <c r="O294" s="28" t="s">
        <v>714</v>
      </c>
      <c r="P294" s="28" t="s">
        <v>130</v>
      </c>
      <c r="Q294" s="48">
        <v>45740.375</v>
      </c>
      <c r="R294" s="48">
        <v>45740.5</v>
      </c>
      <c r="S294" s="28" t="s">
        <v>464</v>
      </c>
      <c r="T294" s="28" t="s">
        <v>452</v>
      </c>
      <c r="U294" s="28" t="s">
        <v>1496</v>
      </c>
      <c r="V294" s="28" t="s">
        <v>1497</v>
      </c>
      <c r="W294" s="22">
        <v>20.0</v>
      </c>
      <c r="X294" s="22">
        <v>0.0</v>
      </c>
      <c r="Y294" s="23">
        <v>0.0</v>
      </c>
      <c r="Z294" s="23">
        <v>0.0</v>
      </c>
      <c r="AA294" s="24">
        <v>0.0</v>
      </c>
      <c r="AB294" s="24">
        <v>0.0</v>
      </c>
      <c r="AC294" s="24">
        <v>0.0</v>
      </c>
      <c r="AD294" s="23">
        <v>0.0</v>
      </c>
      <c r="AE294" s="24">
        <v>0.0</v>
      </c>
      <c r="AF294" s="28" t="s">
        <v>451</v>
      </c>
      <c r="AG294" s="28">
        <v>500.0</v>
      </c>
      <c r="AH294" s="28" t="s">
        <v>451</v>
      </c>
      <c r="AI294" s="25">
        <f>IF(AF294="Sim",INT((R294-Q294+1))*K294*VLOOKUP(P294,'Tabelas Auxiliares'!$A$1:$C$400,3,FALSE),0)</f>
        <v>0</v>
      </c>
      <c r="AJ294" s="25">
        <f t="shared" si="2"/>
        <v>350</v>
      </c>
      <c r="AK294" s="25">
        <f>IFS(
  O294="Acre",((W294*0.15)+(X294*0.7))*VLOOKUP(P294,'MunicípiosEstados'!$A$2:$B$23,2,FALSE),
  O294="Alagoas",((W294*0.15)+(X294*0.7))*VLOOKUP(P294,'MunicípiosEstados'!$C$2:$D$103,2,FALSE),
  O294="Amapá",((W294*0.15)+(X294*0.7))*VLOOKUP(P294,'MunicípiosEstados'!$E$2:$F$17,2,FALSE),
  O294="Amazonas",((W294*0.15)+(X294*0.7))*VLOOKUP(P294,'MunicípiosEstados'!$G$2:$H$63,2,FALSE),
  O294="Bahia",((W294*0.15)+(X294*0.7))*VLOOKUP(P294,'MunicípiosEstados'!$I$2:$J$418,2,FALSE),
  O294="Ceará",((W294*0.15)+(X294*0.7))*VLOOKUP(P294,'MunicípiosEstados'!$K$2:$L$185,2,FALSE),
  O294="Distrito Federal",((W294*0.15)+(X294*0.7))*VLOOKUP(P294,'MunicípiosEstados'!$M$2:$N$2,2,FALSE),
  O294="Espírito Santo",((W294*0.15)+(X294*0.7))*VLOOKUP(P294,'MunicípiosEstados'!$O$2:$P$79,2,FALSE),
  O294="Goiás",((W294*0.15)+(X294*0.7))*VLOOKUP(P294,'MunicípiosEstados'!$Q$2:$R$247,2,FALSE),
  O294="Maranhão",((W294*0.15)+(X294*0.7))*VLOOKUP(P294,'MunicípiosEstados'!$S$2:$T$218,2,FALSE),
  O294="Mato Grosso",((W294*0.15)+(X294*0.7))*VLOOKUP(P294,'MunicípiosEstados'!$U$2:$V$143,2,FALSE),
  O294="Mato Grosso do Sul",((W294*0.15)+(X294*0.7))*VLOOKUP(P294,'MunicípiosEstados'!$W$2:$X$80,2,FALSE),
  O294="Minas Gerais",((W294*0.15)+(X294*0.7))*VLOOKUP(P294,'MunicípiosEstados'!$Y$2:$Z$854,2,FALSE),
  O294="Pará",((W294*0.15)+(X294*0.7))*VLOOKUP(P294,'MunicípiosEstados'!$AA$2:$AB$145,2,FALSE),
  O294="Paraíba",((W294*0.15)+(X294*0.7))*VLOOKUP(P294,'MunicípiosEstados'!$AC$2:$AD$224,2,FALSE),
  O294="Paraná",((W294*0.15)+(X294*0.7))*VLOOKUP(P294,'MunicípiosEstados'!$AE$2:$AF$400,2,FALSE),
  O294="Pernambuco",((W294*0.15)+(X294*0.7))*VLOOKUP(P294,'MunicípiosEstados'!$AG$2:$AH$186,2,FALSE),
  O294="Piauí",((W294*0.15)+(X294*0.7))*VLOOKUP(P294,'MunicípiosEstados'!$AI$2:$AJ$225,2,FALSE),
  O294="Rio Grande do Norte",((W294*0.15)+(X294*0.7))*VLOOKUP(P294,'MunicípiosEstados'!$AK$2:$AL$168,2,FALSE),
  O294="Rio Grande do Sul",((W294*0.15)+(X294*0.7))*VLOOKUP(P294,'MunicípiosEstados'!$AM$2:$AN$498,2,FALSE),
  O294="Rio de Janeiro",((W294*0.15)+(X294*0.7))*VLOOKUP(P294,'MunicípiosEstados'!$AO$2:$AP$93,2,FALSE),
  O294="Rondônia",((W294*0.15)+(X294*0.7))*VLOOKUP(P294,'MunicípiosEstados'!$AQ$2:$AR$53,2,FALSE),
  O294="Roraima",((W294*0.15)+(X294*0.7))*VLOOKUP(P294,'MunicípiosEstados'!$AS$2:$AT$16,2,FALSE),
  O294="Santa Catarina",((W294*0.15)+(X294*0.7))*VLOOKUP(P294,'MunicípiosEstados'!$AU$2:$AV$296,2,FALSE),
  O294="São Paulo",((W294*0.15)+(X294*0.7))*VLOOKUP(P294,'MunicípiosEstados'!$AW$2:$AX$646,2,FALSE),
  O294="Sergipe",((W294*0.15)+(X294*0.7))*VLOOKUP(P294,'MunicípiosEstados'!$AY$2:$AZ$76,2,FALSE),
  O294="Tocantins",((W294*0.15)+(X294*0.7))*VLOOKUP(P294,'MunicípiosEstados'!$BA$2:$BB$140,2,FALSE),
  O294="Exterior",((W294*0.15)+(X294*0.7))*VLOOKUP(P294,'MunicípiosEstados'!$BC$2:$BE$221,3,FALSE),TRUE,0
)
</f>
        <v>871.65</v>
      </c>
      <c r="AL294" s="25">
        <f t="shared" si="3"/>
        <v>1221.65</v>
      </c>
      <c r="AN294" s="31"/>
    </row>
    <row r="295" ht="22.5" hidden="1" customHeight="1">
      <c r="A295" s="15">
        <f t="shared" si="1"/>
        <v>294</v>
      </c>
      <c r="B295" s="16">
        <v>45987.43618958333</v>
      </c>
      <c r="C295" s="17" t="s">
        <v>543</v>
      </c>
      <c r="D295" s="27" t="s">
        <v>443</v>
      </c>
      <c r="E295" s="15" t="str">
        <f>VLOOKUP(G295,DiretoriaDepart.Coord.!$A$1:$C$72,2,FALSE)</f>
        <v>Pesquisa e Inovação</v>
      </c>
      <c r="F295" s="15" t="str">
        <f>VLOOKUP(G295,DiretoriaDepart.Coord.!$A$1:$C$72,3,FALSE)</f>
        <v>Inovação e Comunicação Científica</v>
      </c>
      <c r="G295" s="17" t="s">
        <v>537</v>
      </c>
      <c r="H295" s="15"/>
      <c r="I295" s="17" t="s">
        <v>1498</v>
      </c>
      <c r="J295" s="17" t="s">
        <v>490</v>
      </c>
      <c r="K295" s="17">
        <v>1.0</v>
      </c>
      <c r="L295" s="17" t="s">
        <v>546</v>
      </c>
      <c r="M295" s="17" t="s">
        <v>508</v>
      </c>
      <c r="N295" s="17">
        <v>600.0</v>
      </c>
      <c r="O295" s="17" t="s">
        <v>1499</v>
      </c>
      <c r="P295" s="17" t="s">
        <v>1500</v>
      </c>
      <c r="Q295" s="20">
        <v>45900.333333333336</v>
      </c>
      <c r="R295" s="20">
        <v>45903.833333333336</v>
      </c>
      <c r="S295" s="17" t="s">
        <v>464</v>
      </c>
      <c r="T295" s="17" t="s">
        <v>452</v>
      </c>
      <c r="U295" s="21" t="s">
        <v>1501</v>
      </c>
      <c r="V295" s="21" t="s">
        <v>1502</v>
      </c>
      <c r="W295" s="22">
        <v>6.0</v>
      </c>
      <c r="X295" s="22">
        <v>5.0</v>
      </c>
      <c r="Y295" s="23">
        <v>1000.0</v>
      </c>
      <c r="Z295" s="23">
        <v>200.0</v>
      </c>
      <c r="AA295" s="24">
        <v>1316.0</v>
      </c>
      <c r="AB295" s="24">
        <v>0.0</v>
      </c>
      <c r="AC295" s="24">
        <v>500.0</v>
      </c>
      <c r="AD295" s="23">
        <v>0.0</v>
      </c>
      <c r="AE295" s="24">
        <v>0.0</v>
      </c>
      <c r="AF295" s="17" t="s">
        <v>451</v>
      </c>
      <c r="AG295" s="17">
        <v>0.0</v>
      </c>
      <c r="AH295" s="17" t="s">
        <v>451</v>
      </c>
      <c r="AI295" s="25">
        <f>IF(AF295="Sim",INT((R295-Q295+1))*K295*VLOOKUP(P295,'Tabelas Auxiliares'!$A$1:$C$400,3,FALSE),0)</f>
        <v>0</v>
      </c>
      <c r="AJ295" s="25">
        <f t="shared" si="2"/>
        <v>0</v>
      </c>
      <c r="AK295" s="25">
        <f>IFS(
  O295="Acre",((W295*0.15)+(X295*0.7))*VLOOKUP(P295,'MunicípiosEstados'!$A$2:$B$23,2,FALSE),
  O295="Alagoas",((W295*0.15)+(X295*0.7))*VLOOKUP(P295,'MunicípiosEstados'!$C$2:$D$103,2,FALSE),
  O295="Amapá",((W295*0.15)+(X295*0.7))*VLOOKUP(P295,'MunicípiosEstados'!$E$2:$F$17,2,FALSE),
  O295="Amazonas",((W295*0.15)+(X295*0.7))*VLOOKUP(P295,'MunicípiosEstados'!$G$2:$H$63,2,FALSE),
  O295="Bahia",((W295*0.15)+(X295*0.7))*VLOOKUP(P295,'MunicípiosEstados'!$I$2:$J$418,2,FALSE),
  O295="Ceará",((W295*0.15)+(X295*0.7))*VLOOKUP(P295,'MunicípiosEstados'!$K$2:$L$185,2,FALSE),
  O295="Distrito Federal",((W295*0.15)+(X295*0.7))*VLOOKUP(P295,'MunicípiosEstados'!$M$2:$N$2,2,FALSE),
  O295="Espírito Santo",((W295*0.15)+(X295*0.7))*VLOOKUP(P295,'MunicípiosEstados'!$O$2:$P$79,2,FALSE),
  O295="Goiás",((W295*0.15)+(X295*0.7))*VLOOKUP(P295,'MunicípiosEstados'!$Q$2:$R$247,2,FALSE),
  O295="Maranhão",((W295*0.15)+(X295*0.7))*VLOOKUP(P295,'MunicípiosEstados'!$S$2:$T$218,2,FALSE),
  O295="Mato Grosso",((W295*0.15)+(X295*0.7))*VLOOKUP(P295,'MunicípiosEstados'!$U$2:$V$143,2,FALSE),
  O295="Mato Grosso do Sul",((W295*0.15)+(X295*0.7))*VLOOKUP(P295,'MunicípiosEstados'!$W$2:$X$80,2,FALSE),
  O295="Minas Gerais",((W295*0.15)+(X295*0.7))*VLOOKUP(P295,'MunicípiosEstados'!$Y$2:$Z$854,2,FALSE),
  O295="Pará",((W295*0.15)+(X295*0.7))*VLOOKUP(P295,'MunicípiosEstados'!$AA$2:$AB$145,2,FALSE),
  O295="Paraíba",((W295*0.15)+(X295*0.7))*VLOOKUP(P295,'MunicípiosEstados'!$AC$2:$AD$224,2,FALSE),
  O295="Paraná",((W295*0.15)+(X295*0.7))*VLOOKUP(P295,'MunicípiosEstados'!$AE$2:$AF$400,2,FALSE),
  O295="Pernambuco",((W295*0.15)+(X295*0.7))*VLOOKUP(P295,'MunicípiosEstados'!$AG$2:$AH$186,2,FALSE),
  O295="Piauí",((W295*0.15)+(X295*0.7))*VLOOKUP(P295,'MunicípiosEstados'!$AI$2:$AJ$225,2,FALSE),
  O295="Rio Grande do Norte",((W295*0.15)+(X295*0.7))*VLOOKUP(P295,'MunicípiosEstados'!$AK$2:$AL$168,2,FALSE),
  O295="Rio Grande do Sul",((W295*0.15)+(X295*0.7))*VLOOKUP(P295,'MunicípiosEstados'!$AM$2:$AN$498,2,FALSE),
  O295="Rio de Janeiro",((W295*0.15)+(X295*0.7))*VLOOKUP(P295,'MunicípiosEstados'!$AO$2:$AP$93,2,FALSE),
  O295="Rondônia",((W295*0.15)+(X295*0.7))*VLOOKUP(P295,'MunicípiosEstados'!$AQ$2:$AR$53,2,FALSE),
  O295="Roraima",((W295*0.15)+(X295*0.7))*VLOOKUP(P295,'MunicípiosEstados'!$AS$2:$AT$16,2,FALSE),
  O295="Santa Catarina",((W295*0.15)+(X295*0.7))*VLOOKUP(P295,'MunicípiosEstados'!$AU$2:$AV$296,2,FALSE),
  O295="São Paulo",((W295*0.15)+(X295*0.7))*VLOOKUP(P295,'MunicípiosEstados'!$AW$2:$AX$646,2,FALSE),
  O295="Sergipe",((W295*0.15)+(X295*0.7))*VLOOKUP(P295,'MunicípiosEstados'!$AY$2:$AZ$76,2,FALSE),
  O295="Tocantins",((W295*0.15)+(X295*0.7))*VLOOKUP(P295,'MunicípiosEstados'!$BA$2:$BB$140,2,FALSE),
  O295="Exterior",((W295*0.15)+(X295*0.7))*VLOOKUP(P295,'MunicípiosEstados'!$BC$2:$BE$221,3,FALSE),TRUE,0
)
</f>
        <v>1633.544</v>
      </c>
      <c r="AL295" s="25">
        <f t="shared" si="3"/>
        <v>4649.544</v>
      </c>
      <c r="AM295" s="25"/>
      <c r="AN295" s="26"/>
    </row>
    <row r="296" ht="22.5" hidden="1" customHeight="1">
      <c r="A296" s="15">
        <f t="shared" si="1"/>
        <v>295</v>
      </c>
      <c r="B296" s="16">
        <v>45987.46220028935</v>
      </c>
      <c r="C296" s="17" t="s">
        <v>543</v>
      </c>
      <c r="D296" s="27" t="s">
        <v>443</v>
      </c>
      <c r="E296" s="15" t="str">
        <f>VLOOKUP(G296,DiretoriaDepart.Coord.!$A$1:$C$72,2,FALSE)</f>
        <v>Pesquisa e Inovação</v>
      </c>
      <c r="F296" s="15" t="str">
        <f>VLOOKUP(G296,DiretoriaDepart.Coord.!$A$1:$C$72,3,FALSE)</f>
        <v>Inovação e Comunicação Científica</v>
      </c>
      <c r="G296" s="17" t="s">
        <v>537</v>
      </c>
      <c r="H296" s="15"/>
      <c r="I296" s="17" t="s">
        <v>1503</v>
      </c>
      <c r="J296" s="17" t="s">
        <v>490</v>
      </c>
      <c r="K296" s="17">
        <v>1.0</v>
      </c>
      <c r="L296" s="17" t="s">
        <v>546</v>
      </c>
      <c r="M296" s="17" t="s">
        <v>508</v>
      </c>
      <c r="N296" s="17">
        <v>600.0</v>
      </c>
      <c r="O296" s="17" t="s">
        <v>1499</v>
      </c>
      <c r="P296" s="17" t="s">
        <v>1504</v>
      </c>
      <c r="Q296" s="20">
        <v>45886.333333333336</v>
      </c>
      <c r="R296" s="20">
        <v>45891.833333333336</v>
      </c>
      <c r="S296" s="17" t="s">
        <v>464</v>
      </c>
      <c r="T296" s="17" t="s">
        <v>452</v>
      </c>
      <c r="U296" s="21" t="s">
        <v>1505</v>
      </c>
      <c r="V296" s="21" t="s">
        <v>1506</v>
      </c>
      <c r="W296" s="22">
        <v>8.0</v>
      </c>
      <c r="X296" s="22">
        <v>7.0</v>
      </c>
      <c r="Y296" s="23">
        <v>1000.0</v>
      </c>
      <c r="Z296" s="23">
        <v>100.0</v>
      </c>
      <c r="AA296" s="24">
        <v>1545.0</v>
      </c>
      <c r="AB296" s="24">
        <v>0.0</v>
      </c>
      <c r="AC296" s="24">
        <v>500.0</v>
      </c>
      <c r="AD296" s="23">
        <v>0.0</v>
      </c>
      <c r="AE296" s="24">
        <v>0.0</v>
      </c>
      <c r="AF296" s="17" t="s">
        <v>451</v>
      </c>
      <c r="AG296" s="17">
        <v>0.0</v>
      </c>
      <c r="AH296" s="17" t="s">
        <v>451</v>
      </c>
      <c r="AI296" s="25">
        <f>IF(AF296="Sim",INT((R296-Q296+1))*K296*VLOOKUP(P296,'Tabelas Auxiliares'!$A$1:$C$400,3,FALSE),0)</f>
        <v>0</v>
      </c>
      <c r="AJ296" s="25">
        <f t="shared" si="2"/>
        <v>0</v>
      </c>
      <c r="AK296" s="25">
        <f>IFS(
  O296="Acre",((W296*0.15)+(X296*0.7))*VLOOKUP(P296,'MunicípiosEstados'!$A$2:$B$23,2,FALSE),
  O296="Alagoas",((W296*0.15)+(X296*0.7))*VLOOKUP(P296,'MunicípiosEstados'!$C$2:$D$103,2,FALSE),
  O296="Amapá",((W296*0.15)+(X296*0.7))*VLOOKUP(P296,'MunicípiosEstados'!$E$2:$F$17,2,FALSE),
  O296="Amazonas",((W296*0.15)+(X296*0.7))*VLOOKUP(P296,'MunicípiosEstados'!$G$2:$H$63,2,FALSE),
  O296="Bahia",((W296*0.15)+(X296*0.7))*VLOOKUP(P296,'MunicípiosEstados'!$I$2:$J$418,2,FALSE),
  O296="Ceará",((W296*0.15)+(X296*0.7))*VLOOKUP(P296,'MunicípiosEstados'!$K$2:$L$185,2,FALSE),
  O296="Distrito Federal",((W296*0.15)+(X296*0.7))*VLOOKUP(P296,'MunicípiosEstados'!$M$2:$N$2,2,FALSE),
  O296="Espírito Santo",((W296*0.15)+(X296*0.7))*VLOOKUP(P296,'MunicípiosEstados'!$O$2:$P$79,2,FALSE),
  O296="Goiás",((W296*0.15)+(X296*0.7))*VLOOKUP(P296,'MunicípiosEstados'!$Q$2:$R$247,2,FALSE),
  O296="Maranhão",((W296*0.15)+(X296*0.7))*VLOOKUP(P296,'MunicípiosEstados'!$S$2:$T$218,2,FALSE),
  O296="Mato Grosso",((W296*0.15)+(X296*0.7))*VLOOKUP(P296,'MunicípiosEstados'!$U$2:$V$143,2,FALSE),
  O296="Mato Grosso do Sul",((W296*0.15)+(X296*0.7))*VLOOKUP(P296,'MunicípiosEstados'!$W$2:$X$80,2,FALSE),
  O296="Minas Gerais",((W296*0.15)+(X296*0.7))*VLOOKUP(P296,'MunicípiosEstados'!$Y$2:$Z$854,2,FALSE),
  O296="Pará",((W296*0.15)+(X296*0.7))*VLOOKUP(P296,'MunicípiosEstados'!$AA$2:$AB$145,2,FALSE),
  O296="Paraíba",((W296*0.15)+(X296*0.7))*VLOOKUP(P296,'MunicípiosEstados'!$AC$2:$AD$224,2,FALSE),
  O296="Paraná",((W296*0.15)+(X296*0.7))*VLOOKUP(P296,'MunicípiosEstados'!$AE$2:$AF$400,2,FALSE),
  O296="Pernambuco",((W296*0.15)+(X296*0.7))*VLOOKUP(P296,'MunicípiosEstados'!$AG$2:$AH$186,2,FALSE),
  O296="Piauí",((W296*0.15)+(X296*0.7))*VLOOKUP(P296,'MunicípiosEstados'!$AI$2:$AJ$225,2,FALSE),
  O296="Rio Grande do Norte",((W296*0.15)+(X296*0.7))*VLOOKUP(P296,'MunicípiosEstados'!$AK$2:$AL$168,2,FALSE),
  O296="Rio Grande do Sul",((W296*0.15)+(X296*0.7))*VLOOKUP(P296,'MunicípiosEstados'!$AM$2:$AN$498,2,FALSE),
  O296="Rio de Janeiro",((W296*0.15)+(X296*0.7))*VLOOKUP(P296,'MunicípiosEstados'!$AO$2:$AP$93,2,FALSE),
  O296="Rondônia",((W296*0.15)+(X296*0.7))*VLOOKUP(P296,'MunicípiosEstados'!$AQ$2:$AR$53,2,FALSE),
  O296="Roraima",((W296*0.15)+(X296*0.7))*VLOOKUP(P296,'MunicípiosEstados'!$AS$2:$AT$16,2,FALSE),
  O296="Santa Catarina",((W296*0.15)+(X296*0.7))*VLOOKUP(P296,'MunicípiosEstados'!$AU$2:$AV$296,2,FALSE),
  O296="São Paulo",((W296*0.15)+(X296*0.7))*VLOOKUP(P296,'MunicípiosEstados'!$AW$2:$AX$646,2,FALSE),
  O296="Sergipe",((W296*0.15)+(X296*0.7))*VLOOKUP(P296,'MunicípiosEstados'!$AY$2:$AZ$76,2,FALSE),
  O296="Tocantins",((W296*0.15)+(X296*0.7))*VLOOKUP(P296,'MunicípiosEstados'!$BA$2:$BB$140,2,FALSE),
  O296="Exterior",((W296*0.15)+(X296*0.7))*VLOOKUP(P296,'MunicípiosEstados'!$BC$2:$BE$221,3,FALSE),TRUE,0
)
</f>
        <v>1772.355</v>
      </c>
      <c r="AL296" s="25">
        <f t="shared" si="3"/>
        <v>4917.355</v>
      </c>
      <c r="AM296" s="25"/>
      <c r="AN296" s="26"/>
    </row>
    <row r="297" ht="22.5" hidden="1" customHeight="1">
      <c r="A297" s="15">
        <f t="shared" si="1"/>
        <v>296</v>
      </c>
      <c r="B297" s="16">
        <v>45989.43447008102</v>
      </c>
      <c r="C297" s="17" t="s">
        <v>683</v>
      </c>
      <c r="D297" s="27" t="s">
        <v>443</v>
      </c>
      <c r="E297" s="15" t="str">
        <f>VLOOKUP(G297,DiretoriaDepart.Coord.!$A$1:$C$72,2,FALSE)</f>
        <v>Pesquisa e Inovação</v>
      </c>
      <c r="F297" s="15" t="str">
        <f>VLOOKUP(G297,DiretoriaDepart.Coord.!$A$1:$C$72,3,FALSE)</f>
        <v>Pesquisa e Capacitação</v>
      </c>
      <c r="G297" s="17" t="s">
        <v>684</v>
      </c>
      <c r="H297" s="15"/>
      <c r="I297" s="17" t="s">
        <v>1498</v>
      </c>
      <c r="J297" s="17" t="s">
        <v>490</v>
      </c>
      <c r="K297" s="17">
        <v>2.0</v>
      </c>
      <c r="L297" s="17" t="s">
        <v>1507</v>
      </c>
      <c r="M297" s="17" t="s">
        <v>1508</v>
      </c>
      <c r="N297" s="17">
        <v>0.0</v>
      </c>
      <c r="O297" s="17" t="s">
        <v>1499</v>
      </c>
      <c r="P297" s="17" t="s">
        <v>1500</v>
      </c>
      <c r="Q297" s="20">
        <v>45900.333333333336</v>
      </c>
      <c r="R297" s="20">
        <v>45903.708333333336</v>
      </c>
      <c r="S297" s="17" t="s">
        <v>464</v>
      </c>
      <c r="T297" s="17" t="s">
        <v>452</v>
      </c>
      <c r="U297" s="21" t="s">
        <v>1509</v>
      </c>
      <c r="V297" s="21" t="s">
        <v>1510</v>
      </c>
      <c r="W297" s="22">
        <v>24.0</v>
      </c>
      <c r="X297" s="22">
        <v>10.0</v>
      </c>
      <c r="Y297" s="23">
        <v>2000.0</v>
      </c>
      <c r="Z297" s="23">
        <v>160.0</v>
      </c>
      <c r="AA297" s="24">
        <v>3900.0</v>
      </c>
      <c r="AB297" s="24">
        <v>0.0</v>
      </c>
      <c r="AC297" s="24">
        <v>800.0</v>
      </c>
      <c r="AD297" s="23">
        <v>0.0</v>
      </c>
      <c r="AE297" s="24">
        <v>0.0</v>
      </c>
      <c r="AF297" s="17" t="s">
        <v>451</v>
      </c>
      <c r="AG297" s="17">
        <v>0.0</v>
      </c>
      <c r="AH297" s="17" t="s">
        <v>451</v>
      </c>
      <c r="AI297" s="25">
        <f>IF(AF297="Sim",INT((R297-Q297+1))*K297*VLOOKUP(P297,'Tabelas Auxiliares'!$A$1:$C$400,3,FALSE),0)</f>
        <v>0</v>
      </c>
      <c r="AJ297" s="25">
        <f t="shared" si="2"/>
        <v>0</v>
      </c>
      <c r="AK297" s="25">
        <f>IFS(
  O297="Acre",((W297*0.15)+(X297*0.7))*VLOOKUP(P297,'MunicípiosEstados'!$A$2:$B$23,2,FALSE),
  O297="Alagoas",((W297*0.15)+(X297*0.7))*VLOOKUP(P297,'MunicípiosEstados'!$C$2:$D$103,2,FALSE),
  O297="Amapá",((W297*0.15)+(X297*0.7))*VLOOKUP(P297,'MunicípiosEstados'!$E$2:$F$17,2,FALSE),
  O297="Amazonas",((W297*0.15)+(X297*0.7))*VLOOKUP(P297,'MunicípiosEstados'!$G$2:$H$63,2,FALSE),
  O297="Bahia",((W297*0.15)+(X297*0.7))*VLOOKUP(P297,'MunicípiosEstados'!$I$2:$J$418,2,FALSE),
  O297="Ceará",((W297*0.15)+(X297*0.7))*VLOOKUP(P297,'MunicípiosEstados'!$K$2:$L$185,2,FALSE),
  O297="Distrito Federal",((W297*0.15)+(X297*0.7))*VLOOKUP(P297,'MunicípiosEstados'!$M$2:$N$2,2,FALSE),
  O297="Espírito Santo",((W297*0.15)+(X297*0.7))*VLOOKUP(P297,'MunicípiosEstados'!$O$2:$P$79,2,FALSE),
  O297="Goiás",((W297*0.15)+(X297*0.7))*VLOOKUP(P297,'MunicípiosEstados'!$Q$2:$R$247,2,FALSE),
  O297="Maranhão",((W297*0.15)+(X297*0.7))*VLOOKUP(P297,'MunicípiosEstados'!$S$2:$T$218,2,FALSE),
  O297="Mato Grosso",((W297*0.15)+(X297*0.7))*VLOOKUP(P297,'MunicípiosEstados'!$U$2:$V$143,2,FALSE),
  O297="Mato Grosso do Sul",((W297*0.15)+(X297*0.7))*VLOOKUP(P297,'MunicípiosEstados'!$W$2:$X$80,2,FALSE),
  O297="Minas Gerais",((W297*0.15)+(X297*0.7))*VLOOKUP(P297,'MunicípiosEstados'!$Y$2:$Z$854,2,FALSE),
  O297="Pará",((W297*0.15)+(X297*0.7))*VLOOKUP(P297,'MunicípiosEstados'!$AA$2:$AB$145,2,FALSE),
  O297="Paraíba",((W297*0.15)+(X297*0.7))*VLOOKUP(P297,'MunicípiosEstados'!$AC$2:$AD$224,2,FALSE),
  O297="Paraná",((W297*0.15)+(X297*0.7))*VLOOKUP(P297,'MunicípiosEstados'!$AE$2:$AF$400,2,FALSE),
  O297="Pernambuco",((W297*0.15)+(X297*0.7))*VLOOKUP(P297,'MunicípiosEstados'!$AG$2:$AH$186,2,FALSE),
  O297="Piauí",((W297*0.15)+(X297*0.7))*VLOOKUP(P297,'MunicípiosEstados'!$AI$2:$AJ$225,2,FALSE),
  O297="Rio Grande do Norte",((W297*0.15)+(X297*0.7))*VLOOKUP(P297,'MunicípiosEstados'!$AK$2:$AL$168,2,FALSE),
  O297="Rio Grande do Sul",((W297*0.15)+(X297*0.7))*VLOOKUP(P297,'MunicípiosEstados'!$AM$2:$AN$498,2,FALSE),
  O297="Rio de Janeiro",((W297*0.15)+(X297*0.7))*VLOOKUP(P297,'MunicípiosEstados'!$AO$2:$AP$93,2,FALSE),
  O297="Rondônia",((W297*0.15)+(X297*0.7))*VLOOKUP(P297,'MunicípiosEstados'!$AQ$2:$AR$53,2,FALSE),
  O297="Roraima",((W297*0.15)+(X297*0.7))*VLOOKUP(P297,'MunicípiosEstados'!$AS$2:$AT$16,2,FALSE),
  O297="Santa Catarina",((W297*0.15)+(X297*0.7))*VLOOKUP(P297,'MunicípiosEstados'!$AU$2:$AV$296,2,FALSE),
  O297="São Paulo",((W297*0.15)+(X297*0.7))*VLOOKUP(P297,'MunicípiosEstados'!$AW$2:$AX$646,2,FALSE),
  O297="Sergipe",((W297*0.15)+(X297*0.7))*VLOOKUP(P297,'MunicípiosEstados'!$AY$2:$AZ$76,2,FALSE),
  O297="Tocantins",((W297*0.15)+(X297*0.7))*VLOOKUP(P297,'MunicípiosEstados'!$BA$2:$BB$140,2,FALSE),
  O297="Exterior",((W297*0.15)+(X297*0.7))*VLOOKUP(P297,'MunicípiosEstados'!$BC$2:$BE$221,3,FALSE),TRUE,0
)
</f>
        <v>3935.356</v>
      </c>
      <c r="AL297" s="25">
        <f t="shared" si="3"/>
        <v>10795.356</v>
      </c>
      <c r="AM297" s="25"/>
      <c r="AN297" s="26"/>
    </row>
    <row r="298" ht="22.5" customHeight="1">
      <c r="A298" s="15">
        <f t="shared" si="1"/>
        <v>297</v>
      </c>
      <c r="B298" s="16">
        <v>45998.7209208912</v>
      </c>
      <c r="C298" s="17" t="s">
        <v>696</v>
      </c>
      <c r="D298" s="27" t="s">
        <v>443</v>
      </c>
      <c r="E298" s="15" t="str">
        <f>VLOOKUP(G298,DiretoriaDepart.Coord.!$A$1:$C$72,2,FALSE)</f>
        <v>Extensão Rural</v>
      </c>
      <c r="F298" s="15" t="str">
        <f>VLOOKUP(G298,DiretoriaDepart.Coord.!$A$1:$C$72,3,FALSE)</f>
        <v>Projetos e Cadeias Produtivas</v>
      </c>
      <c r="G298" s="17" t="s">
        <v>697</v>
      </c>
      <c r="H298" s="15"/>
      <c r="I298" s="17" t="s">
        <v>1511</v>
      </c>
      <c r="J298" s="17" t="s">
        <v>576</v>
      </c>
      <c r="K298" s="34" t="s">
        <v>701</v>
      </c>
      <c r="L298" s="15"/>
      <c r="M298" s="17" t="s">
        <v>1062</v>
      </c>
      <c r="N298" s="17">
        <v>0.0</v>
      </c>
      <c r="O298" s="17" t="s">
        <v>1499</v>
      </c>
      <c r="P298" s="17" t="s">
        <v>1504</v>
      </c>
      <c r="Q298" s="20">
        <v>45872.333333333336</v>
      </c>
      <c r="R298" s="20">
        <v>45876.708333333336</v>
      </c>
      <c r="S298" s="17" t="s">
        <v>451</v>
      </c>
      <c r="T298" s="17" t="s">
        <v>452</v>
      </c>
      <c r="U298" s="21" t="s">
        <v>1512</v>
      </c>
      <c r="V298" s="21" t="s">
        <v>1513</v>
      </c>
      <c r="W298" s="22">
        <v>18.0</v>
      </c>
      <c r="X298" s="22">
        <v>15.0</v>
      </c>
      <c r="Y298" s="23">
        <v>0.0</v>
      </c>
      <c r="Z298" s="23">
        <v>0.0</v>
      </c>
      <c r="AA298" s="24">
        <v>3000.0</v>
      </c>
      <c r="AB298" s="24">
        <v>0.0</v>
      </c>
      <c r="AC298" s="24">
        <v>0.0</v>
      </c>
      <c r="AD298" s="23">
        <v>0.0</v>
      </c>
      <c r="AE298" s="24">
        <v>2000.0</v>
      </c>
      <c r="AF298" s="17" t="s">
        <v>451</v>
      </c>
      <c r="AG298" s="17">
        <v>200.0</v>
      </c>
      <c r="AH298" s="17" t="s">
        <v>464</v>
      </c>
      <c r="AI298" s="25">
        <f>IF(AF298="Sim",INT((R298-Q298+1))*K298*VLOOKUP(P298,'Tabelas Auxiliares'!$A$1:$C$400,3,FALSE),0)</f>
        <v>0</v>
      </c>
      <c r="AJ298" s="25">
        <f t="shared" si="2"/>
        <v>140</v>
      </c>
      <c r="AK298" s="25">
        <f>IFS(
  O298="Acre",((W298*0.15)+(X298*0.7))*VLOOKUP(P298,'MunicípiosEstados'!$A$2:$B$23,2,FALSE),
  O298="Alagoas",((W298*0.15)+(X298*0.7))*VLOOKUP(P298,'MunicípiosEstados'!$C$2:$D$103,2,FALSE),
  O298="Amapá",((W298*0.15)+(X298*0.7))*VLOOKUP(P298,'MunicípiosEstados'!$E$2:$F$17,2,FALSE),
  O298="Amazonas",((W298*0.15)+(X298*0.7))*VLOOKUP(P298,'MunicípiosEstados'!$G$2:$H$63,2,FALSE),
  O298="Bahia",((W298*0.15)+(X298*0.7))*VLOOKUP(P298,'MunicípiosEstados'!$I$2:$J$418,2,FALSE),
  O298="Ceará",((W298*0.15)+(X298*0.7))*VLOOKUP(P298,'MunicípiosEstados'!$K$2:$L$185,2,FALSE),
  O298="Distrito Federal",((W298*0.15)+(X298*0.7))*VLOOKUP(P298,'MunicípiosEstados'!$M$2:$N$2,2,FALSE),
  O298="Espírito Santo",((W298*0.15)+(X298*0.7))*VLOOKUP(P298,'MunicípiosEstados'!$O$2:$P$79,2,FALSE),
  O298="Goiás",((W298*0.15)+(X298*0.7))*VLOOKUP(P298,'MunicípiosEstados'!$Q$2:$R$247,2,FALSE),
  O298="Maranhão",((W298*0.15)+(X298*0.7))*VLOOKUP(P298,'MunicípiosEstados'!$S$2:$T$218,2,FALSE),
  O298="Mato Grosso",((W298*0.15)+(X298*0.7))*VLOOKUP(P298,'MunicípiosEstados'!$U$2:$V$143,2,FALSE),
  O298="Mato Grosso do Sul",((W298*0.15)+(X298*0.7))*VLOOKUP(P298,'MunicípiosEstados'!$W$2:$X$80,2,FALSE),
  O298="Minas Gerais",((W298*0.15)+(X298*0.7))*VLOOKUP(P298,'MunicípiosEstados'!$Y$2:$Z$854,2,FALSE),
  O298="Pará",((W298*0.15)+(X298*0.7))*VLOOKUP(P298,'MunicípiosEstados'!$AA$2:$AB$145,2,FALSE),
  O298="Paraíba",((W298*0.15)+(X298*0.7))*VLOOKUP(P298,'MunicípiosEstados'!$AC$2:$AD$224,2,FALSE),
  O298="Paraná",((W298*0.15)+(X298*0.7))*VLOOKUP(P298,'MunicípiosEstados'!$AE$2:$AF$400,2,FALSE),
  O298="Pernambuco",((W298*0.15)+(X298*0.7))*VLOOKUP(P298,'MunicípiosEstados'!$AG$2:$AH$186,2,FALSE),
  O298="Piauí",((W298*0.15)+(X298*0.7))*VLOOKUP(P298,'MunicípiosEstados'!$AI$2:$AJ$225,2,FALSE),
  O298="Rio Grande do Norte",((W298*0.15)+(X298*0.7))*VLOOKUP(P298,'MunicípiosEstados'!$AK$2:$AL$168,2,FALSE),
  O298="Rio Grande do Sul",((W298*0.15)+(X298*0.7))*VLOOKUP(P298,'MunicípiosEstados'!$AM$2:$AN$498,2,FALSE),
  O298="Rio de Janeiro",((W298*0.15)+(X298*0.7))*VLOOKUP(P298,'MunicípiosEstados'!$AO$2:$AP$93,2,FALSE),
  O298="Rondônia",((W298*0.15)+(X298*0.7))*VLOOKUP(P298,'MunicípiosEstados'!$AQ$2:$AR$53,2,FALSE),
  O298="Roraima",((W298*0.15)+(X298*0.7))*VLOOKUP(P298,'MunicípiosEstados'!$AS$2:$AT$16,2,FALSE),
  O298="Santa Catarina",((W298*0.15)+(X298*0.7))*VLOOKUP(P298,'MunicípiosEstados'!$AU$2:$AV$296,2,FALSE),
  O298="São Paulo",((W298*0.15)+(X298*0.7))*VLOOKUP(P298,'MunicípiosEstados'!$AW$2:$AX$646,2,FALSE),
  O298="Sergipe",((W298*0.15)+(X298*0.7))*VLOOKUP(P298,'MunicípiosEstados'!$AY$2:$AZ$76,2,FALSE),
  O298="Tocantins",((W298*0.15)+(X298*0.7))*VLOOKUP(P298,'MunicípiosEstados'!$BA$2:$BB$140,2,FALSE),
  O298="Exterior",((W298*0.15)+(X298*0.7))*VLOOKUP(P298,'MunicípiosEstados'!$BC$2:$BE$221,3,FALSE),TRUE,0
)
</f>
        <v>3835.26</v>
      </c>
      <c r="AL298" s="25">
        <f t="shared" si="3"/>
        <v>8975.26</v>
      </c>
      <c r="AN298" s="31"/>
    </row>
    <row r="299" ht="22.5" hidden="1" customHeight="1">
      <c r="A299" s="15">
        <f t="shared" si="1"/>
        <v>298</v>
      </c>
      <c r="B299" s="16">
        <v>45999.61549601852</v>
      </c>
      <c r="C299" s="17" t="s">
        <v>442</v>
      </c>
      <c r="D299" s="18" t="s">
        <v>443</v>
      </c>
      <c r="E299" s="15" t="str">
        <f>VLOOKUP(G299,DiretoriaDepart.Coord.!$A$1:$C$72,2,FALSE)</f>
        <v>Pesquisa e Inovação</v>
      </c>
      <c r="F299" s="15" t="str">
        <f>VLOOKUP(G299,DiretoriaDepart.Coord.!$A$1:$C$72,3,FALSE)</f>
        <v>Pesquisa e Capacitação</v>
      </c>
      <c r="G299" s="17" t="s">
        <v>444</v>
      </c>
      <c r="H299" s="15"/>
      <c r="I299" s="17" t="s">
        <v>1514</v>
      </c>
      <c r="J299" s="17" t="s">
        <v>459</v>
      </c>
      <c r="K299" s="17">
        <v>1.0</v>
      </c>
      <c r="L299" s="17" t="s">
        <v>1515</v>
      </c>
      <c r="M299" s="17" t="s">
        <v>1516</v>
      </c>
      <c r="N299" s="17">
        <v>150.0</v>
      </c>
      <c r="O299" s="17" t="s">
        <v>1517</v>
      </c>
      <c r="P299" s="17" t="s">
        <v>1518</v>
      </c>
      <c r="Q299" s="20">
        <v>45900.354166666664</v>
      </c>
      <c r="R299" s="20">
        <v>45904.708333333336</v>
      </c>
      <c r="S299" s="17" t="s">
        <v>464</v>
      </c>
      <c r="T299" s="17" t="s">
        <v>452</v>
      </c>
      <c r="U299" s="21" t="s">
        <v>1519</v>
      </c>
      <c r="V299" s="21" t="s">
        <v>1520</v>
      </c>
      <c r="W299" s="22">
        <v>10.0</v>
      </c>
      <c r="X299" s="22">
        <v>5.0</v>
      </c>
      <c r="Y299" s="23">
        <v>950.0</v>
      </c>
      <c r="Z299" s="23">
        <v>0.0</v>
      </c>
      <c r="AA299" s="24">
        <v>1500.0</v>
      </c>
      <c r="AB299" s="24">
        <v>0.0</v>
      </c>
      <c r="AC299" s="24">
        <v>200.0</v>
      </c>
      <c r="AD299" s="23">
        <v>0.0</v>
      </c>
      <c r="AE299" s="24">
        <v>0.0</v>
      </c>
      <c r="AF299" s="17" t="s">
        <v>451</v>
      </c>
      <c r="AG299" s="17">
        <v>0.0</v>
      </c>
      <c r="AH299" s="17" t="s">
        <v>451</v>
      </c>
      <c r="AI299" s="25">
        <f>IF(AF299="Sim",INT((R299-Q299+1))*K299*VLOOKUP(P299,'Tabelas Auxiliares'!$A$1:$C$400,3,FALSE),0)</f>
        <v>0</v>
      </c>
      <c r="AJ299" s="25">
        <f t="shared" si="2"/>
        <v>0</v>
      </c>
      <c r="AK299" s="25">
        <f>IFS(
  O299="Acre",((W299*0.15)+(X299*0.7))*VLOOKUP(P299,'MunicípiosEstados'!$A$2:$B$23,2,FALSE),
  O299="Alagoas",((W299*0.15)+(X299*0.7))*VLOOKUP(P299,'MunicípiosEstados'!$C$2:$D$103,2,FALSE),
  O299="Amapá",((W299*0.15)+(X299*0.7))*VLOOKUP(P299,'MunicípiosEstados'!$E$2:$F$17,2,FALSE),
  O299="Amazonas",((W299*0.15)+(X299*0.7))*VLOOKUP(P299,'MunicípiosEstados'!$G$2:$H$63,2,FALSE),
  O299="Bahia",((W299*0.15)+(X299*0.7))*VLOOKUP(P299,'MunicípiosEstados'!$I$2:$J$418,2,FALSE),
  O299="Ceará",((W299*0.15)+(X299*0.7))*VLOOKUP(P299,'MunicípiosEstados'!$K$2:$L$185,2,FALSE),
  O299="Distrito Federal",((W299*0.15)+(X299*0.7))*VLOOKUP(P299,'MunicípiosEstados'!$M$2:$N$2,2,FALSE),
  O299="Espírito Santo",((W299*0.15)+(X299*0.7))*VLOOKUP(P299,'MunicípiosEstados'!$O$2:$P$79,2,FALSE),
  O299="Goiás",((W299*0.15)+(X299*0.7))*VLOOKUP(P299,'MunicípiosEstados'!$Q$2:$R$247,2,FALSE),
  O299="Maranhão",((W299*0.15)+(X299*0.7))*VLOOKUP(P299,'MunicípiosEstados'!$S$2:$T$218,2,FALSE),
  O299="Mato Grosso",((W299*0.15)+(X299*0.7))*VLOOKUP(P299,'MunicípiosEstados'!$U$2:$V$143,2,FALSE),
  O299="Mato Grosso do Sul",((W299*0.15)+(X299*0.7))*VLOOKUP(P299,'MunicípiosEstados'!$W$2:$X$80,2,FALSE),
  O299="Minas Gerais",((W299*0.15)+(X299*0.7))*VLOOKUP(P299,'MunicípiosEstados'!$Y$2:$Z$854,2,FALSE),
  O299="Pará",((W299*0.15)+(X299*0.7))*VLOOKUP(P299,'MunicípiosEstados'!$AA$2:$AB$145,2,FALSE),
  O299="Paraíba",((W299*0.15)+(X299*0.7))*VLOOKUP(P299,'MunicípiosEstados'!$AC$2:$AD$224,2,FALSE),
  O299="Paraná",((W299*0.15)+(X299*0.7))*VLOOKUP(P299,'MunicípiosEstados'!$AE$2:$AF$400,2,FALSE),
  O299="Pernambuco",((W299*0.15)+(X299*0.7))*VLOOKUP(P299,'MunicípiosEstados'!$AG$2:$AH$186,2,FALSE),
  O299="Piauí",((W299*0.15)+(X299*0.7))*VLOOKUP(P299,'MunicípiosEstados'!$AI$2:$AJ$225,2,FALSE),
  O299="Rio Grande do Norte",((W299*0.15)+(X299*0.7))*VLOOKUP(P299,'MunicípiosEstados'!$AK$2:$AL$168,2,FALSE),
  O299="Rio Grande do Sul",((W299*0.15)+(X299*0.7))*VLOOKUP(P299,'MunicípiosEstados'!$AM$2:$AN$498,2,FALSE),
  O299="Rio de Janeiro",((W299*0.15)+(X299*0.7))*VLOOKUP(P299,'MunicípiosEstados'!$AO$2:$AP$93,2,FALSE),
  O299="Rondônia",((W299*0.15)+(X299*0.7))*VLOOKUP(P299,'MunicípiosEstados'!$AQ$2:$AR$53,2,FALSE),
  O299="Roraima",((W299*0.15)+(X299*0.7))*VLOOKUP(P299,'MunicípiosEstados'!$AS$2:$AT$16,2,FALSE),
  O299="Santa Catarina",((W299*0.15)+(X299*0.7))*VLOOKUP(P299,'MunicípiosEstados'!$AU$2:$AV$296,2,FALSE),
  O299="São Paulo",((W299*0.15)+(X299*0.7))*VLOOKUP(P299,'MunicípiosEstados'!$AW$2:$AX$646,2,FALSE),
  O299="Sergipe",((W299*0.15)+(X299*0.7))*VLOOKUP(P299,'MunicípiosEstados'!$AY$2:$AZ$76,2,FALSE),
  O299="Tocantins",((W299*0.15)+(X299*0.7))*VLOOKUP(P299,'MunicípiosEstados'!$BA$2:$BB$140,2,FALSE),
  O299="Exterior",((W299*0.15)+(X299*0.7))*VLOOKUP(P299,'MunicípiosEstados'!$BC$2:$BE$221,3,FALSE),TRUE,0
)
</f>
        <v>1452.75</v>
      </c>
      <c r="AL299" s="25">
        <f t="shared" si="3"/>
        <v>4102.75</v>
      </c>
      <c r="AN299" s="26"/>
    </row>
    <row r="300" ht="22.5" hidden="1" customHeight="1">
      <c r="A300" s="15">
        <f t="shared" si="1"/>
        <v>299</v>
      </c>
      <c r="B300" s="16">
        <v>45979.471327928244</v>
      </c>
      <c r="C300" s="17" t="s">
        <v>536</v>
      </c>
      <c r="D300" s="27" t="s">
        <v>456</v>
      </c>
      <c r="E300" s="15" t="str">
        <f>VLOOKUP(G300,DiretoriaDepart.Coord.!$A$1:$C$72,2,FALSE)</f>
        <v>Pesquisa e Inovação</v>
      </c>
      <c r="F300" s="15" t="str">
        <f>VLOOKUP(G300,DiretoriaDepart.Coord.!$A$1:$C$72,3,FALSE)</f>
        <v>Inovação e Comunicação Científica</v>
      </c>
      <c r="G300" s="17" t="s">
        <v>537</v>
      </c>
      <c r="H300" s="15"/>
      <c r="I300" s="17" t="s">
        <v>1521</v>
      </c>
      <c r="J300" s="17" t="s">
        <v>883</v>
      </c>
      <c r="K300" s="17">
        <v>1.0</v>
      </c>
      <c r="L300" s="17" t="s">
        <v>1522</v>
      </c>
      <c r="M300" s="17" t="s">
        <v>1523</v>
      </c>
      <c r="N300" s="17">
        <v>100.0</v>
      </c>
      <c r="O300" s="17" t="s">
        <v>1524</v>
      </c>
      <c r="P300" s="17" t="s">
        <v>1525</v>
      </c>
      <c r="Q300" s="20">
        <v>45740.333333333336</v>
      </c>
      <c r="R300" s="20">
        <v>45742.708333333336</v>
      </c>
      <c r="S300" s="17" t="s">
        <v>464</v>
      </c>
      <c r="T300" s="17" t="s">
        <v>452</v>
      </c>
      <c r="U300" s="30" t="s">
        <v>1526</v>
      </c>
      <c r="V300" s="30" t="s">
        <v>1527</v>
      </c>
      <c r="W300" s="22">
        <v>5.0</v>
      </c>
      <c r="X300" s="22">
        <v>4.0</v>
      </c>
      <c r="Y300" s="23">
        <v>250.0</v>
      </c>
      <c r="Z300" s="23">
        <v>180.0</v>
      </c>
      <c r="AA300" s="24">
        <v>3380.0</v>
      </c>
      <c r="AB300" s="24">
        <v>300.0</v>
      </c>
      <c r="AC300" s="24">
        <v>400.0</v>
      </c>
      <c r="AD300" s="23">
        <v>0.0</v>
      </c>
      <c r="AE300" s="24">
        <v>0.0</v>
      </c>
      <c r="AF300" s="17" t="s">
        <v>451</v>
      </c>
      <c r="AG300" s="17">
        <v>0.0</v>
      </c>
      <c r="AH300" s="17" t="s">
        <v>451</v>
      </c>
      <c r="AI300" s="25">
        <f>IF(AF300="Sim",INT((R300-Q300+1))*K300*VLOOKUP(P300,'Tabelas Auxiliares'!$A$1:$C$400,3,FALSE),0)</f>
        <v>0</v>
      </c>
      <c r="AJ300" s="25">
        <f t="shared" si="2"/>
        <v>0</v>
      </c>
      <c r="AK300" s="25">
        <f>IFS(
  O300="Acre",((W300*0.15)+(X300*0.7))*VLOOKUP(P300,'MunicípiosEstados'!$A$2:$B$23,2,FALSE),
  O300="Alagoas",((W300*0.15)+(X300*0.7))*VLOOKUP(P300,'MunicípiosEstados'!$C$2:$D$103,2,FALSE),
  O300="Amapá",((W300*0.15)+(X300*0.7))*VLOOKUP(P300,'MunicípiosEstados'!$E$2:$F$17,2,FALSE),
  O300="Amazonas",((W300*0.15)+(X300*0.7))*VLOOKUP(P300,'MunicípiosEstados'!$G$2:$H$63,2,FALSE),
  O300="Bahia",((W300*0.15)+(X300*0.7))*VLOOKUP(P300,'MunicípiosEstados'!$I$2:$J$418,2,FALSE),
  O300="Ceará",((W300*0.15)+(X300*0.7))*VLOOKUP(P300,'MunicípiosEstados'!$K$2:$L$185,2,FALSE),
  O300="Distrito Federal",((W300*0.15)+(X300*0.7))*VLOOKUP(P300,'MunicípiosEstados'!$M$2:$N$2,2,FALSE),
  O300="Espírito Santo",((W300*0.15)+(X300*0.7))*VLOOKUP(P300,'MunicípiosEstados'!$O$2:$P$79,2,FALSE),
  O300="Goiás",((W300*0.15)+(X300*0.7))*VLOOKUP(P300,'MunicípiosEstados'!$Q$2:$R$247,2,FALSE),
  O300="Maranhão",((W300*0.15)+(X300*0.7))*VLOOKUP(P300,'MunicípiosEstados'!$S$2:$T$218,2,FALSE),
  O300="Mato Grosso",((W300*0.15)+(X300*0.7))*VLOOKUP(P300,'MunicípiosEstados'!$U$2:$V$143,2,FALSE),
  O300="Mato Grosso do Sul",((W300*0.15)+(X300*0.7))*VLOOKUP(P300,'MunicípiosEstados'!$W$2:$X$80,2,FALSE),
  O300="Minas Gerais",((W300*0.15)+(X300*0.7))*VLOOKUP(P300,'MunicípiosEstados'!$Y$2:$Z$854,2,FALSE),
  O300="Pará",((W300*0.15)+(X300*0.7))*VLOOKUP(P300,'MunicípiosEstados'!$AA$2:$AB$145,2,FALSE),
  O300="Paraíba",((W300*0.15)+(X300*0.7))*VLOOKUP(P300,'MunicípiosEstados'!$AC$2:$AD$224,2,FALSE),
  O300="Paraná",((W300*0.15)+(X300*0.7))*VLOOKUP(P300,'MunicípiosEstados'!$AE$2:$AF$400,2,FALSE),
  O300="Pernambuco",((W300*0.15)+(X300*0.7))*VLOOKUP(P300,'MunicípiosEstados'!$AG$2:$AH$186,2,FALSE),
  O300="Piauí",((W300*0.15)+(X300*0.7))*VLOOKUP(P300,'MunicípiosEstados'!$AI$2:$AJ$225,2,FALSE),
  O300="Rio Grande do Norte",((W300*0.15)+(X300*0.7))*VLOOKUP(P300,'MunicípiosEstados'!$AK$2:$AL$168,2,FALSE),
  O300="Rio Grande do Sul",((W300*0.15)+(X300*0.7))*VLOOKUP(P300,'MunicípiosEstados'!$AM$2:$AN$498,2,FALSE),
  O300="Rio de Janeiro",((W300*0.15)+(X300*0.7))*VLOOKUP(P300,'MunicípiosEstados'!$AO$2:$AP$93,2,FALSE),
  O300="Rondônia",((W300*0.15)+(X300*0.7))*VLOOKUP(P300,'MunicípiosEstados'!$AQ$2:$AR$53,2,FALSE),
  O300="Roraima",((W300*0.15)+(X300*0.7))*VLOOKUP(P300,'MunicípiosEstados'!$AS$2:$AT$16,2,FALSE),
  O300="Santa Catarina",((W300*0.15)+(X300*0.7))*VLOOKUP(P300,'MunicípiosEstados'!$AU$2:$AV$296,2,FALSE),
  O300="São Paulo",((W300*0.15)+(X300*0.7))*VLOOKUP(P300,'MunicípiosEstados'!$AW$2:$AX$646,2,FALSE),
  O300="Sergipe",((W300*0.15)+(X300*0.7))*VLOOKUP(P300,'MunicípiosEstados'!$AY$2:$AZ$76,2,FALSE),
  O300="Tocantins",((W300*0.15)+(X300*0.7))*VLOOKUP(P300,'MunicípiosEstados'!$BA$2:$BB$140,2,FALSE),
  O300="Exterior",((W300*0.15)+(X300*0.7))*VLOOKUP(P300,'MunicípiosEstados'!$BC$2:$BE$221,3,FALSE),TRUE,0
)
</f>
        <v>1031.4525</v>
      </c>
      <c r="AL300" s="25">
        <f t="shared" si="3"/>
        <v>5541.4525</v>
      </c>
      <c r="AM300" s="25"/>
      <c r="AN300" s="29" t="s">
        <v>456</v>
      </c>
    </row>
    <row r="301" ht="22.5" hidden="1" customHeight="1">
      <c r="A301" s="15">
        <f t="shared" si="1"/>
        <v>300</v>
      </c>
      <c r="B301" s="16">
        <v>45987.613231655094</v>
      </c>
      <c r="C301" s="17" t="s">
        <v>1010</v>
      </c>
      <c r="D301" s="27" t="s">
        <v>443</v>
      </c>
      <c r="E301" s="15" t="str">
        <f>VLOOKUP(G301,DiretoriaDepart.Coord.!$A$1:$C$72,2,FALSE)</f>
        <v>Extensão Rural</v>
      </c>
      <c r="F301" s="15" t="str">
        <f>VLOOKUP(G301,DiretoriaDepart.Coord.!$A$1:$C$72,3,FALSE)</f>
        <v>Políticas Públicas</v>
      </c>
      <c r="G301" s="17" t="s">
        <v>1011</v>
      </c>
      <c r="H301" s="15"/>
      <c r="I301" s="19" t="s">
        <v>1528</v>
      </c>
      <c r="J301" s="17" t="s">
        <v>490</v>
      </c>
      <c r="K301" s="17">
        <v>4.0</v>
      </c>
      <c r="L301" s="15"/>
      <c r="M301" s="17" t="s">
        <v>451</v>
      </c>
      <c r="N301" s="17">
        <v>0.0</v>
      </c>
      <c r="O301" s="17" t="s">
        <v>1524</v>
      </c>
      <c r="P301" s="17" t="s">
        <v>1529</v>
      </c>
      <c r="Q301" s="20">
        <v>45857.583333333336</v>
      </c>
      <c r="R301" s="20">
        <v>45861.833333333336</v>
      </c>
      <c r="S301" s="17" t="s">
        <v>464</v>
      </c>
      <c r="T301" s="17" t="s">
        <v>452</v>
      </c>
      <c r="U301" s="21" t="s">
        <v>1530</v>
      </c>
      <c r="V301" s="21" t="s">
        <v>1531</v>
      </c>
      <c r="W301" s="22">
        <v>48.0</v>
      </c>
      <c r="X301" s="22">
        <v>24.0</v>
      </c>
      <c r="Y301" s="23">
        <v>2520.0</v>
      </c>
      <c r="Z301" s="23">
        <v>0.0</v>
      </c>
      <c r="AA301" s="24">
        <v>20826.0</v>
      </c>
      <c r="AB301" s="24">
        <v>0.0</v>
      </c>
      <c r="AC301" s="24">
        <v>0.0</v>
      </c>
      <c r="AD301" s="23">
        <v>0.0</v>
      </c>
      <c r="AE301" s="24">
        <v>0.0</v>
      </c>
      <c r="AF301" s="17" t="s">
        <v>451</v>
      </c>
      <c r="AG301" s="17">
        <v>0.0</v>
      </c>
      <c r="AH301" s="17" t="s">
        <v>451</v>
      </c>
      <c r="AI301" s="25">
        <f>IF(AF301="Sim",INT((R301-Q301+1))*K301*VLOOKUP(P301,'Tabelas Auxiliares'!$A$1:$C$400,3,FALSE),0)</f>
        <v>0</v>
      </c>
      <c r="AJ301" s="25">
        <f t="shared" si="2"/>
        <v>0</v>
      </c>
      <c r="AK301" s="25">
        <f>IFS(
  O301="Acre",((W301*0.15)+(X301*0.7))*VLOOKUP(P301,'MunicípiosEstados'!$A$2:$B$23,2,FALSE),
  O301="Alagoas",((W301*0.15)+(X301*0.7))*VLOOKUP(P301,'MunicípiosEstados'!$C$2:$D$103,2,FALSE),
  O301="Amapá",((W301*0.15)+(X301*0.7))*VLOOKUP(P301,'MunicípiosEstados'!$E$2:$F$17,2,FALSE),
  O301="Amazonas",((W301*0.15)+(X301*0.7))*VLOOKUP(P301,'MunicípiosEstados'!$G$2:$H$63,2,FALSE),
  O301="Bahia",((W301*0.15)+(X301*0.7))*VLOOKUP(P301,'MunicípiosEstados'!$I$2:$J$418,2,FALSE),
  O301="Ceará",((W301*0.15)+(X301*0.7))*VLOOKUP(P301,'MunicípiosEstados'!$K$2:$L$185,2,FALSE),
  O301="Distrito Federal",((W301*0.15)+(X301*0.7))*VLOOKUP(P301,'MunicípiosEstados'!$M$2:$N$2,2,FALSE),
  O301="Espírito Santo",((W301*0.15)+(X301*0.7))*VLOOKUP(P301,'MunicípiosEstados'!$O$2:$P$79,2,FALSE),
  O301="Goiás",((W301*0.15)+(X301*0.7))*VLOOKUP(P301,'MunicípiosEstados'!$Q$2:$R$247,2,FALSE),
  O301="Maranhão",((W301*0.15)+(X301*0.7))*VLOOKUP(P301,'MunicípiosEstados'!$S$2:$T$218,2,FALSE),
  O301="Mato Grosso",((W301*0.15)+(X301*0.7))*VLOOKUP(P301,'MunicípiosEstados'!$U$2:$V$143,2,FALSE),
  O301="Mato Grosso do Sul",((W301*0.15)+(X301*0.7))*VLOOKUP(P301,'MunicípiosEstados'!$W$2:$X$80,2,FALSE),
  O301="Minas Gerais",((W301*0.15)+(X301*0.7))*VLOOKUP(P301,'MunicípiosEstados'!$Y$2:$Z$854,2,FALSE),
  O301="Pará",((W301*0.15)+(X301*0.7))*VLOOKUP(P301,'MunicípiosEstados'!$AA$2:$AB$145,2,FALSE),
  O301="Paraíba",((W301*0.15)+(X301*0.7))*VLOOKUP(P301,'MunicípiosEstados'!$AC$2:$AD$224,2,FALSE),
  O301="Paraná",((W301*0.15)+(X301*0.7))*VLOOKUP(P301,'MunicípiosEstados'!$AE$2:$AF$400,2,FALSE),
  O301="Pernambuco",((W301*0.15)+(X301*0.7))*VLOOKUP(P301,'MunicípiosEstados'!$AG$2:$AH$186,2,FALSE),
  O301="Piauí",((W301*0.15)+(X301*0.7))*VLOOKUP(P301,'MunicípiosEstados'!$AI$2:$AJ$225,2,FALSE),
  O301="Rio Grande do Norte",((W301*0.15)+(X301*0.7))*VLOOKUP(P301,'MunicípiosEstados'!$AK$2:$AL$168,2,FALSE),
  O301="Rio Grande do Sul",((W301*0.15)+(X301*0.7))*VLOOKUP(P301,'MunicípiosEstados'!$AM$2:$AN$498,2,FALSE),
  O301="Rio de Janeiro",((W301*0.15)+(X301*0.7))*VLOOKUP(P301,'MunicípiosEstados'!$AO$2:$AP$93,2,FALSE),
  O301="Rondônia",((W301*0.15)+(X301*0.7))*VLOOKUP(P301,'MunicípiosEstados'!$AQ$2:$AR$53,2,FALSE),
  O301="Roraima",((W301*0.15)+(X301*0.7))*VLOOKUP(P301,'MunicípiosEstados'!$AS$2:$AT$16,2,FALSE),
  O301="Santa Catarina",((W301*0.15)+(X301*0.7))*VLOOKUP(P301,'MunicípiosEstados'!$AU$2:$AV$296,2,FALSE),
  O301="São Paulo",((W301*0.15)+(X301*0.7))*VLOOKUP(P301,'MunicípiosEstados'!$AW$2:$AX$646,2,FALSE),
  O301="Sergipe",((W301*0.15)+(X301*0.7))*VLOOKUP(P301,'MunicípiosEstados'!$AY$2:$AZ$76,2,FALSE),
  O301="Tocantins",((W301*0.15)+(X301*0.7))*VLOOKUP(P301,'MunicípiosEstados'!$BA$2:$BB$140,2,FALSE),
  O301="Exterior",((W301*0.15)+(X301*0.7))*VLOOKUP(P301,'MunicípiosEstados'!$BC$2:$BE$221,3,FALSE),TRUE,0
)
</f>
        <v>8910.24</v>
      </c>
      <c r="AL301" s="25">
        <f t="shared" si="3"/>
        <v>32256.24</v>
      </c>
      <c r="AM301" s="25"/>
      <c r="AN301" s="31"/>
    </row>
    <row r="302" ht="22.5" hidden="1" customHeight="1">
      <c r="A302" s="15">
        <f t="shared" si="1"/>
        <v>301</v>
      </c>
      <c r="B302" s="16">
        <v>45996.41570633102</v>
      </c>
      <c r="C302" s="17" t="s">
        <v>1532</v>
      </c>
      <c r="D302" s="27" t="s">
        <v>456</v>
      </c>
      <c r="E302" s="15" t="str">
        <f>VLOOKUP(G302,DiretoriaDepart.Coord.!$A$1:$C$72,2,FALSE)</f>
        <v>Pesquisa e Inovação</v>
      </c>
      <c r="F302" s="15" t="str">
        <f>VLOOKUP(G302,DiretoriaDepart.Coord.!$A$1:$C$72,3,FALSE)</f>
        <v>Inovação e Comunicação Científica</v>
      </c>
      <c r="G302" s="17" t="s">
        <v>537</v>
      </c>
      <c r="H302" s="15"/>
      <c r="I302" s="17" t="s">
        <v>1533</v>
      </c>
      <c r="J302" s="17" t="s">
        <v>883</v>
      </c>
      <c r="K302" s="17">
        <v>2.0</v>
      </c>
      <c r="L302" s="17" t="s">
        <v>1534</v>
      </c>
      <c r="M302" s="17" t="s">
        <v>1535</v>
      </c>
      <c r="N302" s="17">
        <v>80.0</v>
      </c>
      <c r="O302" s="17" t="s">
        <v>1524</v>
      </c>
      <c r="P302" s="17" t="s">
        <v>1525</v>
      </c>
      <c r="Q302" s="20">
        <v>45740.333333333336</v>
      </c>
      <c r="R302" s="20">
        <v>45742.541666666664</v>
      </c>
      <c r="S302" s="17" t="s">
        <v>464</v>
      </c>
      <c r="T302" s="17" t="s">
        <v>452</v>
      </c>
      <c r="U302" s="21" t="s">
        <v>1536</v>
      </c>
      <c r="V302" s="21" t="s">
        <v>1537</v>
      </c>
      <c r="W302" s="22">
        <v>20.0</v>
      </c>
      <c r="X302" s="22">
        <v>8.0</v>
      </c>
      <c r="Y302" s="23">
        <v>600.0</v>
      </c>
      <c r="Z302" s="23">
        <v>0.0</v>
      </c>
      <c r="AA302" s="24">
        <v>7000.0</v>
      </c>
      <c r="AB302" s="24">
        <v>800.0</v>
      </c>
      <c r="AC302" s="24">
        <v>300.0</v>
      </c>
      <c r="AD302" s="23">
        <v>0.0</v>
      </c>
      <c r="AE302" s="24">
        <v>0.0</v>
      </c>
      <c r="AF302" s="17" t="s">
        <v>451</v>
      </c>
      <c r="AG302" s="17">
        <v>0.0</v>
      </c>
      <c r="AH302" s="17" t="s">
        <v>451</v>
      </c>
      <c r="AI302" s="25">
        <f>IF(AF302="Sim",INT((R302-Q302+1))*K302*VLOOKUP(P302,'Tabelas Auxiliares'!$A$1:$C$400,3,FALSE),0)</f>
        <v>0</v>
      </c>
      <c r="AJ302" s="25">
        <f t="shared" si="2"/>
        <v>0</v>
      </c>
      <c r="AK302" s="25">
        <f>IFS(
  O302="Acre",((W302*0.15)+(X302*0.7))*VLOOKUP(P302,'MunicípiosEstados'!$A$2:$B$23,2,FALSE),
  O302="Alagoas",((W302*0.15)+(X302*0.7))*VLOOKUP(P302,'MunicípiosEstados'!$C$2:$D$103,2,FALSE),
  O302="Amapá",((W302*0.15)+(X302*0.7))*VLOOKUP(P302,'MunicípiosEstados'!$E$2:$F$17,2,FALSE),
  O302="Amazonas",((W302*0.15)+(X302*0.7))*VLOOKUP(P302,'MunicípiosEstados'!$G$2:$H$63,2,FALSE),
  O302="Bahia",((W302*0.15)+(X302*0.7))*VLOOKUP(P302,'MunicípiosEstados'!$I$2:$J$418,2,FALSE),
  O302="Ceará",((W302*0.15)+(X302*0.7))*VLOOKUP(P302,'MunicípiosEstados'!$K$2:$L$185,2,FALSE),
  O302="Distrito Federal",((W302*0.15)+(X302*0.7))*VLOOKUP(P302,'MunicípiosEstados'!$M$2:$N$2,2,FALSE),
  O302="Espírito Santo",((W302*0.15)+(X302*0.7))*VLOOKUP(P302,'MunicípiosEstados'!$O$2:$P$79,2,FALSE),
  O302="Goiás",((W302*0.15)+(X302*0.7))*VLOOKUP(P302,'MunicípiosEstados'!$Q$2:$R$247,2,FALSE),
  O302="Maranhão",((W302*0.15)+(X302*0.7))*VLOOKUP(P302,'MunicípiosEstados'!$S$2:$T$218,2,FALSE),
  O302="Mato Grosso",((W302*0.15)+(X302*0.7))*VLOOKUP(P302,'MunicípiosEstados'!$U$2:$V$143,2,FALSE),
  O302="Mato Grosso do Sul",((W302*0.15)+(X302*0.7))*VLOOKUP(P302,'MunicípiosEstados'!$W$2:$X$80,2,FALSE),
  O302="Minas Gerais",((W302*0.15)+(X302*0.7))*VLOOKUP(P302,'MunicípiosEstados'!$Y$2:$Z$854,2,FALSE),
  O302="Pará",((W302*0.15)+(X302*0.7))*VLOOKUP(P302,'MunicípiosEstados'!$AA$2:$AB$145,2,FALSE),
  O302="Paraíba",((W302*0.15)+(X302*0.7))*VLOOKUP(P302,'MunicípiosEstados'!$AC$2:$AD$224,2,FALSE),
  O302="Paraná",((W302*0.15)+(X302*0.7))*VLOOKUP(P302,'MunicípiosEstados'!$AE$2:$AF$400,2,FALSE),
  O302="Pernambuco",((W302*0.15)+(X302*0.7))*VLOOKUP(P302,'MunicípiosEstados'!$AG$2:$AH$186,2,FALSE),
  O302="Piauí",((W302*0.15)+(X302*0.7))*VLOOKUP(P302,'MunicípiosEstados'!$AI$2:$AJ$225,2,FALSE),
  O302="Rio Grande do Norte",((W302*0.15)+(X302*0.7))*VLOOKUP(P302,'MunicípiosEstados'!$AK$2:$AL$168,2,FALSE),
  O302="Rio Grande do Sul",((W302*0.15)+(X302*0.7))*VLOOKUP(P302,'MunicípiosEstados'!$AM$2:$AN$498,2,FALSE),
  O302="Rio de Janeiro",((W302*0.15)+(X302*0.7))*VLOOKUP(P302,'MunicípiosEstados'!$AO$2:$AP$93,2,FALSE),
  O302="Rondônia",((W302*0.15)+(X302*0.7))*VLOOKUP(P302,'MunicípiosEstados'!$AQ$2:$AR$53,2,FALSE),
  O302="Roraima",((W302*0.15)+(X302*0.7))*VLOOKUP(P302,'MunicípiosEstados'!$AS$2:$AT$16,2,FALSE),
  O302="Santa Catarina",((W302*0.15)+(X302*0.7))*VLOOKUP(P302,'MunicípiosEstados'!$AU$2:$AV$296,2,FALSE),
  O302="São Paulo",((W302*0.15)+(X302*0.7))*VLOOKUP(P302,'MunicípiosEstados'!$AW$2:$AX$646,2,FALSE),
  O302="Sergipe",((W302*0.15)+(X302*0.7))*VLOOKUP(P302,'MunicípiosEstados'!$AY$2:$AZ$76,2,FALSE),
  O302="Tocantins",((W302*0.15)+(X302*0.7))*VLOOKUP(P302,'MunicípiosEstados'!$BA$2:$BB$140,2,FALSE),
  O302="Exterior",((W302*0.15)+(X302*0.7))*VLOOKUP(P302,'MunicípiosEstados'!$BC$2:$BE$221,3,FALSE),TRUE,0
)
</f>
        <v>2498.73</v>
      </c>
      <c r="AL302" s="25">
        <f t="shared" si="3"/>
        <v>11198.73</v>
      </c>
      <c r="AN302" s="29" t="s">
        <v>1538</v>
      </c>
    </row>
    <row r="303" ht="22.5" hidden="1" customHeight="1">
      <c r="A303" s="15">
        <f t="shared" si="1"/>
        <v>302</v>
      </c>
      <c r="B303" s="16">
        <v>45996.55151244213</v>
      </c>
      <c r="C303" s="17" t="s">
        <v>1316</v>
      </c>
      <c r="D303" s="27" t="s">
        <v>456</v>
      </c>
      <c r="E303" s="15" t="str">
        <f>VLOOKUP(G303,DiretoriaDepart.Coord.!$A$1:$C$72,2,FALSE)</f>
        <v>Pesquisa e Inovação</v>
      </c>
      <c r="F303" s="15" t="str">
        <f>VLOOKUP(G303,DiretoriaDepart.Coord.!$A$1:$C$72,3,FALSE)</f>
        <v>Inovação e Comunicação Científica</v>
      </c>
      <c r="G303" s="17" t="s">
        <v>537</v>
      </c>
      <c r="H303" s="15"/>
      <c r="I303" s="17" t="s">
        <v>1533</v>
      </c>
      <c r="J303" s="17" t="s">
        <v>883</v>
      </c>
      <c r="K303" s="17">
        <v>2.0</v>
      </c>
      <c r="L303" s="17" t="s">
        <v>1539</v>
      </c>
      <c r="M303" s="17" t="s">
        <v>1540</v>
      </c>
      <c r="N303" s="17">
        <v>50.0</v>
      </c>
      <c r="O303" s="17" t="s">
        <v>1524</v>
      </c>
      <c r="P303" s="17" t="s">
        <v>1525</v>
      </c>
      <c r="Q303" s="20">
        <v>45740.333333333336</v>
      </c>
      <c r="R303" s="20">
        <v>45742.708333333336</v>
      </c>
      <c r="S303" s="17" t="s">
        <v>464</v>
      </c>
      <c r="T303" s="17" t="s">
        <v>452</v>
      </c>
      <c r="U303" s="21" t="s">
        <v>1541</v>
      </c>
      <c r="V303" s="21" t="s">
        <v>1542</v>
      </c>
      <c r="W303" s="22">
        <v>20.0</v>
      </c>
      <c r="X303" s="22">
        <v>4.0</v>
      </c>
      <c r="Y303" s="23">
        <v>500.0</v>
      </c>
      <c r="Z303" s="23">
        <v>200.0</v>
      </c>
      <c r="AA303" s="24">
        <v>3800.0</v>
      </c>
      <c r="AB303" s="24">
        <v>0.0</v>
      </c>
      <c r="AC303" s="24">
        <v>400.0</v>
      </c>
      <c r="AD303" s="23">
        <v>0.0</v>
      </c>
      <c r="AE303" s="24">
        <v>0.0</v>
      </c>
      <c r="AF303" s="17" t="s">
        <v>451</v>
      </c>
      <c r="AG303" s="17">
        <v>0.0</v>
      </c>
      <c r="AH303" s="17" t="s">
        <v>451</v>
      </c>
      <c r="AI303" s="25">
        <f>IF(AF303="Sim",INT((R303-Q303+1))*K303*VLOOKUP(P303,'Tabelas Auxiliares'!$A$1:$C$400,3,FALSE),0)</f>
        <v>0</v>
      </c>
      <c r="AJ303" s="25">
        <f t="shared" si="2"/>
        <v>0</v>
      </c>
      <c r="AK303" s="25">
        <f>IFS(
  O303="Acre",((W303*0.15)+(X303*0.7))*VLOOKUP(P303,'MunicípiosEstados'!$A$2:$B$23,2,FALSE),
  O303="Alagoas",((W303*0.15)+(X303*0.7))*VLOOKUP(P303,'MunicípiosEstados'!$C$2:$D$103,2,FALSE),
  O303="Amapá",((W303*0.15)+(X303*0.7))*VLOOKUP(P303,'MunicípiosEstados'!$E$2:$F$17,2,FALSE),
  O303="Amazonas",((W303*0.15)+(X303*0.7))*VLOOKUP(P303,'MunicípiosEstados'!$G$2:$H$63,2,FALSE),
  O303="Bahia",((W303*0.15)+(X303*0.7))*VLOOKUP(P303,'MunicípiosEstados'!$I$2:$J$418,2,FALSE),
  O303="Ceará",((W303*0.15)+(X303*0.7))*VLOOKUP(P303,'MunicípiosEstados'!$K$2:$L$185,2,FALSE),
  O303="Distrito Federal",((W303*0.15)+(X303*0.7))*VLOOKUP(P303,'MunicípiosEstados'!$M$2:$N$2,2,FALSE),
  O303="Espírito Santo",((W303*0.15)+(X303*0.7))*VLOOKUP(P303,'MunicípiosEstados'!$O$2:$P$79,2,FALSE),
  O303="Goiás",((W303*0.15)+(X303*0.7))*VLOOKUP(P303,'MunicípiosEstados'!$Q$2:$R$247,2,FALSE),
  O303="Maranhão",((W303*0.15)+(X303*0.7))*VLOOKUP(P303,'MunicípiosEstados'!$S$2:$T$218,2,FALSE),
  O303="Mato Grosso",((W303*0.15)+(X303*0.7))*VLOOKUP(P303,'MunicípiosEstados'!$U$2:$V$143,2,FALSE),
  O303="Mato Grosso do Sul",((W303*0.15)+(X303*0.7))*VLOOKUP(P303,'MunicípiosEstados'!$W$2:$X$80,2,FALSE),
  O303="Minas Gerais",((W303*0.15)+(X303*0.7))*VLOOKUP(P303,'MunicípiosEstados'!$Y$2:$Z$854,2,FALSE),
  O303="Pará",((W303*0.15)+(X303*0.7))*VLOOKUP(P303,'MunicípiosEstados'!$AA$2:$AB$145,2,FALSE),
  O303="Paraíba",((W303*0.15)+(X303*0.7))*VLOOKUP(P303,'MunicípiosEstados'!$AC$2:$AD$224,2,FALSE),
  O303="Paraná",((W303*0.15)+(X303*0.7))*VLOOKUP(P303,'MunicípiosEstados'!$AE$2:$AF$400,2,FALSE),
  O303="Pernambuco",((W303*0.15)+(X303*0.7))*VLOOKUP(P303,'MunicípiosEstados'!$AG$2:$AH$186,2,FALSE),
  O303="Piauí",((W303*0.15)+(X303*0.7))*VLOOKUP(P303,'MunicípiosEstados'!$AI$2:$AJ$225,2,FALSE),
  O303="Rio Grande do Norte",((W303*0.15)+(X303*0.7))*VLOOKUP(P303,'MunicípiosEstados'!$AK$2:$AL$168,2,FALSE),
  O303="Rio Grande do Sul",((W303*0.15)+(X303*0.7))*VLOOKUP(P303,'MunicípiosEstados'!$AM$2:$AN$498,2,FALSE),
  O303="Rio de Janeiro",((W303*0.15)+(X303*0.7))*VLOOKUP(P303,'MunicípiosEstados'!$AO$2:$AP$93,2,FALSE),
  O303="Rondônia",((W303*0.15)+(X303*0.7))*VLOOKUP(P303,'MunicípiosEstados'!$AQ$2:$AR$53,2,FALSE),
  O303="Roraima",((W303*0.15)+(X303*0.7))*VLOOKUP(P303,'MunicípiosEstados'!$AS$2:$AT$16,2,FALSE),
  O303="Santa Catarina",((W303*0.15)+(X303*0.7))*VLOOKUP(P303,'MunicípiosEstados'!$AU$2:$AV$296,2,FALSE),
  O303="São Paulo",((W303*0.15)+(X303*0.7))*VLOOKUP(P303,'MunicípiosEstados'!$AW$2:$AX$646,2,FALSE),
  O303="Sergipe",((W303*0.15)+(X303*0.7))*VLOOKUP(P303,'MunicípiosEstados'!$AY$2:$AZ$76,2,FALSE),
  O303="Tocantins",((W303*0.15)+(X303*0.7))*VLOOKUP(P303,'MunicípiosEstados'!$BA$2:$BB$140,2,FALSE),
  O303="Exterior",((W303*0.15)+(X303*0.7))*VLOOKUP(P303,'MunicípiosEstados'!$BC$2:$BE$221,3,FALSE),TRUE,0
)
</f>
        <v>1685.19</v>
      </c>
      <c r="AL303" s="25">
        <f t="shared" si="3"/>
        <v>6585.19</v>
      </c>
      <c r="AN303" s="29" t="s">
        <v>1322</v>
      </c>
    </row>
    <row r="304" ht="22.5" customHeight="1">
      <c r="A304" s="15">
        <f t="shared" si="1"/>
        <v>303</v>
      </c>
      <c r="B304" s="16">
        <v>45998.707516215276</v>
      </c>
      <c r="C304" s="17" t="s">
        <v>696</v>
      </c>
      <c r="D304" s="27" t="s">
        <v>443</v>
      </c>
      <c r="E304" s="15" t="str">
        <f>VLOOKUP(G304,DiretoriaDepart.Coord.!$A$1:$C$72,2,FALSE)</f>
        <v>Extensão Rural</v>
      </c>
      <c r="F304" s="15" t="str">
        <f>VLOOKUP(G304,DiretoriaDepart.Coord.!$A$1:$C$72,3,FALSE)</f>
        <v>Projetos e Cadeias Produtivas</v>
      </c>
      <c r="G304" s="17" t="s">
        <v>697</v>
      </c>
      <c r="H304" s="15"/>
      <c r="I304" s="17" t="s">
        <v>1543</v>
      </c>
      <c r="J304" s="17" t="s">
        <v>515</v>
      </c>
      <c r="K304" s="17">
        <v>10.0</v>
      </c>
      <c r="L304" s="15"/>
      <c r="M304" s="17" t="s">
        <v>1544</v>
      </c>
      <c r="N304" s="17">
        <v>0.0</v>
      </c>
      <c r="O304" s="17" t="s">
        <v>1524</v>
      </c>
      <c r="P304" s="17" t="s">
        <v>1545</v>
      </c>
      <c r="Q304" s="20">
        <v>45984.354166666664</v>
      </c>
      <c r="R304" s="20">
        <v>45988.708333333336</v>
      </c>
      <c r="S304" s="17" t="s">
        <v>451</v>
      </c>
      <c r="T304" s="17" t="s">
        <v>452</v>
      </c>
      <c r="U304" s="21" t="s">
        <v>1546</v>
      </c>
      <c r="V304" s="21" t="s">
        <v>1547</v>
      </c>
      <c r="W304" s="22">
        <v>100.0</v>
      </c>
      <c r="X304" s="22">
        <v>50.0</v>
      </c>
      <c r="Y304" s="23">
        <v>0.0</v>
      </c>
      <c r="Z304" s="23">
        <v>0.0</v>
      </c>
      <c r="AA304" s="24">
        <v>0.0</v>
      </c>
      <c r="AB304" s="24">
        <v>0.0</v>
      </c>
      <c r="AC304" s="24">
        <v>0.0</v>
      </c>
      <c r="AD304" s="23">
        <v>0.0</v>
      </c>
      <c r="AE304" s="24">
        <v>0.0</v>
      </c>
      <c r="AF304" s="17" t="s">
        <v>451</v>
      </c>
      <c r="AG304" s="17">
        <v>5000.0</v>
      </c>
      <c r="AH304" s="17" t="s">
        <v>464</v>
      </c>
      <c r="AI304" s="25">
        <f>IF(AF304="Sim",INT((R304-Q304+1))*K304*VLOOKUP(P304,'Tabelas Auxiliares'!$A$1:$C$400,3,FALSE),0)</f>
        <v>0</v>
      </c>
      <c r="AJ304" s="25">
        <f t="shared" si="2"/>
        <v>3500</v>
      </c>
      <c r="AK304" s="25">
        <f>IFS(
  O304="Acre",((W304*0.15)+(X304*0.7))*VLOOKUP(P304,'MunicípiosEstados'!$A$2:$B$23,2,FALSE),
  O304="Alagoas",((W304*0.15)+(X304*0.7))*VLOOKUP(P304,'MunicípiosEstados'!$C$2:$D$103,2,FALSE),
  O304="Amapá",((W304*0.15)+(X304*0.7))*VLOOKUP(P304,'MunicípiosEstados'!$E$2:$F$17,2,FALSE),
  O304="Amazonas",((W304*0.15)+(X304*0.7))*VLOOKUP(P304,'MunicípiosEstados'!$G$2:$H$63,2,FALSE),
  O304="Bahia",((W304*0.15)+(X304*0.7))*VLOOKUP(P304,'MunicípiosEstados'!$I$2:$J$418,2,FALSE),
  O304="Ceará",((W304*0.15)+(X304*0.7))*VLOOKUP(P304,'MunicípiosEstados'!$K$2:$L$185,2,FALSE),
  O304="Distrito Federal",((W304*0.15)+(X304*0.7))*VLOOKUP(P304,'MunicípiosEstados'!$M$2:$N$2,2,FALSE),
  O304="Espírito Santo",((W304*0.15)+(X304*0.7))*VLOOKUP(P304,'MunicípiosEstados'!$O$2:$P$79,2,FALSE),
  O304="Goiás",((W304*0.15)+(X304*0.7))*VLOOKUP(P304,'MunicípiosEstados'!$Q$2:$R$247,2,FALSE),
  O304="Maranhão",((W304*0.15)+(X304*0.7))*VLOOKUP(P304,'MunicípiosEstados'!$S$2:$T$218,2,FALSE),
  O304="Mato Grosso",((W304*0.15)+(X304*0.7))*VLOOKUP(P304,'MunicípiosEstados'!$U$2:$V$143,2,FALSE),
  O304="Mato Grosso do Sul",((W304*0.15)+(X304*0.7))*VLOOKUP(P304,'MunicípiosEstados'!$W$2:$X$80,2,FALSE),
  O304="Minas Gerais",((W304*0.15)+(X304*0.7))*VLOOKUP(P304,'MunicípiosEstados'!$Y$2:$Z$854,2,FALSE),
  O304="Pará",((W304*0.15)+(X304*0.7))*VLOOKUP(P304,'MunicípiosEstados'!$AA$2:$AB$145,2,FALSE),
  O304="Paraíba",((W304*0.15)+(X304*0.7))*VLOOKUP(P304,'MunicípiosEstados'!$AC$2:$AD$224,2,FALSE),
  O304="Paraná",((W304*0.15)+(X304*0.7))*VLOOKUP(P304,'MunicípiosEstados'!$AE$2:$AF$400,2,FALSE),
  O304="Pernambuco",((W304*0.15)+(X304*0.7))*VLOOKUP(P304,'MunicípiosEstados'!$AG$2:$AH$186,2,FALSE),
  O304="Piauí",((W304*0.15)+(X304*0.7))*VLOOKUP(P304,'MunicípiosEstados'!$AI$2:$AJ$225,2,FALSE),
  O304="Rio Grande do Norte",((W304*0.15)+(X304*0.7))*VLOOKUP(P304,'MunicípiosEstados'!$AK$2:$AL$168,2,FALSE),
  O304="Rio Grande do Sul",((W304*0.15)+(X304*0.7))*VLOOKUP(P304,'MunicípiosEstados'!$AM$2:$AN$498,2,FALSE),
  O304="Rio de Janeiro",((W304*0.15)+(X304*0.7))*VLOOKUP(P304,'MunicípiosEstados'!$AO$2:$AP$93,2,FALSE),
  O304="Rondônia",((W304*0.15)+(X304*0.7))*VLOOKUP(P304,'MunicípiosEstados'!$AQ$2:$AR$53,2,FALSE),
  O304="Roraima",((W304*0.15)+(X304*0.7))*VLOOKUP(P304,'MunicípiosEstados'!$AS$2:$AT$16,2,FALSE),
  O304="Santa Catarina",((W304*0.15)+(X304*0.7))*VLOOKUP(P304,'MunicípiosEstados'!$AU$2:$AV$296,2,FALSE),
  O304="São Paulo",((W304*0.15)+(X304*0.7))*VLOOKUP(P304,'MunicípiosEstados'!$AW$2:$AX$646,2,FALSE),
  O304="Sergipe",((W304*0.15)+(X304*0.7))*VLOOKUP(P304,'MunicípiosEstados'!$AY$2:$AZ$76,2,FALSE),
  O304="Tocantins",((W304*0.15)+(X304*0.7))*VLOOKUP(P304,'MunicípiosEstados'!$BA$2:$BB$140,2,FALSE),
  O304="Exterior",((W304*0.15)+(X304*0.7))*VLOOKUP(P304,'MunicípiosEstados'!$BC$2:$BE$221,3,FALSE),TRUE,0
)
</f>
        <v>14527.5</v>
      </c>
      <c r="AL304" s="25">
        <f t="shared" si="3"/>
        <v>18027.5</v>
      </c>
      <c r="AN304" s="31"/>
    </row>
    <row r="305" ht="22.5" hidden="1" customHeight="1">
      <c r="A305" s="15">
        <f t="shared" si="1"/>
        <v>304</v>
      </c>
      <c r="B305" s="16">
        <v>45999.64861498843</v>
      </c>
      <c r="C305" s="17" t="s">
        <v>442</v>
      </c>
      <c r="D305" s="18" t="s">
        <v>443</v>
      </c>
      <c r="E305" s="15" t="str">
        <f>VLOOKUP(G305,DiretoriaDepart.Coord.!$A$1:$C$72,2,FALSE)</f>
        <v>Pesquisa e Inovação</v>
      </c>
      <c r="F305" s="15" t="str">
        <f>VLOOKUP(G305,DiretoriaDepart.Coord.!$A$1:$C$72,3,FALSE)</f>
        <v>Pesquisa e Capacitação</v>
      </c>
      <c r="G305" s="17" t="s">
        <v>444</v>
      </c>
      <c r="H305" s="15"/>
      <c r="I305" s="17" t="s">
        <v>1548</v>
      </c>
      <c r="J305" s="17" t="s">
        <v>490</v>
      </c>
      <c r="K305" s="17">
        <v>3.0</v>
      </c>
      <c r="L305" s="17" t="s">
        <v>1549</v>
      </c>
      <c r="M305" s="17" t="s">
        <v>1550</v>
      </c>
      <c r="N305" s="17">
        <v>800.0</v>
      </c>
      <c r="O305" s="17" t="s">
        <v>1524</v>
      </c>
      <c r="P305" s="17" t="s">
        <v>1529</v>
      </c>
      <c r="Q305" s="20">
        <v>45857.791666666664</v>
      </c>
      <c r="R305" s="20">
        <v>45861.708333333336</v>
      </c>
      <c r="S305" s="17" t="s">
        <v>464</v>
      </c>
      <c r="T305" s="17" t="s">
        <v>452</v>
      </c>
      <c r="U305" s="21" t="s">
        <v>1551</v>
      </c>
      <c r="V305" s="21" t="s">
        <v>1552</v>
      </c>
      <c r="W305" s="22">
        <v>34.0</v>
      </c>
      <c r="X305" s="22">
        <v>17.0</v>
      </c>
      <c r="Y305" s="23">
        <v>1200.0</v>
      </c>
      <c r="Z305" s="23">
        <v>0.0</v>
      </c>
      <c r="AA305" s="24">
        <v>3200.0</v>
      </c>
      <c r="AB305" s="24">
        <v>1000.0</v>
      </c>
      <c r="AC305" s="24">
        <v>900.0</v>
      </c>
      <c r="AD305" s="23">
        <v>0.0</v>
      </c>
      <c r="AE305" s="24">
        <v>0.0</v>
      </c>
      <c r="AF305" s="17" t="s">
        <v>451</v>
      </c>
      <c r="AG305" s="17">
        <v>0.0</v>
      </c>
      <c r="AH305" s="17" t="s">
        <v>451</v>
      </c>
      <c r="AI305" s="25">
        <f>IF(AF305="Sim",INT((R305-Q305+1))*K305*VLOOKUP(P305,'Tabelas Auxiliares'!$A$1:$C$400,3,FALSE),0)</f>
        <v>0</v>
      </c>
      <c r="AJ305" s="25">
        <f t="shared" si="2"/>
        <v>0</v>
      </c>
      <c r="AK305" s="25">
        <f>IFS(
  O305="Acre",((W305*0.15)+(X305*0.7))*VLOOKUP(P305,'MunicípiosEstados'!$A$2:$B$23,2,FALSE),
  O305="Alagoas",((W305*0.15)+(X305*0.7))*VLOOKUP(P305,'MunicípiosEstados'!$C$2:$D$103,2,FALSE),
  O305="Amapá",((W305*0.15)+(X305*0.7))*VLOOKUP(P305,'MunicípiosEstados'!$E$2:$F$17,2,FALSE),
  O305="Amazonas",((W305*0.15)+(X305*0.7))*VLOOKUP(P305,'MunicípiosEstados'!$G$2:$H$63,2,FALSE),
  O305="Bahia",((W305*0.15)+(X305*0.7))*VLOOKUP(P305,'MunicípiosEstados'!$I$2:$J$418,2,FALSE),
  O305="Ceará",((W305*0.15)+(X305*0.7))*VLOOKUP(P305,'MunicípiosEstados'!$K$2:$L$185,2,FALSE),
  O305="Distrito Federal",((W305*0.15)+(X305*0.7))*VLOOKUP(P305,'MunicípiosEstados'!$M$2:$N$2,2,FALSE),
  O305="Espírito Santo",((W305*0.15)+(X305*0.7))*VLOOKUP(P305,'MunicípiosEstados'!$O$2:$P$79,2,FALSE),
  O305="Goiás",((W305*0.15)+(X305*0.7))*VLOOKUP(P305,'MunicípiosEstados'!$Q$2:$R$247,2,FALSE),
  O305="Maranhão",((W305*0.15)+(X305*0.7))*VLOOKUP(P305,'MunicípiosEstados'!$S$2:$T$218,2,FALSE),
  O305="Mato Grosso",((W305*0.15)+(X305*0.7))*VLOOKUP(P305,'MunicípiosEstados'!$U$2:$V$143,2,FALSE),
  O305="Mato Grosso do Sul",((W305*0.15)+(X305*0.7))*VLOOKUP(P305,'MunicípiosEstados'!$W$2:$X$80,2,FALSE),
  O305="Minas Gerais",((W305*0.15)+(X305*0.7))*VLOOKUP(P305,'MunicípiosEstados'!$Y$2:$Z$854,2,FALSE),
  O305="Pará",((W305*0.15)+(X305*0.7))*VLOOKUP(P305,'MunicípiosEstados'!$AA$2:$AB$145,2,FALSE),
  O305="Paraíba",((W305*0.15)+(X305*0.7))*VLOOKUP(P305,'MunicípiosEstados'!$AC$2:$AD$224,2,FALSE),
  O305="Paraná",((W305*0.15)+(X305*0.7))*VLOOKUP(P305,'MunicípiosEstados'!$AE$2:$AF$400,2,FALSE),
  O305="Pernambuco",((W305*0.15)+(X305*0.7))*VLOOKUP(P305,'MunicípiosEstados'!$AG$2:$AH$186,2,FALSE),
  O305="Piauí",((W305*0.15)+(X305*0.7))*VLOOKUP(P305,'MunicípiosEstados'!$AI$2:$AJ$225,2,FALSE),
  O305="Rio Grande do Norte",((W305*0.15)+(X305*0.7))*VLOOKUP(P305,'MunicípiosEstados'!$AK$2:$AL$168,2,FALSE),
  O305="Rio Grande do Sul",((W305*0.15)+(X305*0.7))*VLOOKUP(P305,'MunicípiosEstados'!$AM$2:$AN$498,2,FALSE),
  O305="Rio de Janeiro",((W305*0.15)+(X305*0.7))*VLOOKUP(P305,'MunicípiosEstados'!$AO$2:$AP$93,2,FALSE),
  O305="Rondônia",((W305*0.15)+(X305*0.7))*VLOOKUP(P305,'MunicípiosEstados'!$AQ$2:$AR$53,2,FALSE),
  O305="Roraima",((W305*0.15)+(X305*0.7))*VLOOKUP(P305,'MunicípiosEstados'!$AS$2:$AT$16,2,FALSE),
  O305="Santa Catarina",((W305*0.15)+(X305*0.7))*VLOOKUP(P305,'MunicípiosEstados'!$AU$2:$AV$296,2,FALSE),
  O305="São Paulo",((W305*0.15)+(X305*0.7))*VLOOKUP(P305,'MunicípiosEstados'!$AW$2:$AX$646,2,FALSE),
  O305="Sergipe",((W305*0.15)+(X305*0.7))*VLOOKUP(P305,'MunicípiosEstados'!$AY$2:$AZ$76,2,FALSE),
  O305="Tocantins",((W305*0.15)+(X305*0.7))*VLOOKUP(P305,'MunicípiosEstados'!$BA$2:$BB$140,2,FALSE),
  O305="Exterior",((W305*0.15)+(X305*0.7))*VLOOKUP(P305,'MunicípiosEstados'!$BC$2:$BE$221,3,FALSE),TRUE,0
)
</f>
        <v>6311.42</v>
      </c>
      <c r="AL305" s="25">
        <f t="shared" si="3"/>
        <v>12611.42</v>
      </c>
      <c r="AN305" s="26"/>
    </row>
    <row r="306" ht="22.5" hidden="1" customHeight="1">
      <c r="A306" s="15">
        <f t="shared" si="1"/>
        <v>305</v>
      </c>
      <c r="B306" s="16">
        <v>45979.64111703704</v>
      </c>
      <c r="C306" s="17" t="s">
        <v>1553</v>
      </c>
      <c r="D306" s="27" t="s">
        <v>443</v>
      </c>
      <c r="E306" s="15" t="str">
        <f>VLOOKUP(G306,DiretoriaDepart.Coord.!$A$1:$C$72,2,FALSE)</f>
        <v>Pesquisa e Inovação</v>
      </c>
      <c r="F306" s="15" t="str">
        <f>VLOOKUP(G306,DiretoriaDepart.Coord.!$A$1:$C$72,3,FALSE)</f>
        <v>Pesquisa e Capacitação</v>
      </c>
      <c r="G306" s="17" t="s">
        <v>1554</v>
      </c>
      <c r="H306" s="15"/>
      <c r="I306" s="17" t="s">
        <v>1555</v>
      </c>
      <c r="J306" s="17" t="s">
        <v>446</v>
      </c>
      <c r="K306" s="17">
        <v>3.0</v>
      </c>
      <c r="L306" s="19" t="s">
        <v>1556</v>
      </c>
      <c r="M306" s="17" t="s">
        <v>1557</v>
      </c>
      <c r="N306" s="17">
        <v>5.0</v>
      </c>
      <c r="O306" s="17" t="s">
        <v>1558</v>
      </c>
      <c r="P306" s="17" t="s">
        <v>1559</v>
      </c>
      <c r="Q306" s="20">
        <v>45866.333333333336</v>
      </c>
      <c r="R306" s="20">
        <v>45868.708333333336</v>
      </c>
      <c r="S306" s="17" t="s">
        <v>464</v>
      </c>
      <c r="T306" s="17" t="s">
        <v>452</v>
      </c>
      <c r="U306" s="30" t="s">
        <v>1560</v>
      </c>
      <c r="V306" s="30" t="s">
        <v>1561</v>
      </c>
      <c r="W306" s="22">
        <v>30.0</v>
      </c>
      <c r="X306" s="22">
        <v>12.0</v>
      </c>
      <c r="Y306" s="23">
        <v>300.0</v>
      </c>
      <c r="Z306" s="23">
        <v>75.0</v>
      </c>
      <c r="AA306" s="24">
        <v>0.0</v>
      </c>
      <c r="AB306" s="24">
        <v>0.0</v>
      </c>
      <c r="AC306" s="24">
        <v>0.0</v>
      </c>
      <c r="AD306" s="23">
        <v>100.0</v>
      </c>
      <c r="AE306" s="24">
        <v>0.0</v>
      </c>
      <c r="AF306" s="17" t="s">
        <v>451</v>
      </c>
      <c r="AG306" s="17">
        <v>1200.0</v>
      </c>
      <c r="AH306" s="17" t="s">
        <v>464</v>
      </c>
      <c r="AI306" s="25">
        <f>IF(AF306="Sim",INT((R306-Q306+1))*K306*VLOOKUP(P306,'Tabelas Auxiliares'!$A$1:$C$400,3,FALSE),0)</f>
        <v>0</v>
      </c>
      <c r="AJ306" s="25">
        <f t="shared" si="2"/>
        <v>840</v>
      </c>
      <c r="AK306" s="25">
        <f>IFS(
  O306="Acre",((W306*0.15)+(X306*0.7))*VLOOKUP(P306,'MunicípiosEstados'!$A$2:$B$23,2,FALSE),
  O306="Alagoas",((W306*0.15)+(X306*0.7))*VLOOKUP(P306,'MunicípiosEstados'!$C$2:$D$103,2,FALSE),
  O306="Amapá",((W306*0.15)+(X306*0.7))*VLOOKUP(P306,'MunicípiosEstados'!$E$2:$F$17,2,FALSE),
  O306="Amazonas",((W306*0.15)+(X306*0.7))*VLOOKUP(P306,'MunicípiosEstados'!$G$2:$H$63,2,FALSE),
  O306="Bahia",((W306*0.15)+(X306*0.7))*VLOOKUP(P306,'MunicípiosEstados'!$I$2:$J$418,2,FALSE),
  O306="Ceará",((W306*0.15)+(X306*0.7))*VLOOKUP(P306,'MunicípiosEstados'!$K$2:$L$185,2,FALSE),
  O306="Distrito Federal",((W306*0.15)+(X306*0.7))*VLOOKUP(P306,'MunicípiosEstados'!$M$2:$N$2,2,FALSE),
  O306="Espírito Santo",((W306*0.15)+(X306*0.7))*VLOOKUP(P306,'MunicípiosEstados'!$O$2:$P$79,2,FALSE),
  O306="Goiás",((W306*0.15)+(X306*0.7))*VLOOKUP(P306,'MunicípiosEstados'!$Q$2:$R$247,2,FALSE),
  O306="Maranhão",((W306*0.15)+(X306*0.7))*VLOOKUP(P306,'MunicípiosEstados'!$S$2:$T$218,2,FALSE),
  O306="Mato Grosso",((W306*0.15)+(X306*0.7))*VLOOKUP(P306,'MunicípiosEstados'!$U$2:$V$143,2,FALSE),
  O306="Mato Grosso do Sul",((W306*0.15)+(X306*0.7))*VLOOKUP(P306,'MunicípiosEstados'!$W$2:$X$80,2,FALSE),
  O306="Minas Gerais",((W306*0.15)+(X306*0.7))*VLOOKUP(P306,'MunicípiosEstados'!$Y$2:$Z$854,2,FALSE),
  O306="Pará",((W306*0.15)+(X306*0.7))*VLOOKUP(P306,'MunicípiosEstados'!$AA$2:$AB$145,2,FALSE),
  O306="Paraíba",((W306*0.15)+(X306*0.7))*VLOOKUP(P306,'MunicípiosEstados'!$AC$2:$AD$224,2,FALSE),
  O306="Paraná",((W306*0.15)+(X306*0.7))*VLOOKUP(P306,'MunicípiosEstados'!$AE$2:$AF$400,2,FALSE),
  O306="Pernambuco",((W306*0.15)+(X306*0.7))*VLOOKUP(P306,'MunicípiosEstados'!$AG$2:$AH$186,2,FALSE),
  O306="Piauí",((W306*0.15)+(X306*0.7))*VLOOKUP(P306,'MunicípiosEstados'!$AI$2:$AJ$225,2,FALSE),
  O306="Rio Grande do Norte",((W306*0.15)+(X306*0.7))*VLOOKUP(P306,'MunicípiosEstados'!$AK$2:$AL$168,2,FALSE),
  O306="Rio Grande do Sul",((W306*0.15)+(X306*0.7))*VLOOKUP(P306,'MunicípiosEstados'!$AM$2:$AN$498,2,FALSE),
  O306="Rio de Janeiro",((W306*0.15)+(X306*0.7))*VLOOKUP(P306,'MunicípiosEstados'!$AO$2:$AP$93,2,FALSE),
  O306="Rondônia",((W306*0.15)+(X306*0.7))*VLOOKUP(P306,'MunicípiosEstados'!$AQ$2:$AR$53,2,FALSE),
  O306="Roraima",((W306*0.15)+(X306*0.7))*VLOOKUP(P306,'MunicípiosEstados'!$AS$2:$AT$16,2,FALSE),
  O306="Santa Catarina",((W306*0.15)+(X306*0.7))*VLOOKUP(P306,'MunicípiosEstados'!$AU$2:$AV$296,2,FALSE),
  O306="São Paulo",((W306*0.15)+(X306*0.7))*VLOOKUP(P306,'MunicípiosEstados'!$AW$2:$AX$646,2,FALSE),
  O306="Sergipe",((W306*0.15)+(X306*0.7))*VLOOKUP(P306,'MunicípiosEstados'!$AY$2:$AZ$76,2,FALSE),
  O306="Tocantins",((W306*0.15)+(X306*0.7))*VLOOKUP(P306,'MunicípiosEstados'!$BA$2:$BB$140,2,FALSE),
  O306="Exterior",((W306*0.15)+(X306*0.7))*VLOOKUP(P306,'MunicípiosEstados'!$BC$2:$BE$221,3,FALSE),TRUE,0
)
</f>
        <v>3748.095</v>
      </c>
      <c r="AL306" s="25">
        <f t="shared" si="3"/>
        <v>5063.095</v>
      </c>
      <c r="AM306" s="25"/>
      <c r="AN306" s="26"/>
    </row>
    <row r="307" ht="22.5" hidden="1" customHeight="1">
      <c r="A307" s="15">
        <f t="shared" si="1"/>
        <v>306</v>
      </c>
      <c r="B307" s="16">
        <v>45985.93933115741</v>
      </c>
      <c r="C307" s="17" t="s">
        <v>500</v>
      </c>
      <c r="D307" s="27" t="s">
        <v>443</v>
      </c>
      <c r="E307" s="15" t="str">
        <f>VLOOKUP(G307,DiretoriaDepart.Coord.!$A$1:$C$72,2,FALSE)</f>
        <v>Pesquisa e Inovação</v>
      </c>
      <c r="F307" s="15" t="str">
        <f>VLOOKUP(G307,DiretoriaDepart.Coord.!$A$1:$C$72,3,FALSE)</f>
        <v>Pesquisa e Capacitação</v>
      </c>
      <c r="G307" s="17" t="s">
        <v>501</v>
      </c>
      <c r="H307" s="15"/>
      <c r="I307" s="17" t="s">
        <v>1562</v>
      </c>
      <c r="J307" s="17" t="s">
        <v>490</v>
      </c>
      <c r="K307" s="17">
        <v>1.0</v>
      </c>
      <c r="L307" s="17" t="s">
        <v>503</v>
      </c>
      <c r="M307" s="17" t="s">
        <v>1563</v>
      </c>
      <c r="N307" s="17">
        <v>800.0</v>
      </c>
      <c r="O307" s="17" t="s">
        <v>1558</v>
      </c>
      <c r="P307" s="17" t="s">
        <v>1564</v>
      </c>
      <c r="Q307" s="20">
        <v>45900.333333333336</v>
      </c>
      <c r="R307" s="20">
        <v>45903.708333333336</v>
      </c>
      <c r="S307" s="17" t="s">
        <v>464</v>
      </c>
      <c r="T307" s="17" t="s">
        <v>452</v>
      </c>
      <c r="U307" s="21" t="s">
        <v>1565</v>
      </c>
      <c r="V307" s="21" t="s">
        <v>1566</v>
      </c>
      <c r="W307" s="22">
        <v>10.0</v>
      </c>
      <c r="X307" s="22">
        <v>5.0</v>
      </c>
      <c r="Y307" s="23">
        <v>700.0</v>
      </c>
      <c r="Z307" s="23">
        <v>200.0</v>
      </c>
      <c r="AA307" s="24">
        <v>0.0</v>
      </c>
      <c r="AB307" s="24">
        <v>0.0</v>
      </c>
      <c r="AC307" s="24">
        <v>400.0</v>
      </c>
      <c r="AD307" s="23">
        <v>200.0</v>
      </c>
      <c r="AE307" s="24">
        <v>0.0</v>
      </c>
      <c r="AF307" s="17" t="s">
        <v>451</v>
      </c>
      <c r="AG307" s="17">
        <v>700.0</v>
      </c>
      <c r="AH307" s="17" t="s">
        <v>451</v>
      </c>
      <c r="AI307" s="25">
        <f>IF(AF307="Sim",INT((R307-Q307+1))*K307*VLOOKUP(P307,'Tabelas Auxiliares'!$A$1:$C$400,3,FALSE),0)</f>
        <v>0</v>
      </c>
      <c r="AJ307" s="25">
        <f t="shared" si="2"/>
        <v>490</v>
      </c>
      <c r="AK307" s="25">
        <f>IFS(
  O307="Acre",((W307*0.15)+(X307*0.7))*VLOOKUP(P307,'MunicípiosEstados'!$A$2:$B$23,2,FALSE),
  O307="Alagoas",((W307*0.15)+(X307*0.7))*VLOOKUP(P307,'MunicípiosEstados'!$C$2:$D$103,2,FALSE),
  O307="Amapá",((W307*0.15)+(X307*0.7))*VLOOKUP(P307,'MunicípiosEstados'!$E$2:$F$17,2,FALSE),
  O307="Amazonas",((W307*0.15)+(X307*0.7))*VLOOKUP(P307,'MunicípiosEstados'!$G$2:$H$63,2,FALSE),
  O307="Bahia",((W307*0.15)+(X307*0.7))*VLOOKUP(P307,'MunicípiosEstados'!$I$2:$J$418,2,FALSE),
  O307="Ceará",((W307*0.15)+(X307*0.7))*VLOOKUP(P307,'MunicípiosEstados'!$K$2:$L$185,2,FALSE),
  O307="Distrito Federal",((W307*0.15)+(X307*0.7))*VLOOKUP(P307,'MunicípiosEstados'!$M$2:$N$2,2,FALSE),
  O307="Espírito Santo",((W307*0.15)+(X307*0.7))*VLOOKUP(P307,'MunicípiosEstados'!$O$2:$P$79,2,FALSE),
  O307="Goiás",((W307*0.15)+(X307*0.7))*VLOOKUP(P307,'MunicípiosEstados'!$Q$2:$R$247,2,FALSE),
  O307="Maranhão",((W307*0.15)+(X307*0.7))*VLOOKUP(P307,'MunicípiosEstados'!$S$2:$T$218,2,FALSE),
  O307="Mato Grosso",((W307*0.15)+(X307*0.7))*VLOOKUP(P307,'MunicípiosEstados'!$U$2:$V$143,2,FALSE),
  O307="Mato Grosso do Sul",((W307*0.15)+(X307*0.7))*VLOOKUP(P307,'MunicípiosEstados'!$W$2:$X$80,2,FALSE),
  O307="Minas Gerais",((W307*0.15)+(X307*0.7))*VLOOKUP(P307,'MunicípiosEstados'!$Y$2:$Z$854,2,FALSE),
  O307="Pará",((W307*0.15)+(X307*0.7))*VLOOKUP(P307,'MunicípiosEstados'!$AA$2:$AB$145,2,FALSE),
  O307="Paraíba",((W307*0.15)+(X307*0.7))*VLOOKUP(P307,'MunicípiosEstados'!$AC$2:$AD$224,2,FALSE),
  O307="Paraná",((W307*0.15)+(X307*0.7))*VLOOKUP(P307,'MunicípiosEstados'!$AE$2:$AF$400,2,FALSE),
  O307="Pernambuco",((W307*0.15)+(X307*0.7))*VLOOKUP(P307,'MunicípiosEstados'!$AG$2:$AH$186,2,FALSE),
  O307="Piauí",((W307*0.15)+(X307*0.7))*VLOOKUP(P307,'MunicípiosEstados'!$AI$2:$AJ$225,2,FALSE),
  O307="Rio Grande do Norte",((W307*0.15)+(X307*0.7))*VLOOKUP(P307,'MunicípiosEstados'!$AK$2:$AL$168,2,FALSE),
  O307="Rio Grande do Sul",((W307*0.15)+(X307*0.7))*VLOOKUP(P307,'MunicípiosEstados'!$AM$2:$AN$498,2,FALSE),
  O307="Rio de Janeiro",((W307*0.15)+(X307*0.7))*VLOOKUP(P307,'MunicípiosEstados'!$AO$2:$AP$93,2,FALSE),
  O307="Rondônia",((W307*0.15)+(X307*0.7))*VLOOKUP(P307,'MunicípiosEstados'!$AQ$2:$AR$53,2,FALSE),
  O307="Roraima",((W307*0.15)+(X307*0.7))*VLOOKUP(P307,'MunicípiosEstados'!$AS$2:$AT$16,2,FALSE),
  O307="Santa Catarina",((W307*0.15)+(X307*0.7))*VLOOKUP(P307,'MunicípiosEstados'!$AU$2:$AV$296,2,FALSE),
  O307="São Paulo",((W307*0.15)+(X307*0.7))*VLOOKUP(P307,'MunicípiosEstados'!$AW$2:$AX$646,2,FALSE),
  O307="Sergipe",((W307*0.15)+(X307*0.7))*VLOOKUP(P307,'MunicípiosEstados'!$AY$2:$AZ$76,2,FALSE),
  O307="Tocantins",((W307*0.15)+(X307*0.7))*VLOOKUP(P307,'MunicípiosEstados'!$BA$2:$BB$140,2,FALSE),
  O307="Exterior",((W307*0.15)+(X307*0.7))*VLOOKUP(P307,'MunicípiosEstados'!$BC$2:$BE$221,3,FALSE),TRUE,0
)
</f>
        <v>1452.75</v>
      </c>
      <c r="AL307" s="25">
        <f t="shared" si="3"/>
        <v>3442.75</v>
      </c>
      <c r="AM307" s="25"/>
      <c r="AN307" s="26"/>
    </row>
    <row r="308" ht="22.5" hidden="1" customHeight="1">
      <c r="A308" s="15">
        <f t="shared" si="1"/>
        <v>307</v>
      </c>
      <c r="B308" s="16">
        <v>45986.43886311342</v>
      </c>
      <c r="C308" s="17" t="s">
        <v>599</v>
      </c>
      <c r="D308" s="27" t="s">
        <v>456</v>
      </c>
      <c r="E308" s="15" t="str">
        <f>VLOOKUP(G308,DiretoriaDepart.Coord.!$A$1:$C$72,2,FALSE)</f>
        <v>Pesquisa e Inovação</v>
      </c>
      <c r="F308" s="15" t="str">
        <f>VLOOKUP(G308,DiretoriaDepart.Coord.!$A$1:$C$72,3,FALSE)</f>
        <v>Inovação e Comunicação Científica</v>
      </c>
      <c r="G308" s="17" t="s">
        <v>552</v>
      </c>
      <c r="H308" s="15"/>
      <c r="I308" s="17" t="s">
        <v>1567</v>
      </c>
      <c r="J308" s="17" t="s">
        <v>459</v>
      </c>
      <c r="K308" s="17">
        <v>1.0</v>
      </c>
      <c r="L308" s="17" t="s">
        <v>601</v>
      </c>
      <c r="M308" s="17" t="s">
        <v>1568</v>
      </c>
      <c r="N308" s="17">
        <v>300.0</v>
      </c>
      <c r="O308" s="17" t="s">
        <v>1558</v>
      </c>
      <c r="P308" s="17" t="s">
        <v>1569</v>
      </c>
      <c r="Q308" s="20">
        <v>46280.333333333336</v>
      </c>
      <c r="R308" s="20">
        <v>45918.708333333336</v>
      </c>
      <c r="S308" s="17" t="s">
        <v>464</v>
      </c>
      <c r="T308" s="17" t="s">
        <v>452</v>
      </c>
      <c r="U308" s="21" t="s">
        <v>1570</v>
      </c>
      <c r="V308" s="21" t="s">
        <v>1571</v>
      </c>
      <c r="W308" s="22">
        <v>12.0</v>
      </c>
      <c r="X308" s="22">
        <v>5.0</v>
      </c>
      <c r="Y308" s="23">
        <v>900.0</v>
      </c>
      <c r="Z308" s="23">
        <v>0.0</v>
      </c>
      <c r="AA308" s="24">
        <v>0.0</v>
      </c>
      <c r="AB308" s="24">
        <v>0.0</v>
      </c>
      <c r="AC308" s="24">
        <v>0.0</v>
      </c>
      <c r="AD308" s="23">
        <v>0.0</v>
      </c>
      <c r="AE308" s="24">
        <v>0.0</v>
      </c>
      <c r="AF308" s="17" t="s">
        <v>451</v>
      </c>
      <c r="AG308" s="17">
        <v>1400.0</v>
      </c>
      <c r="AH308" s="17" t="s">
        <v>451</v>
      </c>
      <c r="AI308" s="25">
        <f>IF(AF308="Sim",INT((R308-Q308+1))*K308*VLOOKUP(P308,'Tabelas Auxiliares'!$A$1:$C$400,3,FALSE),0)</f>
        <v>0</v>
      </c>
      <c r="AJ308" s="25">
        <f t="shared" si="2"/>
        <v>980</v>
      </c>
      <c r="AK308" s="25">
        <f>IFS(
  O308="Acre",((W308*0.15)+(X308*0.7))*VLOOKUP(P308,'MunicípiosEstados'!$A$2:$B$23,2,FALSE),
  O308="Alagoas",((W308*0.15)+(X308*0.7))*VLOOKUP(P308,'MunicípiosEstados'!$C$2:$D$103,2,FALSE),
  O308="Amapá",((W308*0.15)+(X308*0.7))*VLOOKUP(P308,'MunicípiosEstados'!$E$2:$F$17,2,FALSE),
  O308="Amazonas",((W308*0.15)+(X308*0.7))*VLOOKUP(P308,'MunicípiosEstados'!$G$2:$H$63,2,FALSE),
  O308="Bahia",((W308*0.15)+(X308*0.7))*VLOOKUP(P308,'MunicípiosEstados'!$I$2:$J$418,2,FALSE),
  O308="Ceará",((W308*0.15)+(X308*0.7))*VLOOKUP(P308,'MunicípiosEstados'!$K$2:$L$185,2,FALSE),
  O308="Distrito Federal",((W308*0.15)+(X308*0.7))*VLOOKUP(P308,'MunicípiosEstados'!$M$2:$N$2,2,FALSE),
  O308="Espírito Santo",((W308*0.15)+(X308*0.7))*VLOOKUP(P308,'MunicípiosEstados'!$O$2:$P$79,2,FALSE),
  O308="Goiás",((W308*0.15)+(X308*0.7))*VLOOKUP(P308,'MunicípiosEstados'!$Q$2:$R$247,2,FALSE),
  O308="Maranhão",((W308*0.15)+(X308*0.7))*VLOOKUP(P308,'MunicípiosEstados'!$S$2:$T$218,2,FALSE),
  O308="Mato Grosso",((W308*0.15)+(X308*0.7))*VLOOKUP(P308,'MunicípiosEstados'!$U$2:$V$143,2,FALSE),
  O308="Mato Grosso do Sul",((W308*0.15)+(X308*0.7))*VLOOKUP(P308,'MunicípiosEstados'!$W$2:$X$80,2,FALSE),
  O308="Minas Gerais",((W308*0.15)+(X308*0.7))*VLOOKUP(P308,'MunicípiosEstados'!$Y$2:$Z$854,2,FALSE),
  O308="Pará",((W308*0.15)+(X308*0.7))*VLOOKUP(P308,'MunicípiosEstados'!$AA$2:$AB$145,2,FALSE),
  O308="Paraíba",((W308*0.15)+(X308*0.7))*VLOOKUP(P308,'MunicípiosEstados'!$AC$2:$AD$224,2,FALSE),
  O308="Paraná",((W308*0.15)+(X308*0.7))*VLOOKUP(P308,'MunicípiosEstados'!$AE$2:$AF$400,2,FALSE),
  O308="Pernambuco",((W308*0.15)+(X308*0.7))*VLOOKUP(P308,'MunicípiosEstados'!$AG$2:$AH$186,2,FALSE),
  O308="Piauí",((W308*0.15)+(X308*0.7))*VLOOKUP(P308,'MunicípiosEstados'!$AI$2:$AJ$225,2,FALSE),
  O308="Rio Grande do Norte",((W308*0.15)+(X308*0.7))*VLOOKUP(P308,'MunicípiosEstados'!$AK$2:$AL$168,2,FALSE),
  O308="Rio Grande do Sul",((W308*0.15)+(X308*0.7))*VLOOKUP(P308,'MunicípiosEstados'!$AM$2:$AN$498,2,FALSE),
  O308="Rio de Janeiro",((W308*0.15)+(X308*0.7))*VLOOKUP(P308,'MunicípiosEstados'!$AO$2:$AP$93,2,FALSE),
  O308="Rondônia",((W308*0.15)+(X308*0.7))*VLOOKUP(P308,'MunicípiosEstados'!$AQ$2:$AR$53,2,FALSE),
  O308="Roraima",((W308*0.15)+(X308*0.7))*VLOOKUP(P308,'MunicípiosEstados'!$AS$2:$AT$16,2,FALSE),
  O308="Santa Catarina",((W308*0.15)+(X308*0.7))*VLOOKUP(P308,'MunicípiosEstados'!$AU$2:$AV$296,2,FALSE),
  O308="São Paulo",((W308*0.15)+(X308*0.7))*VLOOKUP(P308,'MunicípiosEstados'!$AW$2:$AX$646,2,FALSE),
  O308="Sergipe",((W308*0.15)+(X308*0.7))*VLOOKUP(P308,'MunicípiosEstados'!$AY$2:$AZ$76,2,FALSE),
  O308="Tocantins",((W308*0.15)+(X308*0.7))*VLOOKUP(P308,'MunicípiosEstados'!$BA$2:$BB$140,2,FALSE),
  O308="Exterior",((W308*0.15)+(X308*0.7))*VLOOKUP(P308,'MunicípiosEstados'!$BC$2:$BE$221,3,FALSE),TRUE,0
)
</f>
        <v>1539.915</v>
      </c>
      <c r="AL308" s="25">
        <f t="shared" si="3"/>
        <v>3419.915</v>
      </c>
      <c r="AM308" s="25"/>
      <c r="AN308" s="29" t="s">
        <v>456</v>
      </c>
    </row>
    <row r="309" ht="22.5" hidden="1" customHeight="1">
      <c r="A309" s="15">
        <f t="shared" si="1"/>
        <v>308</v>
      </c>
      <c r="B309" s="16">
        <v>45987.38971122685</v>
      </c>
      <c r="C309" s="17" t="s">
        <v>914</v>
      </c>
      <c r="D309" s="27" t="s">
        <v>443</v>
      </c>
      <c r="E309" s="15" t="str">
        <f>VLOOKUP(G309,DiretoriaDepart.Coord.!$A$1:$C$72,2,FALSE)</f>
        <v>Extensão Rural</v>
      </c>
      <c r="F309" s="15" t="str">
        <f>VLOOKUP(G309,DiretoriaDepart.Coord.!$A$1:$C$72,3,FALSE)</f>
        <v>Projetos e Cadeias Produtivas</v>
      </c>
      <c r="G309" s="17" t="s">
        <v>903</v>
      </c>
      <c r="H309" s="15"/>
      <c r="I309" s="17" t="s">
        <v>1572</v>
      </c>
      <c r="J309" s="17" t="s">
        <v>942</v>
      </c>
      <c r="K309" s="17">
        <v>2.0</v>
      </c>
      <c r="L309" s="15"/>
      <c r="M309" s="17" t="s">
        <v>1462</v>
      </c>
      <c r="N309" s="17">
        <v>0.0</v>
      </c>
      <c r="O309" s="17" t="s">
        <v>1558</v>
      </c>
      <c r="P309" s="17" t="s">
        <v>1573</v>
      </c>
      <c r="Q309" s="20">
        <v>45831.375</v>
      </c>
      <c r="R309" s="20">
        <v>45834.833333333336</v>
      </c>
      <c r="S309" s="17" t="s">
        <v>464</v>
      </c>
      <c r="T309" s="17" t="s">
        <v>452</v>
      </c>
      <c r="U309" s="21" t="s">
        <v>1574</v>
      </c>
      <c r="V309" s="21" t="s">
        <v>1575</v>
      </c>
      <c r="W309" s="22">
        <v>24.0</v>
      </c>
      <c r="X309" s="22">
        <v>10.0</v>
      </c>
      <c r="Y309" s="23">
        <v>1200.0</v>
      </c>
      <c r="Z309" s="23">
        <v>0.0</v>
      </c>
      <c r="AA309" s="24">
        <v>0.0</v>
      </c>
      <c r="AB309" s="24">
        <v>0.0</v>
      </c>
      <c r="AC309" s="24">
        <v>0.0</v>
      </c>
      <c r="AD309" s="23">
        <v>100.0</v>
      </c>
      <c r="AE309" s="24">
        <v>0.0</v>
      </c>
      <c r="AF309" s="17" t="s">
        <v>451</v>
      </c>
      <c r="AG309" s="17">
        <v>1000.0</v>
      </c>
      <c r="AH309" s="17" t="s">
        <v>451</v>
      </c>
      <c r="AI309" s="25">
        <f>IF(AF309="Sim",INT((R309-Q309+1))*K309*VLOOKUP(P309,'Tabelas Auxiliares'!$A$1:$C$400,3,FALSE),0)</f>
        <v>0</v>
      </c>
      <c r="AJ309" s="25">
        <f t="shared" si="2"/>
        <v>700</v>
      </c>
      <c r="AK309" s="25">
        <f>IFS(
  O309="Acre",((W309*0.15)+(X309*0.7))*VLOOKUP(P309,'MunicípiosEstados'!$A$2:$B$23,2,FALSE),
  O309="Alagoas",((W309*0.15)+(X309*0.7))*VLOOKUP(P309,'MunicípiosEstados'!$C$2:$D$103,2,FALSE),
  O309="Amapá",((W309*0.15)+(X309*0.7))*VLOOKUP(P309,'MunicípiosEstados'!$E$2:$F$17,2,FALSE),
  O309="Amazonas",((W309*0.15)+(X309*0.7))*VLOOKUP(P309,'MunicípiosEstados'!$G$2:$H$63,2,FALSE),
  O309="Bahia",((W309*0.15)+(X309*0.7))*VLOOKUP(P309,'MunicípiosEstados'!$I$2:$J$418,2,FALSE),
  O309="Ceará",((W309*0.15)+(X309*0.7))*VLOOKUP(P309,'MunicípiosEstados'!$K$2:$L$185,2,FALSE),
  O309="Distrito Federal",((W309*0.15)+(X309*0.7))*VLOOKUP(P309,'MunicípiosEstados'!$M$2:$N$2,2,FALSE),
  O309="Espírito Santo",((W309*0.15)+(X309*0.7))*VLOOKUP(P309,'MunicípiosEstados'!$O$2:$P$79,2,FALSE),
  O309="Goiás",((W309*0.15)+(X309*0.7))*VLOOKUP(P309,'MunicípiosEstados'!$Q$2:$R$247,2,FALSE),
  O309="Maranhão",((W309*0.15)+(X309*0.7))*VLOOKUP(P309,'MunicípiosEstados'!$S$2:$T$218,2,FALSE),
  O309="Mato Grosso",((W309*0.15)+(X309*0.7))*VLOOKUP(P309,'MunicípiosEstados'!$U$2:$V$143,2,FALSE),
  O309="Mato Grosso do Sul",((W309*0.15)+(X309*0.7))*VLOOKUP(P309,'MunicípiosEstados'!$W$2:$X$80,2,FALSE),
  O309="Minas Gerais",((W309*0.15)+(X309*0.7))*VLOOKUP(P309,'MunicípiosEstados'!$Y$2:$Z$854,2,FALSE),
  O309="Pará",((W309*0.15)+(X309*0.7))*VLOOKUP(P309,'MunicípiosEstados'!$AA$2:$AB$145,2,FALSE),
  O309="Paraíba",((W309*0.15)+(X309*0.7))*VLOOKUP(P309,'MunicípiosEstados'!$AC$2:$AD$224,2,FALSE),
  O309="Paraná",((W309*0.15)+(X309*0.7))*VLOOKUP(P309,'MunicípiosEstados'!$AE$2:$AF$400,2,FALSE),
  O309="Pernambuco",((W309*0.15)+(X309*0.7))*VLOOKUP(P309,'MunicípiosEstados'!$AG$2:$AH$186,2,FALSE),
  O309="Piauí",((W309*0.15)+(X309*0.7))*VLOOKUP(P309,'MunicípiosEstados'!$AI$2:$AJ$225,2,FALSE),
  O309="Rio Grande do Norte",((W309*0.15)+(X309*0.7))*VLOOKUP(P309,'MunicípiosEstados'!$AK$2:$AL$168,2,FALSE),
  O309="Rio Grande do Sul",((W309*0.15)+(X309*0.7))*VLOOKUP(P309,'MunicípiosEstados'!$AM$2:$AN$498,2,FALSE),
  O309="Rio de Janeiro",((W309*0.15)+(X309*0.7))*VLOOKUP(P309,'MunicípiosEstados'!$AO$2:$AP$93,2,FALSE),
  O309="Rondônia",((W309*0.15)+(X309*0.7))*VLOOKUP(P309,'MunicípiosEstados'!$AQ$2:$AR$53,2,FALSE),
  O309="Roraima",((W309*0.15)+(X309*0.7))*VLOOKUP(P309,'MunicípiosEstados'!$AS$2:$AT$16,2,FALSE),
  O309="Santa Catarina",((W309*0.15)+(X309*0.7))*VLOOKUP(P309,'MunicípiosEstados'!$AU$2:$AV$296,2,FALSE),
  O309="São Paulo",((W309*0.15)+(X309*0.7))*VLOOKUP(P309,'MunicípiosEstados'!$AW$2:$AX$646,2,FALSE),
  O309="Sergipe",((W309*0.15)+(X309*0.7))*VLOOKUP(P309,'MunicípiosEstados'!$AY$2:$AZ$76,2,FALSE),
  O309="Tocantins",((W309*0.15)+(X309*0.7))*VLOOKUP(P309,'MunicípiosEstados'!$BA$2:$BB$140,2,FALSE),
  O309="Exterior",((W309*0.15)+(X309*0.7))*VLOOKUP(P309,'MunicípiosEstados'!$BC$2:$BE$221,3,FALSE),TRUE,0
)
</f>
        <v>3079.83</v>
      </c>
      <c r="AL309" s="25">
        <f t="shared" si="3"/>
        <v>5079.83</v>
      </c>
      <c r="AM309" s="25"/>
      <c r="AN309" s="31"/>
    </row>
    <row r="310" ht="22.5" customHeight="1">
      <c r="A310" s="15">
        <f t="shared" si="1"/>
        <v>309</v>
      </c>
      <c r="B310" s="16">
        <v>45992.856571620374</v>
      </c>
      <c r="C310" s="17" t="s">
        <v>696</v>
      </c>
      <c r="D310" s="27" t="s">
        <v>443</v>
      </c>
      <c r="E310" s="15" t="str">
        <f>VLOOKUP(G310,DiretoriaDepart.Coord.!$A$1:$C$72,2,FALSE)</f>
        <v>Extensão Rural</v>
      </c>
      <c r="F310" s="15" t="str">
        <f>VLOOKUP(G310,DiretoriaDepart.Coord.!$A$1:$C$72,3,FALSE)</f>
        <v>Projetos e Cadeias Produtivas</v>
      </c>
      <c r="G310" s="17" t="s">
        <v>697</v>
      </c>
      <c r="H310" s="15"/>
      <c r="I310" s="17" t="s">
        <v>1576</v>
      </c>
      <c r="J310" s="17" t="s">
        <v>459</v>
      </c>
      <c r="K310" s="34" t="s">
        <v>1272</v>
      </c>
      <c r="L310" s="15"/>
      <c r="M310" s="17" t="s">
        <v>1577</v>
      </c>
      <c r="N310" s="17">
        <v>300.0</v>
      </c>
      <c r="O310" s="17" t="s">
        <v>1558</v>
      </c>
      <c r="P310" s="17" t="s">
        <v>1564</v>
      </c>
      <c r="Q310" s="20">
        <v>45817.354166666664</v>
      </c>
      <c r="R310" s="20">
        <v>45819.708333333336</v>
      </c>
      <c r="S310" s="17" t="s">
        <v>464</v>
      </c>
      <c r="T310" s="17" t="s">
        <v>452</v>
      </c>
      <c r="U310" s="21" t="s">
        <v>1578</v>
      </c>
      <c r="V310" s="21" t="s">
        <v>1579</v>
      </c>
      <c r="W310" s="22">
        <v>50.0</v>
      </c>
      <c r="X310" s="22">
        <v>20.0</v>
      </c>
      <c r="Y310" s="23">
        <v>700.0</v>
      </c>
      <c r="Z310" s="23">
        <v>0.0</v>
      </c>
      <c r="AA310" s="24">
        <v>0.0</v>
      </c>
      <c r="AB310" s="24">
        <v>0.0</v>
      </c>
      <c r="AC310" s="24">
        <v>0.0</v>
      </c>
      <c r="AD310" s="23">
        <v>0.0</v>
      </c>
      <c r="AE310" s="24">
        <v>0.0</v>
      </c>
      <c r="AF310" s="17" t="s">
        <v>451</v>
      </c>
      <c r="AG310" s="17">
        <v>2300.0</v>
      </c>
      <c r="AH310" s="17" t="s">
        <v>464</v>
      </c>
      <c r="AI310" s="25">
        <f>IF(AF310="Sim",INT((R310-Q310+1))*K310*VLOOKUP(P310,'Tabelas Auxiliares'!$A$1:$C$400,3,FALSE),0)</f>
        <v>0</v>
      </c>
      <c r="AJ310" s="25">
        <f t="shared" si="2"/>
        <v>1610</v>
      </c>
      <c r="AK310" s="25">
        <f>IFS(
  O310="Acre",((W310*0.15)+(X310*0.7))*VLOOKUP(P310,'MunicípiosEstados'!$A$2:$B$23,2,FALSE),
  O310="Alagoas",((W310*0.15)+(X310*0.7))*VLOOKUP(P310,'MunicípiosEstados'!$C$2:$D$103,2,FALSE),
  O310="Amapá",((W310*0.15)+(X310*0.7))*VLOOKUP(P310,'MunicípiosEstados'!$E$2:$F$17,2,FALSE),
  O310="Amazonas",((W310*0.15)+(X310*0.7))*VLOOKUP(P310,'MunicípiosEstados'!$G$2:$H$63,2,FALSE),
  O310="Bahia",((W310*0.15)+(X310*0.7))*VLOOKUP(P310,'MunicípiosEstados'!$I$2:$J$418,2,FALSE),
  O310="Ceará",((W310*0.15)+(X310*0.7))*VLOOKUP(P310,'MunicípiosEstados'!$K$2:$L$185,2,FALSE),
  O310="Distrito Federal",((W310*0.15)+(X310*0.7))*VLOOKUP(P310,'MunicípiosEstados'!$M$2:$N$2,2,FALSE),
  O310="Espírito Santo",((W310*0.15)+(X310*0.7))*VLOOKUP(P310,'MunicípiosEstados'!$O$2:$P$79,2,FALSE),
  O310="Goiás",((W310*0.15)+(X310*0.7))*VLOOKUP(P310,'MunicípiosEstados'!$Q$2:$R$247,2,FALSE),
  O310="Maranhão",((W310*0.15)+(X310*0.7))*VLOOKUP(P310,'MunicípiosEstados'!$S$2:$T$218,2,FALSE),
  O310="Mato Grosso",((W310*0.15)+(X310*0.7))*VLOOKUP(P310,'MunicípiosEstados'!$U$2:$V$143,2,FALSE),
  O310="Mato Grosso do Sul",((W310*0.15)+(X310*0.7))*VLOOKUP(P310,'MunicípiosEstados'!$W$2:$X$80,2,FALSE),
  O310="Minas Gerais",((W310*0.15)+(X310*0.7))*VLOOKUP(P310,'MunicípiosEstados'!$Y$2:$Z$854,2,FALSE),
  O310="Pará",((W310*0.15)+(X310*0.7))*VLOOKUP(P310,'MunicípiosEstados'!$AA$2:$AB$145,2,FALSE),
  O310="Paraíba",((W310*0.15)+(X310*0.7))*VLOOKUP(P310,'MunicípiosEstados'!$AC$2:$AD$224,2,FALSE),
  O310="Paraná",((W310*0.15)+(X310*0.7))*VLOOKUP(P310,'MunicípiosEstados'!$AE$2:$AF$400,2,FALSE),
  O310="Pernambuco",((W310*0.15)+(X310*0.7))*VLOOKUP(P310,'MunicípiosEstados'!$AG$2:$AH$186,2,FALSE),
  O310="Piauí",((W310*0.15)+(X310*0.7))*VLOOKUP(P310,'MunicípiosEstados'!$AI$2:$AJ$225,2,FALSE),
  O310="Rio Grande do Norte",((W310*0.15)+(X310*0.7))*VLOOKUP(P310,'MunicípiosEstados'!$AK$2:$AL$168,2,FALSE),
  O310="Rio Grande do Sul",((W310*0.15)+(X310*0.7))*VLOOKUP(P310,'MunicípiosEstados'!$AM$2:$AN$498,2,FALSE),
  O310="Rio de Janeiro",((W310*0.15)+(X310*0.7))*VLOOKUP(P310,'MunicípiosEstados'!$AO$2:$AP$93,2,FALSE),
  O310="Rondônia",((W310*0.15)+(X310*0.7))*VLOOKUP(P310,'MunicípiosEstados'!$AQ$2:$AR$53,2,FALSE),
  O310="Roraima",((W310*0.15)+(X310*0.7))*VLOOKUP(P310,'MunicípiosEstados'!$AS$2:$AT$16,2,FALSE),
  O310="Santa Catarina",((W310*0.15)+(X310*0.7))*VLOOKUP(P310,'MunicípiosEstados'!$AU$2:$AV$296,2,FALSE),
  O310="São Paulo",((W310*0.15)+(X310*0.7))*VLOOKUP(P310,'MunicípiosEstados'!$AW$2:$AX$646,2,FALSE),
  O310="Sergipe",((W310*0.15)+(X310*0.7))*VLOOKUP(P310,'MunicípiosEstados'!$AY$2:$AZ$76,2,FALSE),
  O310="Tocantins",((W310*0.15)+(X310*0.7))*VLOOKUP(P310,'MunicípiosEstados'!$BA$2:$BB$140,2,FALSE),
  O310="Exterior",((W310*0.15)+(X310*0.7))*VLOOKUP(P310,'MunicípiosEstados'!$BC$2:$BE$221,3,FALSE),TRUE,0
)
</f>
        <v>6246.825</v>
      </c>
      <c r="AL310" s="25">
        <f t="shared" si="3"/>
        <v>8556.825</v>
      </c>
      <c r="AM310" s="25"/>
      <c r="AN310" s="31"/>
    </row>
    <row r="311" ht="22.5" customHeight="1">
      <c r="A311" s="15">
        <f t="shared" si="1"/>
        <v>310</v>
      </c>
      <c r="B311" s="16">
        <v>45992.89165917824</v>
      </c>
      <c r="C311" s="17" t="s">
        <v>696</v>
      </c>
      <c r="D311" s="27" t="s">
        <v>443</v>
      </c>
      <c r="E311" s="15" t="str">
        <f>VLOOKUP(G311,DiretoriaDepart.Coord.!$A$1:$C$72,2,FALSE)</f>
        <v>Extensão Rural</v>
      </c>
      <c r="F311" s="15" t="str">
        <f>VLOOKUP(G311,DiretoriaDepart.Coord.!$A$1:$C$72,3,FALSE)</f>
        <v>Projetos e Cadeias Produtivas</v>
      </c>
      <c r="G311" s="17" t="s">
        <v>697</v>
      </c>
      <c r="H311" s="15"/>
      <c r="I311" s="17" t="s">
        <v>1580</v>
      </c>
      <c r="J311" s="17" t="s">
        <v>728</v>
      </c>
      <c r="K311" s="34" t="s">
        <v>799</v>
      </c>
      <c r="L311" s="15"/>
      <c r="M311" s="17" t="s">
        <v>1581</v>
      </c>
      <c r="N311" s="17">
        <v>20.0</v>
      </c>
      <c r="O311" s="17" t="s">
        <v>1558</v>
      </c>
      <c r="P311" s="17" t="s">
        <v>1569</v>
      </c>
      <c r="Q311" s="20">
        <v>45781.354166666664</v>
      </c>
      <c r="R311" s="20">
        <v>45785.708333333336</v>
      </c>
      <c r="S311" s="17" t="s">
        <v>451</v>
      </c>
      <c r="T311" s="17" t="s">
        <v>452</v>
      </c>
      <c r="U311" s="21" t="s">
        <v>1582</v>
      </c>
      <c r="V311" s="21" t="s">
        <v>1583</v>
      </c>
      <c r="W311" s="22">
        <v>72.0</v>
      </c>
      <c r="X311" s="22">
        <v>30.0</v>
      </c>
      <c r="Y311" s="23">
        <v>0.0</v>
      </c>
      <c r="Z311" s="23">
        <v>0.0</v>
      </c>
      <c r="AA311" s="24">
        <v>0.0</v>
      </c>
      <c r="AB311" s="24">
        <v>0.0</v>
      </c>
      <c r="AC311" s="24">
        <v>0.0</v>
      </c>
      <c r="AD311" s="23">
        <v>0.0</v>
      </c>
      <c r="AE311" s="24">
        <v>0.0</v>
      </c>
      <c r="AF311" s="17" t="s">
        <v>451</v>
      </c>
      <c r="AG311" s="17">
        <v>2400.0</v>
      </c>
      <c r="AH311" s="17" t="s">
        <v>464</v>
      </c>
      <c r="AI311" s="25">
        <f>IF(AF311="Sim",INT((R311-Q311+1))*K311*VLOOKUP(P311,'Tabelas Auxiliares'!$A$1:$C$400,3,FALSE),0)</f>
        <v>0</v>
      </c>
      <c r="AJ311" s="25">
        <f t="shared" si="2"/>
        <v>1680</v>
      </c>
      <c r="AK311" s="25">
        <f>IFS(
  O311="Acre",((W311*0.15)+(X311*0.7))*VLOOKUP(P311,'MunicípiosEstados'!$A$2:$B$23,2,FALSE),
  O311="Alagoas",((W311*0.15)+(X311*0.7))*VLOOKUP(P311,'MunicípiosEstados'!$C$2:$D$103,2,FALSE),
  O311="Amapá",((W311*0.15)+(X311*0.7))*VLOOKUP(P311,'MunicípiosEstados'!$E$2:$F$17,2,FALSE),
  O311="Amazonas",((W311*0.15)+(X311*0.7))*VLOOKUP(P311,'MunicípiosEstados'!$G$2:$H$63,2,FALSE),
  O311="Bahia",((W311*0.15)+(X311*0.7))*VLOOKUP(P311,'MunicípiosEstados'!$I$2:$J$418,2,FALSE),
  O311="Ceará",((W311*0.15)+(X311*0.7))*VLOOKUP(P311,'MunicípiosEstados'!$K$2:$L$185,2,FALSE),
  O311="Distrito Federal",((W311*0.15)+(X311*0.7))*VLOOKUP(P311,'MunicípiosEstados'!$M$2:$N$2,2,FALSE),
  O311="Espírito Santo",((W311*0.15)+(X311*0.7))*VLOOKUP(P311,'MunicípiosEstados'!$O$2:$P$79,2,FALSE),
  O311="Goiás",((W311*0.15)+(X311*0.7))*VLOOKUP(P311,'MunicípiosEstados'!$Q$2:$R$247,2,FALSE),
  O311="Maranhão",((W311*0.15)+(X311*0.7))*VLOOKUP(P311,'MunicípiosEstados'!$S$2:$T$218,2,FALSE),
  O311="Mato Grosso",((W311*0.15)+(X311*0.7))*VLOOKUP(P311,'MunicípiosEstados'!$U$2:$V$143,2,FALSE),
  O311="Mato Grosso do Sul",((W311*0.15)+(X311*0.7))*VLOOKUP(P311,'MunicípiosEstados'!$W$2:$X$80,2,FALSE),
  O311="Minas Gerais",((W311*0.15)+(X311*0.7))*VLOOKUP(P311,'MunicípiosEstados'!$Y$2:$Z$854,2,FALSE),
  O311="Pará",((W311*0.15)+(X311*0.7))*VLOOKUP(P311,'MunicípiosEstados'!$AA$2:$AB$145,2,FALSE),
  O311="Paraíba",((W311*0.15)+(X311*0.7))*VLOOKUP(P311,'MunicípiosEstados'!$AC$2:$AD$224,2,FALSE),
  O311="Paraná",((W311*0.15)+(X311*0.7))*VLOOKUP(P311,'MunicípiosEstados'!$AE$2:$AF$400,2,FALSE),
  O311="Pernambuco",((W311*0.15)+(X311*0.7))*VLOOKUP(P311,'MunicípiosEstados'!$AG$2:$AH$186,2,FALSE),
  O311="Piauí",((W311*0.15)+(X311*0.7))*VLOOKUP(P311,'MunicípiosEstados'!$AI$2:$AJ$225,2,FALSE),
  O311="Rio Grande do Norte",((W311*0.15)+(X311*0.7))*VLOOKUP(P311,'MunicípiosEstados'!$AK$2:$AL$168,2,FALSE),
  O311="Rio Grande do Sul",((W311*0.15)+(X311*0.7))*VLOOKUP(P311,'MunicípiosEstados'!$AM$2:$AN$498,2,FALSE),
  O311="Rio de Janeiro",((W311*0.15)+(X311*0.7))*VLOOKUP(P311,'MunicípiosEstados'!$AO$2:$AP$93,2,FALSE),
  O311="Rondônia",((W311*0.15)+(X311*0.7))*VLOOKUP(P311,'MunicípiosEstados'!$AQ$2:$AR$53,2,FALSE),
  O311="Roraima",((W311*0.15)+(X311*0.7))*VLOOKUP(P311,'MunicípiosEstados'!$AS$2:$AT$16,2,FALSE),
  O311="Santa Catarina",((W311*0.15)+(X311*0.7))*VLOOKUP(P311,'MunicípiosEstados'!$AU$2:$AV$296,2,FALSE),
  O311="São Paulo",((W311*0.15)+(X311*0.7))*VLOOKUP(P311,'MunicípiosEstados'!$AW$2:$AX$646,2,FALSE),
  O311="Sergipe",((W311*0.15)+(X311*0.7))*VLOOKUP(P311,'MunicípiosEstados'!$AY$2:$AZ$76,2,FALSE),
  O311="Tocantins",((W311*0.15)+(X311*0.7))*VLOOKUP(P311,'MunicípiosEstados'!$BA$2:$BB$140,2,FALSE),
  O311="Exterior",((W311*0.15)+(X311*0.7))*VLOOKUP(P311,'MunicípiosEstados'!$BC$2:$BE$221,3,FALSE),TRUE,0
)
</f>
        <v>9239.49</v>
      </c>
      <c r="AL311" s="25">
        <f t="shared" si="3"/>
        <v>10919.49</v>
      </c>
      <c r="AM311" s="25"/>
      <c r="AN311" s="31"/>
    </row>
    <row r="312" ht="22.5" customHeight="1">
      <c r="A312" s="15">
        <f t="shared" si="1"/>
        <v>311</v>
      </c>
      <c r="B312" s="16">
        <v>45992.90805853009</v>
      </c>
      <c r="C312" s="17" t="s">
        <v>696</v>
      </c>
      <c r="D312" s="27" t="s">
        <v>443</v>
      </c>
      <c r="E312" s="15" t="str">
        <f>VLOOKUP(G312,DiretoriaDepart.Coord.!$A$1:$C$72,2,FALSE)</f>
        <v>Extensão Rural</v>
      </c>
      <c r="F312" s="15" t="str">
        <f>VLOOKUP(G312,DiretoriaDepart.Coord.!$A$1:$C$72,3,FALSE)</f>
        <v>Projetos e Cadeias Produtivas</v>
      </c>
      <c r="G312" s="17" t="s">
        <v>697</v>
      </c>
      <c r="H312" s="15"/>
      <c r="I312" s="17" t="s">
        <v>1584</v>
      </c>
      <c r="J312" s="17" t="s">
        <v>728</v>
      </c>
      <c r="K312" s="34" t="s">
        <v>1175</v>
      </c>
      <c r="L312" s="15"/>
      <c r="M312" s="17" t="s">
        <v>1581</v>
      </c>
      <c r="N312" s="17">
        <v>20.0</v>
      </c>
      <c r="O312" s="17" t="s">
        <v>1558</v>
      </c>
      <c r="P312" s="17" t="s">
        <v>1569</v>
      </c>
      <c r="Q312" s="20">
        <v>45949.34375</v>
      </c>
      <c r="R312" s="20">
        <v>45953.708333333336</v>
      </c>
      <c r="S312" s="17" t="s">
        <v>451</v>
      </c>
      <c r="T312" s="17" t="s">
        <v>452</v>
      </c>
      <c r="U312" s="21" t="s">
        <v>1585</v>
      </c>
      <c r="V312" s="21" t="s">
        <v>1586</v>
      </c>
      <c r="W312" s="22">
        <v>84.0</v>
      </c>
      <c r="X312" s="22">
        <v>42.0</v>
      </c>
      <c r="Y312" s="23">
        <v>0.0</v>
      </c>
      <c r="Z312" s="23">
        <v>0.0</v>
      </c>
      <c r="AA312" s="24">
        <v>0.0</v>
      </c>
      <c r="AB312" s="24">
        <v>0.0</v>
      </c>
      <c r="AC312" s="24">
        <v>0.0</v>
      </c>
      <c r="AD312" s="23">
        <v>0.0</v>
      </c>
      <c r="AE312" s="24">
        <v>0.0</v>
      </c>
      <c r="AF312" s="17" t="s">
        <v>451</v>
      </c>
      <c r="AG312" s="17">
        <v>3000.0</v>
      </c>
      <c r="AH312" s="17" t="s">
        <v>464</v>
      </c>
      <c r="AI312" s="25">
        <f>IF(AF312="Sim",INT((R312-Q312+1))*K312*VLOOKUP(P312,'Tabelas Auxiliares'!$A$1:$C$400,3,FALSE),0)</f>
        <v>0</v>
      </c>
      <c r="AJ312" s="25">
        <f t="shared" si="2"/>
        <v>2100</v>
      </c>
      <c r="AK312" s="25">
        <f>IFS(
  O312="Acre",((W312*0.15)+(X312*0.7))*VLOOKUP(P312,'MunicípiosEstados'!$A$2:$B$23,2,FALSE),
  O312="Alagoas",((W312*0.15)+(X312*0.7))*VLOOKUP(P312,'MunicípiosEstados'!$C$2:$D$103,2,FALSE),
  O312="Amapá",((W312*0.15)+(X312*0.7))*VLOOKUP(P312,'MunicípiosEstados'!$E$2:$F$17,2,FALSE),
  O312="Amazonas",((W312*0.15)+(X312*0.7))*VLOOKUP(P312,'MunicípiosEstados'!$G$2:$H$63,2,FALSE),
  O312="Bahia",((W312*0.15)+(X312*0.7))*VLOOKUP(P312,'MunicípiosEstados'!$I$2:$J$418,2,FALSE),
  O312="Ceará",((W312*0.15)+(X312*0.7))*VLOOKUP(P312,'MunicípiosEstados'!$K$2:$L$185,2,FALSE),
  O312="Distrito Federal",((W312*0.15)+(X312*0.7))*VLOOKUP(P312,'MunicípiosEstados'!$M$2:$N$2,2,FALSE),
  O312="Espírito Santo",((W312*0.15)+(X312*0.7))*VLOOKUP(P312,'MunicípiosEstados'!$O$2:$P$79,2,FALSE),
  O312="Goiás",((W312*0.15)+(X312*0.7))*VLOOKUP(P312,'MunicípiosEstados'!$Q$2:$R$247,2,FALSE),
  O312="Maranhão",((W312*0.15)+(X312*0.7))*VLOOKUP(P312,'MunicípiosEstados'!$S$2:$T$218,2,FALSE),
  O312="Mato Grosso",((W312*0.15)+(X312*0.7))*VLOOKUP(P312,'MunicípiosEstados'!$U$2:$V$143,2,FALSE),
  O312="Mato Grosso do Sul",((W312*0.15)+(X312*0.7))*VLOOKUP(P312,'MunicípiosEstados'!$W$2:$X$80,2,FALSE),
  O312="Minas Gerais",((W312*0.15)+(X312*0.7))*VLOOKUP(P312,'MunicípiosEstados'!$Y$2:$Z$854,2,FALSE),
  O312="Pará",((W312*0.15)+(X312*0.7))*VLOOKUP(P312,'MunicípiosEstados'!$AA$2:$AB$145,2,FALSE),
  O312="Paraíba",((W312*0.15)+(X312*0.7))*VLOOKUP(P312,'MunicípiosEstados'!$AC$2:$AD$224,2,FALSE),
  O312="Paraná",((W312*0.15)+(X312*0.7))*VLOOKUP(P312,'MunicípiosEstados'!$AE$2:$AF$400,2,FALSE),
  O312="Pernambuco",((W312*0.15)+(X312*0.7))*VLOOKUP(P312,'MunicípiosEstados'!$AG$2:$AH$186,2,FALSE),
  O312="Piauí",((W312*0.15)+(X312*0.7))*VLOOKUP(P312,'MunicípiosEstados'!$AI$2:$AJ$225,2,FALSE),
  O312="Rio Grande do Norte",((W312*0.15)+(X312*0.7))*VLOOKUP(P312,'MunicípiosEstados'!$AK$2:$AL$168,2,FALSE),
  O312="Rio Grande do Sul",((W312*0.15)+(X312*0.7))*VLOOKUP(P312,'MunicípiosEstados'!$AM$2:$AN$498,2,FALSE),
  O312="Rio de Janeiro",((W312*0.15)+(X312*0.7))*VLOOKUP(P312,'MunicípiosEstados'!$AO$2:$AP$93,2,FALSE),
  O312="Rondônia",((W312*0.15)+(X312*0.7))*VLOOKUP(P312,'MunicípiosEstados'!$AQ$2:$AR$53,2,FALSE),
  O312="Roraima",((W312*0.15)+(X312*0.7))*VLOOKUP(P312,'MunicípiosEstados'!$AS$2:$AT$16,2,FALSE),
  O312="Santa Catarina",((W312*0.15)+(X312*0.7))*VLOOKUP(P312,'MunicípiosEstados'!$AU$2:$AV$296,2,FALSE),
  O312="São Paulo",((W312*0.15)+(X312*0.7))*VLOOKUP(P312,'MunicípiosEstados'!$AW$2:$AX$646,2,FALSE),
  O312="Sergipe",((W312*0.15)+(X312*0.7))*VLOOKUP(P312,'MunicípiosEstados'!$AY$2:$AZ$76,2,FALSE),
  O312="Tocantins",((W312*0.15)+(X312*0.7))*VLOOKUP(P312,'MunicípiosEstados'!$BA$2:$BB$140,2,FALSE),
  O312="Exterior",((W312*0.15)+(X312*0.7))*VLOOKUP(P312,'MunicípiosEstados'!$BC$2:$BE$221,3,FALSE),TRUE,0
)
</f>
        <v>12203.1</v>
      </c>
      <c r="AL312" s="25">
        <f t="shared" si="3"/>
        <v>14303.1</v>
      </c>
      <c r="AM312" s="25"/>
      <c r="AN312" s="31"/>
    </row>
    <row r="313" ht="22.5" hidden="1" customHeight="1">
      <c r="A313" s="15">
        <f t="shared" si="1"/>
        <v>312</v>
      </c>
      <c r="B313" s="16">
        <v>45996.657140625</v>
      </c>
      <c r="C313" s="17" t="s">
        <v>494</v>
      </c>
      <c r="D313" s="27" t="s">
        <v>443</v>
      </c>
      <c r="E313" s="15" t="str">
        <f>VLOOKUP(G313,DiretoriaDepart.Coord.!$A$1:$C$72,2,FALSE)</f>
        <v>Pesquisa e Inovação</v>
      </c>
      <c r="F313" s="15" t="str">
        <f>VLOOKUP(G313,DiretoriaDepart.Coord.!$A$1:$C$72,3,FALSE)</f>
        <v>Inovação e Comunicação Científica</v>
      </c>
      <c r="G313" s="17" t="s">
        <v>495</v>
      </c>
      <c r="H313" s="15"/>
      <c r="I313" s="17" t="s">
        <v>1587</v>
      </c>
      <c r="J313" s="17" t="s">
        <v>490</v>
      </c>
      <c r="K313" s="17">
        <v>2.0</v>
      </c>
      <c r="L313" s="17" t="s">
        <v>496</v>
      </c>
      <c r="M313" s="17" t="s">
        <v>1588</v>
      </c>
      <c r="N313" s="17">
        <v>300.0</v>
      </c>
      <c r="O313" s="17" t="s">
        <v>1558</v>
      </c>
      <c r="P313" s="17" t="s">
        <v>1564</v>
      </c>
      <c r="Q313" s="20">
        <v>45900.333333333336</v>
      </c>
      <c r="R313" s="20">
        <v>45933.708333333336</v>
      </c>
      <c r="S313" s="17" t="s">
        <v>464</v>
      </c>
      <c r="T313" s="17" t="s">
        <v>452</v>
      </c>
      <c r="U313" s="21" t="s">
        <v>1589</v>
      </c>
      <c r="V313" s="21" t="s">
        <v>1590</v>
      </c>
      <c r="W313" s="22">
        <v>12.0</v>
      </c>
      <c r="X313" s="22">
        <v>5.0</v>
      </c>
      <c r="Y313" s="23">
        <v>1000.0</v>
      </c>
      <c r="Z313" s="23">
        <v>200.0</v>
      </c>
      <c r="AA313" s="24">
        <v>0.0</v>
      </c>
      <c r="AB313" s="24">
        <v>0.0</v>
      </c>
      <c r="AC313" s="24">
        <v>0.0</v>
      </c>
      <c r="AD313" s="23">
        <v>0.0</v>
      </c>
      <c r="AE313" s="24">
        <v>0.0</v>
      </c>
      <c r="AF313" s="17" t="s">
        <v>451</v>
      </c>
      <c r="AG313" s="17">
        <v>400.0</v>
      </c>
      <c r="AH313" s="17" t="s">
        <v>464</v>
      </c>
      <c r="AI313" s="25">
        <f>IF(AF313="Sim",INT((R313-Q313+1))*K313*VLOOKUP(P313,'Tabelas Auxiliares'!$A$1:$C$400,3,FALSE),0)</f>
        <v>0</v>
      </c>
      <c r="AJ313" s="25">
        <f t="shared" si="2"/>
        <v>280</v>
      </c>
      <c r="AK313" s="25">
        <f>IFS(
  O313="Acre",((W313*0.15)+(X313*0.7))*VLOOKUP(P313,'MunicípiosEstados'!$A$2:$B$23,2,FALSE),
  O313="Alagoas",((W313*0.15)+(X313*0.7))*VLOOKUP(P313,'MunicípiosEstados'!$C$2:$D$103,2,FALSE),
  O313="Amapá",((W313*0.15)+(X313*0.7))*VLOOKUP(P313,'MunicípiosEstados'!$E$2:$F$17,2,FALSE),
  O313="Amazonas",((W313*0.15)+(X313*0.7))*VLOOKUP(P313,'MunicípiosEstados'!$G$2:$H$63,2,FALSE),
  O313="Bahia",((W313*0.15)+(X313*0.7))*VLOOKUP(P313,'MunicípiosEstados'!$I$2:$J$418,2,FALSE),
  O313="Ceará",((W313*0.15)+(X313*0.7))*VLOOKUP(P313,'MunicípiosEstados'!$K$2:$L$185,2,FALSE),
  O313="Distrito Federal",((W313*0.15)+(X313*0.7))*VLOOKUP(P313,'MunicípiosEstados'!$M$2:$N$2,2,FALSE),
  O313="Espírito Santo",((W313*0.15)+(X313*0.7))*VLOOKUP(P313,'MunicípiosEstados'!$O$2:$P$79,2,FALSE),
  O313="Goiás",((W313*0.15)+(X313*0.7))*VLOOKUP(P313,'MunicípiosEstados'!$Q$2:$R$247,2,FALSE),
  O313="Maranhão",((W313*0.15)+(X313*0.7))*VLOOKUP(P313,'MunicípiosEstados'!$S$2:$T$218,2,FALSE),
  O313="Mato Grosso",((W313*0.15)+(X313*0.7))*VLOOKUP(P313,'MunicípiosEstados'!$U$2:$V$143,2,FALSE),
  O313="Mato Grosso do Sul",((W313*0.15)+(X313*0.7))*VLOOKUP(P313,'MunicípiosEstados'!$W$2:$X$80,2,FALSE),
  O313="Minas Gerais",((W313*0.15)+(X313*0.7))*VLOOKUP(P313,'MunicípiosEstados'!$Y$2:$Z$854,2,FALSE),
  O313="Pará",((W313*0.15)+(X313*0.7))*VLOOKUP(P313,'MunicípiosEstados'!$AA$2:$AB$145,2,FALSE),
  O313="Paraíba",((W313*0.15)+(X313*0.7))*VLOOKUP(P313,'MunicípiosEstados'!$AC$2:$AD$224,2,FALSE),
  O313="Paraná",((W313*0.15)+(X313*0.7))*VLOOKUP(P313,'MunicípiosEstados'!$AE$2:$AF$400,2,FALSE),
  O313="Pernambuco",((W313*0.15)+(X313*0.7))*VLOOKUP(P313,'MunicípiosEstados'!$AG$2:$AH$186,2,FALSE),
  O313="Piauí",((W313*0.15)+(X313*0.7))*VLOOKUP(P313,'MunicípiosEstados'!$AI$2:$AJ$225,2,FALSE),
  O313="Rio Grande do Norte",((W313*0.15)+(X313*0.7))*VLOOKUP(P313,'MunicípiosEstados'!$AK$2:$AL$168,2,FALSE),
  O313="Rio Grande do Sul",((W313*0.15)+(X313*0.7))*VLOOKUP(P313,'MunicípiosEstados'!$AM$2:$AN$498,2,FALSE),
  O313="Rio de Janeiro",((W313*0.15)+(X313*0.7))*VLOOKUP(P313,'MunicípiosEstados'!$AO$2:$AP$93,2,FALSE),
  O313="Rondônia",((W313*0.15)+(X313*0.7))*VLOOKUP(P313,'MunicípiosEstados'!$AQ$2:$AR$53,2,FALSE),
  O313="Roraima",((W313*0.15)+(X313*0.7))*VLOOKUP(P313,'MunicípiosEstados'!$AS$2:$AT$16,2,FALSE),
  O313="Santa Catarina",((W313*0.15)+(X313*0.7))*VLOOKUP(P313,'MunicípiosEstados'!$AU$2:$AV$296,2,FALSE),
  O313="São Paulo",((W313*0.15)+(X313*0.7))*VLOOKUP(P313,'MunicípiosEstados'!$AW$2:$AX$646,2,FALSE),
  O313="Sergipe",((W313*0.15)+(X313*0.7))*VLOOKUP(P313,'MunicípiosEstados'!$AY$2:$AZ$76,2,FALSE),
  O313="Tocantins",((W313*0.15)+(X313*0.7))*VLOOKUP(P313,'MunicípiosEstados'!$BA$2:$BB$140,2,FALSE),
  O313="Exterior",((W313*0.15)+(X313*0.7))*VLOOKUP(P313,'MunicípiosEstados'!$BC$2:$BE$221,3,FALSE),TRUE,0
)
</f>
        <v>1539.915</v>
      </c>
      <c r="AL313" s="25">
        <f t="shared" si="3"/>
        <v>3019.915</v>
      </c>
      <c r="AN313" s="26"/>
    </row>
    <row r="314" ht="22.5" customHeight="1">
      <c r="A314" s="15">
        <f t="shared" si="1"/>
        <v>313</v>
      </c>
      <c r="B314" s="16">
        <v>45998.695147499995</v>
      </c>
      <c r="C314" s="17" t="s">
        <v>696</v>
      </c>
      <c r="D314" s="27" t="s">
        <v>443</v>
      </c>
      <c r="E314" s="15" t="str">
        <f>VLOOKUP(G314,DiretoriaDepart.Coord.!$A$1:$C$72,2,FALSE)</f>
        <v>Extensão Rural</v>
      </c>
      <c r="F314" s="15" t="str">
        <f>VLOOKUP(G314,DiretoriaDepart.Coord.!$A$1:$C$72,3,FALSE)</f>
        <v>Projetos e Cadeias Produtivas</v>
      </c>
      <c r="G314" s="17" t="s">
        <v>697</v>
      </c>
      <c r="H314" s="15"/>
      <c r="I314" s="17" t="s">
        <v>1591</v>
      </c>
      <c r="J314" s="17" t="s">
        <v>446</v>
      </c>
      <c r="K314" s="17">
        <v>10.0</v>
      </c>
      <c r="L314" s="15"/>
      <c r="M314" s="17" t="s">
        <v>1581</v>
      </c>
      <c r="N314" s="17">
        <v>700.0</v>
      </c>
      <c r="O314" s="17" t="s">
        <v>1558</v>
      </c>
      <c r="P314" s="17" t="s">
        <v>1559</v>
      </c>
      <c r="Q314" s="20">
        <v>45861.354166666664</v>
      </c>
      <c r="R314" s="20">
        <v>45863.708333333336</v>
      </c>
      <c r="S314" s="17" t="s">
        <v>464</v>
      </c>
      <c r="T314" s="17" t="s">
        <v>452</v>
      </c>
      <c r="U314" s="21" t="s">
        <v>1592</v>
      </c>
      <c r="V314" s="21" t="s">
        <v>1593</v>
      </c>
      <c r="W314" s="22">
        <v>100.0</v>
      </c>
      <c r="X314" s="22">
        <v>40.0</v>
      </c>
      <c r="Y314" s="23">
        <v>0.0</v>
      </c>
      <c r="Z314" s="23">
        <v>0.0</v>
      </c>
      <c r="AA314" s="24">
        <v>0.0</v>
      </c>
      <c r="AB314" s="24">
        <v>0.0</v>
      </c>
      <c r="AC314" s="24">
        <v>0.0</v>
      </c>
      <c r="AD314" s="23">
        <v>0.0</v>
      </c>
      <c r="AE314" s="24">
        <v>0.0</v>
      </c>
      <c r="AF314" s="17" t="s">
        <v>451</v>
      </c>
      <c r="AG314" s="17">
        <v>2300.0</v>
      </c>
      <c r="AH314" s="17" t="s">
        <v>464</v>
      </c>
      <c r="AI314" s="25">
        <f>IF(AF314="Sim",INT((R314-Q314+1))*K314*VLOOKUP(P314,'Tabelas Auxiliares'!$A$1:$C$400,3,FALSE),0)</f>
        <v>0</v>
      </c>
      <c r="AJ314" s="25">
        <f t="shared" si="2"/>
        <v>1610</v>
      </c>
      <c r="AK314" s="25">
        <f>IFS(
  O314="Acre",((W314*0.15)+(X314*0.7))*VLOOKUP(P314,'MunicípiosEstados'!$A$2:$B$23,2,FALSE),
  O314="Alagoas",((W314*0.15)+(X314*0.7))*VLOOKUP(P314,'MunicípiosEstados'!$C$2:$D$103,2,FALSE),
  O314="Amapá",((W314*0.15)+(X314*0.7))*VLOOKUP(P314,'MunicípiosEstados'!$E$2:$F$17,2,FALSE),
  O314="Amazonas",((W314*0.15)+(X314*0.7))*VLOOKUP(P314,'MunicípiosEstados'!$G$2:$H$63,2,FALSE),
  O314="Bahia",((W314*0.15)+(X314*0.7))*VLOOKUP(P314,'MunicípiosEstados'!$I$2:$J$418,2,FALSE),
  O314="Ceará",((W314*0.15)+(X314*0.7))*VLOOKUP(P314,'MunicípiosEstados'!$K$2:$L$185,2,FALSE),
  O314="Distrito Federal",((W314*0.15)+(X314*0.7))*VLOOKUP(P314,'MunicípiosEstados'!$M$2:$N$2,2,FALSE),
  O314="Espírito Santo",((W314*0.15)+(X314*0.7))*VLOOKUP(P314,'MunicípiosEstados'!$O$2:$P$79,2,FALSE),
  O314="Goiás",((W314*0.15)+(X314*0.7))*VLOOKUP(P314,'MunicípiosEstados'!$Q$2:$R$247,2,FALSE),
  O314="Maranhão",((W314*0.15)+(X314*0.7))*VLOOKUP(P314,'MunicípiosEstados'!$S$2:$T$218,2,FALSE),
  O314="Mato Grosso",((W314*0.15)+(X314*0.7))*VLOOKUP(P314,'MunicípiosEstados'!$U$2:$V$143,2,FALSE),
  O314="Mato Grosso do Sul",((W314*0.15)+(X314*0.7))*VLOOKUP(P314,'MunicípiosEstados'!$W$2:$X$80,2,FALSE),
  O314="Minas Gerais",((W314*0.15)+(X314*0.7))*VLOOKUP(P314,'MunicípiosEstados'!$Y$2:$Z$854,2,FALSE),
  O314="Pará",((W314*0.15)+(X314*0.7))*VLOOKUP(P314,'MunicípiosEstados'!$AA$2:$AB$145,2,FALSE),
  O314="Paraíba",((W314*0.15)+(X314*0.7))*VLOOKUP(P314,'MunicípiosEstados'!$AC$2:$AD$224,2,FALSE),
  O314="Paraná",((W314*0.15)+(X314*0.7))*VLOOKUP(P314,'MunicípiosEstados'!$AE$2:$AF$400,2,FALSE),
  O314="Pernambuco",((W314*0.15)+(X314*0.7))*VLOOKUP(P314,'MunicípiosEstados'!$AG$2:$AH$186,2,FALSE),
  O314="Piauí",((W314*0.15)+(X314*0.7))*VLOOKUP(P314,'MunicípiosEstados'!$AI$2:$AJ$225,2,FALSE),
  O314="Rio Grande do Norte",((W314*0.15)+(X314*0.7))*VLOOKUP(P314,'MunicípiosEstados'!$AK$2:$AL$168,2,FALSE),
  O314="Rio Grande do Sul",((W314*0.15)+(X314*0.7))*VLOOKUP(P314,'MunicípiosEstados'!$AM$2:$AN$498,2,FALSE),
  O314="Rio de Janeiro",((W314*0.15)+(X314*0.7))*VLOOKUP(P314,'MunicípiosEstados'!$AO$2:$AP$93,2,FALSE),
  O314="Rondônia",((W314*0.15)+(X314*0.7))*VLOOKUP(P314,'MunicípiosEstados'!$AQ$2:$AR$53,2,FALSE),
  O314="Roraima",((W314*0.15)+(X314*0.7))*VLOOKUP(P314,'MunicípiosEstados'!$AS$2:$AT$16,2,FALSE),
  O314="Santa Catarina",((W314*0.15)+(X314*0.7))*VLOOKUP(P314,'MunicípiosEstados'!$AU$2:$AV$296,2,FALSE),
  O314="São Paulo",((W314*0.15)+(X314*0.7))*VLOOKUP(P314,'MunicípiosEstados'!$AW$2:$AX$646,2,FALSE),
  O314="Sergipe",((W314*0.15)+(X314*0.7))*VLOOKUP(P314,'MunicípiosEstados'!$AY$2:$AZ$76,2,FALSE),
  O314="Tocantins",((W314*0.15)+(X314*0.7))*VLOOKUP(P314,'MunicípiosEstados'!$BA$2:$BB$140,2,FALSE),
  O314="Exterior",((W314*0.15)+(X314*0.7))*VLOOKUP(P314,'MunicípiosEstados'!$BC$2:$BE$221,3,FALSE),TRUE,0
)
</f>
        <v>12493.65</v>
      </c>
      <c r="AL314" s="25">
        <f t="shared" si="3"/>
        <v>14103.65</v>
      </c>
      <c r="AN314" s="31"/>
    </row>
    <row r="315" ht="22.5" hidden="1" customHeight="1">
      <c r="A315" s="15">
        <f t="shared" si="1"/>
        <v>314</v>
      </c>
      <c r="B315" s="16">
        <v>45999.622471932875</v>
      </c>
      <c r="C315" s="17" t="s">
        <v>506</v>
      </c>
      <c r="D315" s="18" t="s">
        <v>443</v>
      </c>
      <c r="E315" s="15" t="str">
        <f>VLOOKUP(G315,DiretoriaDepart.Coord.!$A$1:$C$72,2,FALSE)</f>
        <v>Pesquisa e Inovação</v>
      </c>
      <c r="F315" s="15" t="str">
        <f>VLOOKUP(G315,DiretoriaDepart.Coord.!$A$1:$C$72,3,FALSE)</f>
        <v>Inovação e Comunicação Científica</v>
      </c>
      <c r="G315" s="17" t="s">
        <v>477</v>
      </c>
      <c r="H315" s="15"/>
      <c r="I315" s="17" t="s">
        <v>1594</v>
      </c>
      <c r="J315" s="17" t="s">
        <v>446</v>
      </c>
      <c r="K315" s="17">
        <v>1.0</v>
      </c>
      <c r="L315" s="17" t="s">
        <v>1433</v>
      </c>
      <c r="M315" s="17" t="s">
        <v>508</v>
      </c>
      <c r="N315" s="17">
        <v>1.0</v>
      </c>
      <c r="O315" s="17" t="s">
        <v>1558</v>
      </c>
      <c r="P315" s="17" t="s">
        <v>1564</v>
      </c>
      <c r="Q315" s="20">
        <v>45870.333333333336</v>
      </c>
      <c r="R315" s="20">
        <v>45872.708333333336</v>
      </c>
      <c r="S315" s="17" t="s">
        <v>451</v>
      </c>
      <c r="T315" s="17" t="s">
        <v>452</v>
      </c>
      <c r="U315" s="21" t="s">
        <v>1595</v>
      </c>
      <c r="V315" s="21" t="s">
        <v>1596</v>
      </c>
      <c r="W315" s="22">
        <v>6.0</v>
      </c>
      <c r="X315" s="22">
        <v>3.0</v>
      </c>
      <c r="Y315" s="23">
        <v>300.0</v>
      </c>
      <c r="Z315" s="23">
        <v>100.0</v>
      </c>
      <c r="AA315" s="24">
        <v>2000.0</v>
      </c>
      <c r="AB315" s="24">
        <v>0.0</v>
      </c>
      <c r="AC315" s="24">
        <v>300.0</v>
      </c>
      <c r="AD315" s="23">
        <v>0.0</v>
      </c>
      <c r="AE315" s="24">
        <v>0.0</v>
      </c>
      <c r="AF315" s="17" t="s">
        <v>451</v>
      </c>
      <c r="AG315" s="17">
        <v>0.0</v>
      </c>
      <c r="AH315" s="17" t="s">
        <v>451</v>
      </c>
      <c r="AI315" s="25">
        <f>IF(AF315="Sim",INT((R315-Q315+1))*K315*VLOOKUP(P315,'Tabelas Auxiliares'!$A$1:$C$400,3,FALSE),0)</f>
        <v>0</v>
      </c>
      <c r="AJ315" s="25">
        <f t="shared" si="2"/>
        <v>0</v>
      </c>
      <c r="AK315" s="25">
        <f>IFS(
  O315="Acre",((W315*0.15)+(X315*0.7))*VLOOKUP(P315,'MunicípiosEstados'!$A$2:$B$23,2,FALSE),
  O315="Alagoas",((W315*0.15)+(X315*0.7))*VLOOKUP(P315,'MunicípiosEstados'!$C$2:$D$103,2,FALSE),
  O315="Amapá",((W315*0.15)+(X315*0.7))*VLOOKUP(P315,'MunicípiosEstados'!$E$2:$F$17,2,FALSE),
  O315="Amazonas",((W315*0.15)+(X315*0.7))*VLOOKUP(P315,'MunicípiosEstados'!$G$2:$H$63,2,FALSE),
  O315="Bahia",((W315*0.15)+(X315*0.7))*VLOOKUP(P315,'MunicípiosEstados'!$I$2:$J$418,2,FALSE),
  O315="Ceará",((W315*0.15)+(X315*0.7))*VLOOKUP(P315,'MunicípiosEstados'!$K$2:$L$185,2,FALSE),
  O315="Distrito Federal",((W315*0.15)+(X315*0.7))*VLOOKUP(P315,'MunicípiosEstados'!$M$2:$N$2,2,FALSE),
  O315="Espírito Santo",((W315*0.15)+(X315*0.7))*VLOOKUP(P315,'MunicípiosEstados'!$O$2:$P$79,2,FALSE),
  O315="Goiás",((W315*0.15)+(X315*0.7))*VLOOKUP(P315,'MunicípiosEstados'!$Q$2:$R$247,2,FALSE),
  O315="Maranhão",((W315*0.15)+(X315*0.7))*VLOOKUP(P315,'MunicípiosEstados'!$S$2:$T$218,2,FALSE),
  O315="Mato Grosso",((W315*0.15)+(X315*0.7))*VLOOKUP(P315,'MunicípiosEstados'!$U$2:$V$143,2,FALSE),
  O315="Mato Grosso do Sul",((W315*0.15)+(X315*0.7))*VLOOKUP(P315,'MunicípiosEstados'!$W$2:$X$80,2,FALSE),
  O315="Minas Gerais",((W315*0.15)+(X315*0.7))*VLOOKUP(P315,'MunicípiosEstados'!$Y$2:$Z$854,2,FALSE),
  O315="Pará",((W315*0.15)+(X315*0.7))*VLOOKUP(P315,'MunicípiosEstados'!$AA$2:$AB$145,2,FALSE),
  O315="Paraíba",((W315*0.15)+(X315*0.7))*VLOOKUP(P315,'MunicípiosEstados'!$AC$2:$AD$224,2,FALSE),
  O315="Paraná",((W315*0.15)+(X315*0.7))*VLOOKUP(P315,'MunicípiosEstados'!$AE$2:$AF$400,2,FALSE),
  O315="Pernambuco",((W315*0.15)+(X315*0.7))*VLOOKUP(P315,'MunicípiosEstados'!$AG$2:$AH$186,2,FALSE),
  O315="Piauí",((W315*0.15)+(X315*0.7))*VLOOKUP(P315,'MunicípiosEstados'!$AI$2:$AJ$225,2,FALSE),
  O315="Rio Grande do Norte",((W315*0.15)+(X315*0.7))*VLOOKUP(P315,'MunicípiosEstados'!$AK$2:$AL$168,2,FALSE),
  O315="Rio Grande do Sul",((W315*0.15)+(X315*0.7))*VLOOKUP(P315,'MunicípiosEstados'!$AM$2:$AN$498,2,FALSE),
  O315="Rio de Janeiro",((W315*0.15)+(X315*0.7))*VLOOKUP(P315,'MunicípiosEstados'!$AO$2:$AP$93,2,FALSE),
  O315="Rondônia",((W315*0.15)+(X315*0.7))*VLOOKUP(P315,'MunicípiosEstados'!$AQ$2:$AR$53,2,FALSE),
  O315="Roraima",((W315*0.15)+(X315*0.7))*VLOOKUP(P315,'MunicípiosEstados'!$AS$2:$AT$16,2,FALSE),
  O315="Santa Catarina",((W315*0.15)+(X315*0.7))*VLOOKUP(P315,'MunicípiosEstados'!$AU$2:$AV$296,2,FALSE),
  O315="São Paulo",((W315*0.15)+(X315*0.7))*VLOOKUP(P315,'MunicípiosEstados'!$AW$2:$AX$646,2,FALSE),
  O315="Sergipe",((W315*0.15)+(X315*0.7))*VLOOKUP(P315,'MunicípiosEstados'!$AY$2:$AZ$76,2,FALSE),
  O315="Tocantins",((W315*0.15)+(X315*0.7))*VLOOKUP(P315,'MunicípiosEstados'!$BA$2:$BB$140,2,FALSE),
  O315="Exterior",((W315*0.15)+(X315*0.7))*VLOOKUP(P315,'MunicípiosEstados'!$BC$2:$BE$221,3,FALSE),TRUE,0
)
</f>
        <v>871.65</v>
      </c>
      <c r="AL315" s="25">
        <f t="shared" si="3"/>
        <v>3571.65</v>
      </c>
      <c r="AN315" s="26"/>
    </row>
    <row r="316" ht="22.5" hidden="1" customHeight="1">
      <c r="A316" s="15">
        <f t="shared" si="1"/>
        <v>315</v>
      </c>
      <c r="B316" s="16">
        <v>45999.633105810186</v>
      </c>
      <c r="C316" s="17" t="s">
        <v>506</v>
      </c>
      <c r="D316" s="18" t="s">
        <v>443</v>
      </c>
      <c r="E316" s="15" t="str">
        <f>VLOOKUP(G316,DiretoriaDepart.Coord.!$A$1:$C$72,2,FALSE)</f>
        <v>Pesquisa e Inovação</v>
      </c>
      <c r="F316" s="15" t="str">
        <f>VLOOKUP(G316,DiretoriaDepart.Coord.!$A$1:$C$72,3,FALSE)</f>
        <v>Inovação e Comunicação Científica</v>
      </c>
      <c r="G316" s="17" t="s">
        <v>477</v>
      </c>
      <c r="H316" s="15"/>
      <c r="I316" s="17" t="s">
        <v>1597</v>
      </c>
      <c r="J316" s="17" t="s">
        <v>490</v>
      </c>
      <c r="K316" s="17">
        <v>1.0</v>
      </c>
      <c r="L316" s="17" t="s">
        <v>1433</v>
      </c>
      <c r="M316" s="17" t="s">
        <v>508</v>
      </c>
      <c r="N316" s="17">
        <v>0.0</v>
      </c>
      <c r="O316" s="17" t="s">
        <v>1558</v>
      </c>
      <c r="P316" s="17" t="s">
        <v>1564</v>
      </c>
      <c r="Q316" s="20">
        <v>45900.333333333336</v>
      </c>
      <c r="R316" s="20">
        <v>45903.708333333336</v>
      </c>
      <c r="S316" s="17" t="s">
        <v>451</v>
      </c>
      <c r="T316" s="17" t="s">
        <v>452</v>
      </c>
      <c r="U316" s="21" t="s">
        <v>1598</v>
      </c>
      <c r="V316" s="21" t="s">
        <v>1599</v>
      </c>
      <c r="W316" s="22">
        <v>10.0</v>
      </c>
      <c r="X316" s="22">
        <v>4.0</v>
      </c>
      <c r="Y316" s="23">
        <v>500.0</v>
      </c>
      <c r="Z316" s="23">
        <v>100.0</v>
      </c>
      <c r="AA316" s="24">
        <v>2000.0</v>
      </c>
      <c r="AB316" s="24">
        <v>0.0</v>
      </c>
      <c r="AC316" s="24">
        <v>300.0</v>
      </c>
      <c r="AD316" s="23">
        <v>0.0</v>
      </c>
      <c r="AE316" s="24">
        <v>0.0</v>
      </c>
      <c r="AF316" s="17" t="s">
        <v>451</v>
      </c>
      <c r="AG316" s="17">
        <v>0.0</v>
      </c>
      <c r="AH316" s="17" t="s">
        <v>451</v>
      </c>
      <c r="AI316" s="25">
        <f>IF(AF316="Sim",INT((R316-Q316+1))*K316*VLOOKUP(P316,'Tabelas Auxiliares'!$A$1:$C$400,3,FALSE),0)</f>
        <v>0</v>
      </c>
      <c r="AJ316" s="25">
        <f t="shared" si="2"/>
        <v>0</v>
      </c>
      <c r="AK316" s="25">
        <f>IFS(
  O316="Acre",((W316*0.15)+(X316*0.7))*VLOOKUP(P316,'MunicípiosEstados'!$A$2:$B$23,2,FALSE),
  O316="Alagoas",((W316*0.15)+(X316*0.7))*VLOOKUP(P316,'MunicípiosEstados'!$C$2:$D$103,2,FALSE),
  O316="Amapá",((W316*0.15)+(X316*0.7))*VLOOKUP(P316,'MunicípiosEstados'!$E$2:$F$17,2,FALSE),
  O316="Amazonas",((W316*0.15)+(X316*0.7))*VLOOKUP(P316,'MunicípiosEstados'!$G$2:$H$63,2,FALSE),
  O316="Bahia",((W316*0.15)+(X316*0.7))*VLOOKUP(P316,'MunicípiosEstados'!$I$2:$J$418,2,FALSE),
  O316="Ceará",((W316*0.15)+(X316*0.7))*VLOOKUP(P316,'MunicípiosEstados'!$K$2:$L$185,2,FALSE),
  O316="Distrito Federal",((W316*0.15)+(X316*0.7))*VLOOKUP(P316,'MunicípiosEstados'!$M$2:$N$2,2,FALSE),
  O316="Espírito Santo",((W316*0.15)+(X316*0.7))*VLOOKUP(P316,'MunicípiosEstados'!$O$2:$P$79,2,FALSE),
  O316="Goiás",((W316*0.15)+(X316*0.7))*VLOOKUP(P316,'MunicípiosEstados'!$Q$2:$R$247,2,FALSE),
  O316="Maranhão",((W316*0.15)+(X316*0.7))*VLOOKUP(P316,'MunicípiosEstados'!$S$2:$T$218,2,FALSE),
  O316="Mato Grosso",((W316*0.15)+(X316*0.7))*VLOOKUP(P316,'MunicípiosEstados'!$U$2:$V$143,2,FALSE),
  O316="Mato Grosso do Sul",((W316*0.15)+(X316*0.7))*VLOOKUP(P316,'MunicípiosEstados'!$W$2:$X$80,2,FALSE),
  O316="Minas Gerais",((W316*0.15)+(X316*0.7))*VLOOKUP(P316,'MunicípiosEstados'!$Y$2:$Z$854,2,FALSE),
  O316="Pará",((W316*0.15)+(X316*0.7))*VLOOKUP(P316,'MunicípiosEstados'!$AA$2:$AB$145,2,FALSE),
  O316="Paraíba",((W316*0.15)+(X316*0.7))*VLOOKUP(P316,'MunicípiosEstados'!$AC$2:$AD$224,2,FALSE),
  O316="Paraná",((W316*0.15)+(X316*0.7))*VLOOKUP(P316,'MunicípiosEstados'!$AE$2:$AF$400,2,FALSE),
  O316="Pernambuco",((W316*0.15)+(X316*0.7))*VLOOKUP(P316,'MunicípiosEstados'!$AG$2:$AH$186,2,FALSE),
  O316="Piauí",((W316*0.15)+(X316*0.7))*VLOOKUP(P316,'MunicípiosEstados'!$AI$2:$AJ$225,2,FALSE),
  O316="Rio Grande do Norte",((W316*0.15)+(X316*0.7))*VLOOKUP(P316,'MunicípiosEstados'!$AK$2:$AL$168,2,FALSE),
  O316="Rio Grande do Sul",((W316*0.15)+(X316*0.7))*VLOOKUP(P316,'MunicípiosEstados'!$AM$2:$AN$498,2,FALSE),
  O316="Rio de Janeiro",((W316*0.15)+(X316*0.7))*VLOOKUP(P316,'MunicípiosEstados'!$AO$2:$AP$93,2,FALSE),
  O316="Rondônia",((W316*0.15)+(X316*0.7))*VLOOKUP(P316,'MunicípiosEstados'!$AQ$2:$AR$53,2,FALSE),
  O316="Roraima",((W316*0.15)+(X316*0.7))*VLOOKUP(P316,'MunicípiosEstados'!$AS$2:$AT$16,2,FALSE),
  O316="Santa Catarina",((W316*0.15)+(X316*0.7))*VLOOKUP(P316,'MunicípiosEstados'!$AU$2:$AV$296,2,FALSE),
  O316="São Paulo",((W316*0.15)+(X316*0.7))*VLOOKUP(P316,'MunicípiosEstados'!$AW$2:$AX$646,2,FALSE),
  O316="Sergipe",((W316*0.15)+(X316*0.7))*VLOOKUP(P316,'MunicípiosEstados'!$AY$2:$AZ$76,2,FALSE),
  O316="Tocantins",((W316*0.15)+(X316*0.7))*VLOOKUP(P316,'MunicípiosEstados'!$BA$2:$BB$140,2,FALSE),
  O316="Exterior",((W316*0.15)+(X316*0.7))*VLOOKUP(P316,'MunicípiosEstados'!$BC$2:$BE$221,3,FALSE),TRUE,0
)
</f>
        <v>1249.365</v>
      </c>
      <c r="AL316" s="25">
        <f t="shared" si="3"/>
        <v>4149.365</v>
      </c>
      <c r="AN316" s="26"/>
    </row>
    <row r="317" ht="22.5" hidden="1" customHeight="1">
      <c r="A317" s="15">
        <f t="shared" si="1"/>
        <v>316</v>
      </c>
      <c r="B317" s="16">
        <v>45999.66919409722</v>
      </c>
      <c r="C317" s="17" t="s">
        <v>914</v>
      </c>
      <c r="D317" s="18" t="s">
        <v>443</v>
      </c>
      <c r="E317" s="15" t="str">
        <f>VLOOKUP(G317,DiretoriaDepart.Coord.!$A$1:$C$72,2,FALSE)</f>
        <v>Extensão Rural</v>
      </c>
      <c r="F317" s="15" t="str">
        <f>VLOOKUP(G317,DiretoriaDepart.Coord.!$A$1:$C$72,3,FALSE)</f>
        <v>Projetos e Cadeias Produtivas</v>
      </c>
      <c r="G317" s="17" t="s">
        <v>903</v>
      </c>
      <c r="H317" s="15"/>
      <c r="I317" s="17" t="s">
        <v>1600</v>
      </c>
      <c r="J317" s="17" t="s">
        <v>728</v>
      </c>
      <c r="K317" s="17">
        <v>5.0</v>
      </c>
      <c r="L317" s="15"/>
      <c r="M317" s="17" t="s">
        <v>1581</v>
      </c>
      <c r="N317" s="17">
        <v>0.0</v>
      </c>
      <c r="O317" s="17" t="s">
        <v>1558</v>
      </c>
      <c r="P317" s="17" t="s">
        <v>1601</v>
      </c>
      <c r="Q317" s="20">
        <v>45698.333333333336</v>
      </c>
      <c r="R317" s="20">
        <v>45700.708333333336</v>
      </c>
      <c r="S317" s="17" t="s">
        <v>451</v>
      </c>
      <c r="T317" s="17" t="s">
        <v>452</v>
      </c>
      <c r="U317" s="21" t="s">
        <v>1602</v>
      </c>
      <c r="V317" s="21" t="s">
        <v>1603</v>
      </c>
      <c r="W317" s="22">
        <v>50.0</v>
      </c>
      <c r="X317" s="22">
        <v>20.0</v>
      </c>
      <c r="Y317" s="23">
        <v>0.0</v>
      </c>
      <c r="Z317" s="23">
        <v>0.0</v>
      </c>
      <c r="AA317" s="24">
        <v>0.0</v>
      </c>
      <c r="AB317" s="24">
        <v>0.0</v>
      </c>
      <c r="AC317" s="24">
        <v>0.0</v>
      </c>
      <c r="AD317" s="23">
        <v>90.0</v>
      </c>
      <c r="AE317" s="24">
        <v>0.0</v>
      </c>
      <c r="AF317" s="17" t="s">
        <v>451</v>
      </c>
      <c r="AG317" s="17">
        <v>1800.0</v>
      </c>
      <c r="AH317" s="17" t="s">
        <v>451</v>
      </c>
      <c r="AI317" s="25">
        <f>IF(AF317="Sim",INT((R317-Q317+1))*K317*VLOOKUP(P317,'Tabelas Auxiliares'!$A$1:$C$400,3,FALSE),0)</f>
        <v>0</v>
      </c>
      <c r="AJ317" s="25">
        <f t="shared" si="2"/>
        <v>1260</v>
      </c>
      <c r="AK317" s="25">
        <f>IFS(
  O317="Acre",((W317*0.15)+(X317*0.7))*VLOOKUP(P317,'MunicípiosEstados'!$A$2:$B$23,2,FALSE),
  O317="Alagoas",((W317*0.15)+(X317*0.7))*VLOOKUP(P317,'MunicípiosEstados'!$C$2:$D$103,2,FALSE),
  O317="Amapá",((W317*0.15)+(X317*0.7))*VLOOKUP(P317,'MunicípiosEstados'!$E$2:$F$17,2,FALSE),
  O317="Amazonas",((W317*0.15)+(X317*0.7))*VLOOKUP(P317,'MunicípiosEstados'!$G$2:$H$63,2,FALSE),
  O317="Bahia",((W317*0.15)+(X317*0.7))*VLOOKUP(P317,'MunicípiosEstados'!$I$2:$J$418,2,FALSE),
  O317="Ceará",((W317*0.15)+(X317*0.7))*VLOOKUP(P317,'MunicípiosEstados'!$K$2:$L$185,2,FALSE),
  O317="Distrito Federal",((W317*0.15)+(X317*0.7))*VLOOKUP(P317,'MunicípiosEstados'!$M$2:$N$2,2,FALSE),
  O317="Espírito Santo",((W317*0.15)+(X317*0.7))*VLOOKUP(P317,'MunicípiosEstados'!$O$2:$P$79,2,FALSE),
  O317="Goiás",((W317*0.15)+(X317*0.7))*VLOOKUP(P317,'MunicípiosEstados'!$Q$2:$R$247,2,FALSE),
  O317="Maranhão",((W317*0.15)+(X317*0.7))*VLOOKUP(P317,'MunicípiosEstados'!$S$2:$T$218,2,FALSE),
  O317="Mato Grosso",((W317*0.15)+(X317*0.7))*VLOOKUP(P317,'MunicípiosEstados'!$U$2:$V$143,2,FALSE),
  O317="Mato Grosso do Sul",((W317*0.15)+(X317*0.7))*VLOOKUP(P317,'MunicípiosEstados'!$W$2:$X$80,2,FALSE),
  O317="Minas Gerais",((W317*0.15)+(X317*0.7))*VLOOKUP(P317,'MunicípiosEstados'!$Y$2:$Z$854,2,FALSE),
  O317="Pará",((W317*0.15)+(X317*0.7))*VLOOKUP(P317,'MunicípiosEstados'!$AA$2:$AB$145,2,FALSE),
  O317="Paraíba",((W317*0.15)+(X317*0.7))*VLOOKUP(P317,'MunicípiosEstados'!$AC$2:$AD$224,2,FALSE),
  O317="Paraná",((W317*0.15)+(X317*0.7))*VLOOKUP(P317,'MunicípiosEstados'!$AE$2:$AF$400,2,FALSE),
  O317="Pernambuco",((W317*0.15)+(X317*0.7))*VLOOKUP(P317,'MunicípiosEstados'!$AG$2:$AH$186,2,FALSE),
  O317="Piauí",((W317*0.15)+(X317*0.7))*VLOOKUP(P317,'MunicípiosEstados'!$AI$2:$AJ$225,2,FALSE),
  O317="Rio Grande do Norte",((W317*0.15)+(X317*0.7))*VLOOKUP(P317,'MunicípiosEstados'!$AK$2:$AL$168,2,FALSE),
  O317="Rio Grande do Sul",((W317*0.15)+(X317*0.7))*VLOOKUP(P317,'MunicípiosEstados'!$AM$2:$AN$498,2,FALSE),
  O317="Rio de Janeiro",((W317*0.15)+(X317*0.7))*VLOOKUP(P317,'MunicípiosEstados'!$AO$2:$AP$93,2,FALSE),
  O317="Rondônia",((W317*0.15)+(X317*0.7))*VLOOKUP(P317,'MunicípiosEstados'!$AQ$2:$AR$53,2,FALSE),
  O317="Roraima",((W317*0.15)+(X317*0.7))*VLOOKUP(P317,'MunicípiosEstados'!$AS$2:$AT$16,2,FALSE),
  O317="Santa Catarina",((W317*0.15)+(X317*0.7))*VLOOKUP(P317,'MunicípiosEstados'!$AU$2:$AV$296,2,FALSE),
  O317="São Paulo",((W317*0.15)+(X317*0.7))*VLOOKUP(P317,'MunicípiosEstados'!$AW$2:$AX$646,2,FALSE),
  O317="Sergipe",((W317*0.15)+(X317*0.7))*VLOOKUP(P317,'MunicípiosEstados'!$AY$2:$AZ$76,2,FALSE),
  O317="Tocantins",((W317*0.15)+(X317*0.7))*VLOOKUP(P317,'MunicípiosEstados'!$BA$2:$BB$140,2,FALSE),
  O317="Exterior",((W317*0.15)+(X317*0.7))*VLOOKUP(P317,'MunicípiosEstados'!$BC$2:$BE$221,3,FALSE),TRUE,0
)
</f>
        <v>6246.825</v>
      </c>
      <c r="AL317" s="25">
        <f t="shared" si="3"/>
        <v>7596.825</v>
      </c>
      <c r="AN317" s="31"/>
    </row>
    <row r="318" ht="22.5" hidden="1" customHeight="1">
      <c r="A318" s="15">
        <f t="shared" si="1"/>
        <v>317</v>
      </c>
      <c r="B318" s="16">
        <v>45979.58496247685</v>
      </c>
      <c r="C318" s="17" t="s">
        <v>468</v>
      </c>
      <c r="D318" s="27" t="s">
        <v>443</v>
      </c>
      <c r="E318" s="15" t="str">
        <f>VLOOKUP(G318,DiretoriaDepart.Coord.!$A$1:$C$72,2,FALSE)</f>
        <v>Pesquisa e Inovação</v>
      </c>
      <c r="F318" s="15" t="str">
        <f>VLOOKUP(G318,DiretoriaDepart.Coord.!$A$1:$C$72,3,FALSE)</f>
        <v>Inovação e Comunicação Científica</v>
      </c>
      <c r="G318" s="17" t="s">
        <v>457</v>
      </c>
      <c r="H318" s="15"/>
      <c r="I318" s="17" t="s">
        <v>1604</v>
      </c>
      <c r="J318" s="17" t="s">
        <v>490</v>
      </c>
      <c r="K318" s="17">
        <v>1.0</v>
      </c>
      <c r="L318" s="17">
        <v>1.0</v>
      </c>
      <c r="M318" s="17" t="s">
        <v>1605</v>
      </c>
      <c r="N318" s="17">
        <v>1.0</v>
      </c>
      <c r="O318" s="17" t="s">
        <v>1606</v>
      </c>
      <c r="P318" s="17" t="s">
        <v>1607</v>
      </c>
      <c r="Q318" s="20">
        <v>45733.333333333336</v>
      </c>
      <c r="R318" s="20">
        <v>45735.708333333336</v>
      </c>
      <c r="S318" s="17" t="s">
        <v>464</v>
      </c>
      <c r="T318" s="17" t="s">
        <v>452</v>
      </c>
      <c r="U318" s="30" t="s">
        <v>1608</v>
      </c>
      <c r="V318" s="30" t="s">
        <v>1609</v>
      </c>
      <c r="W318" s="22">
        <v>10.0</v>
      </c>
      <c r="X318" s="22">
        <v>4.0</v>
      </c>
      <c r="Y318" s="23">
        <v>600.0</v>
      </c>
      <c r="Z318" s="23">
        <v>350.0</v>
      </c>
      <c r="AA318" s="24">
        <v>1200.0</v>
      </c>
      <c r="AB318" s="24">
        <v>300.0</v>
      </c>
      <c r="AC318" s="24">
        <v>300.0</v>
      </c>
      <c r="AD318" s="23">
        <v>0.0</v>
      </c>
      <c r="AE318" s="24">
        <v>300.0</v>
      </c>
      <c r="AF318" s="17" t="s">
        <v>451</v>
      </c>
      <c r="AG318" s="17">
        <v>300.0</v>
      </c>
      <c r="AH318" s="17" t="s">
        <v>464</v>
      </c>
      <c r="AI318" s="25">
        <f>IF(AF318="Sim",INT((R318-Q318+1))*K318*VLOOKUP(P318,'Tabelas Auxiliares'!$A$1:$C$400,3,FALSE),0)</f>
        <v>0</v>
      </c>
      <c r="AJ318" s="25">
        <f t="shared" si="2"/>
        <v>210</v>
      </c>
      <c r="AK318" s="25">
        <f>IFS(
  O318="Acre",((W318*0.15)+(X318*0.7))*VLOOKUP(P318,'MunicípiosEstados'!$A$2:$B$23,2,FALSE),
  O318="Alagoas",((W318*0.15)+(X318*0.7))*VLOOKUP(P318,'MunicípiosEstados'!$C$2:$D$103,2,FALSE),
  O318="Amapá",((W318*0.15)+(X318*0.7))*VLOOKUP(P318,'MunicípiosEstados'!$E$2:$F$17,2,FALSE),
  O318="Amazonas",((W318*0.15)+(X318*0.7))*VLOOKUP(P318,'MunicípiosEstados'!$G$2:$H$63,2,FALSE),
  O318="Bahia",((W318*0.15)+(X318*0.7))*VLOOKUP(P318,'MunicípiosEstados'!$I$2:$J$418,2,FALSE),
  O318="Ceará",((W318*0.15)+(X318*0.7))*VLOOKUP(P318,'MunicípiosEstados'!$K$2:$L$185,2,FALSE),
  O318="Distrito Federal",((W318*0.15)+(X318*0.7))*VLOOKUP(P318,'MunicípiosEstados'!$M$2:$N$2,2,FALSE),
  O318="Espírito Santo",((W318*0.15)+(X318*0.7))*VLOOKUP(P318,'MunicípiosEstados'!$O$2:$P$79,2,FALSE),
  O318="Goiás",((W318*0.15)+(X318*0.7))*VLOOKUP(P318,'MunicípiosEstados'!$Q$2:$R$247,2,FALSE),
  O318="Maranhão",((W318*0.15)+(X318*0.7))*VLOOKUP(P318,'MunicípiosEstados'!$S$2:$T$218,2,FALSE),
  O318="Mato Grosso",((W318*0.15)+(X318*0.7))*VLOOKUP(P318,'MunicípiosEstados'!$U$2:$V$143,2,FALSE),
  O318="Mato Grosso do Sul",((W318*0.15)+(X318*0.7))*VLOOKUP(P318,'MunicípiosEstados'!$W$2:$X$80,2,FALSE),
  O318="Minas Gerais",((W318*0.15)+(X318*0.7))*VLOOKUP(P318,'MunicípiosEstados'!$Y$2:$Z$854,2,FALSE),
  O318="Pará",((W318*0.15)+(X318*0.7))*VLOOKUP(P318,'MunicípiosEstados'!$AA$2:$AB$145,2,FALSE),
  O318="Paraíba",((W318*0.15)+(X318*0.7))*VLOOKUP(P318,'MunicípiosEstados'!$AC$2:$AD$224,2,FALSE),
  O318="Paraná",((W318*0.15)+(X318*0.7))*VLOOKUP(P318,'MunicípiosEstados'!$AE$2:$AF$400,2,FALSE),
  O318="Pernambuco",((W318*0.15)+(X318*0.7))*VLOOKUP(P318,'MunicípiosEstados'!$AG$2:$AH$186,2,FALSE),
  O318="Piauí",((W318*0.15)+(X318*0.7))*VLOOKUP(P318,'MunicípiosEstados'!$AI$2:$AJ$225,2,FALSE),
  O318="Rio Grande do Norte",((W318*0.15)+(X318*0.7))*VLOOKUP(P318,'MunicípiosEstados'!$AK$2:$AL$168,2,FALSE),
  O318="Rio Grande do Sul",((W318*0.15)+(X318*0.7))*VLOOKUP(P318,'MunicípiosEstados'!$AM$2:$AN$498,2,FALSE),
  O318="Rio de Janeiro",((W318*0.15)+(X318*0.7))*VLOOKUP(P318,'MunicípiosEstados'!$AO$2:$AP$93,2,FALSE),
  O318="Rondônia",((W318*0.15)+(X318*0.7))*VLOOKUP(P318,'MunicípiosEstados'!$AQ$2:$AR$53,2,FALSE),
  O318="Roraima",((W318*0.15)+(X318*0.7))*VLOOKUP(P318,'MunicípiosEstados'!$AS$2:$AT$16,2,FALSE),
  O318="Santa Catarina",((W318*0.15)+(X318*0.7))*VLOOKUP(P318,'MunicípiosEstados'!$AU$2:$AV$296,2,FALSE),
  O318="São Paulo",((W318*0.15)+(X318*0.7))*VLOOKUP(P318,'MunicípiosEstados'!$AW$2:$AX$646,2,FALSE),
  O318="Sergipe",((W318*0.15)+(X318*0.7))*VLOOKUP(P318,'MunicípiosEstados'!$AY$2:$AZ$76,2,FALSE),
  O318="Tocantins",((W318*0.15)+(X318*0.7))*VLOOKUP(P318,'MunicípiosEstados'!$BA$2:$BB$140,2,FALSE),
  O318="Exterior",((W318*0.15)+(X318*0.7))*VLOOKUP(P318,'MunicípiosEstados'!$BC$2:$BE$221,3,FALSE),TRUE,0
)
</f>
        <v>1249.365</v>
      </c>
      <c r="AL318" s="25">
        <f t="shared" si="3"/>
        <v>4509.365</v>
      </c>
      <c r="AM318" s="25"/>
      <c r="AN318" s="26"/>
    </row>
    <row r="319" ht="22.5" hidden="1" customHeight="1">
      <c r="A319" s="15">
        <f t="shared" si="1"/>
        <v>318</v>
      </c>
      <c r="B319" s="16">
        <v>45980.363039247684</v>
      </c>
      <c r="C319" s="17" t="s">
        <v>866</v>
      </c>
      <c r="D319" s="27" t="s">
        <v>443</v>
      </c>
      <c r="E319" s="15" t="str">
        <f>VLOOKUP(G319,DiretoriaDepart.Coord.!$A$1:$C$72,2,FALSE)</f>
        <v>Gestão Institucional</v>
      </c>
      <c r="F319" s="15" t="str">
        <f>VLOOKUP(G319,DiretoriaDepart.Coord.!$A$1:$C$72,3,FALSE)</f>
        <v>Recursos Humanos</v>
      </c>
      <c r="G319" s="17" t="s">
        <v>867</v>
      </c>
      <c r="H319" s="15"/>
      <c r="I319" s="17" t="s">
        <v>1610</v>
      </c>
      <c r="J319" s="17" t="s">
        <v>545</v>
      </c>
      <c r="K319" s="17">
        <v>3.0</v>
      </c>
      <c r="L319" s="19" t="s">
        <v>1611</v>
      </c>
      <c r="M319" s="17" t="s">
        <v>461</v>
      </c>
      <c r="N319" s="17">
        <v>0.0</v>
      </c>
      <c r="O319" s="17" t="s">
        <v>1606</v>
      </c>
      <c r="P319" s="17" t="s">
        <v>1606</v>
      </c>
      <c r="Q319" s="20">
        <v>45782.333333333336</v>
      </c>
      <c r="R319" s="20">
        <v>45783.708333333336</v>
      </c>
      <c r="S319" s="17" t="s">
        <v>464</v>
      </c>
      <c r="T319" s="17" t="s">
        <v>452</v>
      </c>
      <c r="U319" s="30" t="s">
        <v>1612</v>
      </c>
      <c r="V319" s="30" t="s">
        <v>1613</v>
      </c>
      <c r="W319" s="22">
        <v>18.0</v>
      </c>
      <c r="X319" s="22">
        <v>9.0</v>
      </c>
      <c r="Y319" s="23">
        <v>3000.0</v>
      </c>
      <c r="Z319" s="23">
        <v>0.0</v>
      </c>
      <c r="AA319" s="24">
        <v>0.0</v>
      </c>
      <c r="AB319" s="24">
        <v>0.0</v>
      </c>
      <c r="AC319" s="24">
        <v>0.0</v>
      </c>
      <c r="AD319" s="23">
        <v>0.0</v>
      </c>
      <c r="AE319" s="24">
        <v>0.0</v>
      </c>
      <c r="AF319" s="17" t="s">
        <v>451</v>
      </c>
      <c r="AG319" s="17">
        <v>840.0</v>
      </c>
      <c r="AH319" s="17" t="s">
        <v>451</v>
      </c>
      <c r="AI319" s="25">
        <f>IF(AF319="Sim",INT((R319-Q319+1))*K319*VLOOKUP(P319,'Tabelas Auxiliares'!$A$1:$C$400,3,FALSE),0)</f>
        <v>0</v>
      </c>
      <c r="AJ319" s="25">
        <f t="shared" si="2"/>
        <v>588</v>
      </c>
      <c r="AK319" s="25">
        <f>IFS(
  O319="Acre",((W319*0.15)+(X319*0.7))*VLOOKUP(P319,'MunicípiosEstados'!$A$2:$B$23,2,FALSE),
  O319="Alagoas",((W319*0.15)+(X319*0.7))*VLOOKUP(P319,'MunicípiosEstados'!$C$2:$D$103,2,FALSE),
  O319="Amapá",((W319*0.15)+(X319*0.7))*VLOOKUP(P319,'MunicípiosEstados'!$E$2:$F$17,2,FALSE),
  O319="Amazonas",((W319*0.15)+(X319*0.7))*VLOOKUP(P319,'MunicípiosEstados'!$G$2:$H$63,2,FALSE),
  O319="Bahia",((W319*0.15)+(X319*0.7))*VLOOKUP(P319,'MunicípiosEstados'!$I$2:$J$418,2,FALSE),
  O319="Ceará",((W319*0.15)+(X319*0.7))*VLOOKUP(P319,'MunicípiosEstados'!$K$2:$L$185,2,FALSE),
  O319="Distrito Federal",((W319*0.15)+(X319*0.7))*VLOOKUP(P319,'MunicípiosEstados'!$M$2:$N$2,2,FALSE),
  O319="Espírito Santo",((W319*0.15)+(X319*0.7))*VLOOKUP(P319,'MunicípiosEstados'!$O$2:$P$79,2,FALSE),
  O319="Goiás",((W319*0.15)+(X319*0.7))*VLOOKUP(P319,'MunicípiosEstados'!$Q$2:$R$247,2,FALSE),
  O319="Maranhão",((W319*0.15)+(X319*0.7))*VLOOKUP(P319,'MunicípiosEstados'!$S$2:$T$218,2,FALSE),
  O319="Mato Grosso",((W319*0.15)+(X319*0.7))*VLOOKUP(P319,'MunicípiosEstados'!$U$2:$V$143,2,FALSE),
  O319="Mato Grosso do Sul",((W319*0.15)+(X319*0.7))*VLOOKUP(P319,'MunicípiosEstados'!$W$2:$X$80,2,FALSE),
  O319="Minas Gerais",((W319*0.15)+(X319*0.7))*VLOOKUP(P319,'MunicípiosEstados'!$Y$2:$Z$854,2,FALSE),
  O319="Pará",((W319*0.15)+(X319*0.7))*VLOOKUP(P319,'MunicípiosEstados'!$AA$2:$AB$145,2,FALSE),
  O319="Paraíba",((W319*0.15)+(X319*0.7))*VLOOKUP(P319,'MunicípiosEstados'!$AC$2:$AD$224,2,FALSE),
  O319="Paraná",((W319*0.15)+(X319*0.7))*VLOOKUP(P319,'MunicípiosEstados'!$AE$2:$AF$400,2,FALSE),
  O319="Pernambuco",((W319*0.15)+(X319*0.7))*VLOOKUP(P319,'MunicípiosEstados'!$AG$2:$AH$186,2,FALSE),
  O319="Piauí",((W319*0.15)+(X319*0.7))*VLOOKUP(P319,'MunicípiosEstados'!$AI$2:$AJ$225,2,FALSE),
  O319="Rio Grande do Norte",((W319*0.15)+(X319*0.7))*VLOOKUP(P319,'MunicípiosEstados'!$AK$2:$AL$168,2,FALSE),
  O319="Rio Grande do Sul",((W319*0.15)+(X319*0.7))*VLOOKUP(P319,'MunicípiosEstados'!$AM$2:$AN$498,2,FALSE),
  O319="Rio de Janeiro",((W319*0.15)+(X319*0.7))*VLOOKUP(P319,'MunicípiosEstados'!$AO$2:$AP$93,2,FALSE),
  O319="Rondônia",((W319*0.15)+(X319*0.7))*VLOOKUP(P319,'MunicípiosEstados'!$AQ$2:$AR$53,2,FALSE),
  O319="Roraima",((W319*0.15)+(X319*0.7))*VLOOKUP(P319,'MunicípiosEstados'!$AS$2:$AT$16,2,FALSE),
  O319="Santa Catarina",((W319*0.15)+(X319*0.7))*VLOOKUP(P319,'MunicípiosEstados'!$AU$2:$AV$296,2,FALSE),
  O319="São Paulo",((W319*0.15)+(X319*0.7))*VLOOKUP(P319,'MunicípiosEstados'!$AW$2:$AX$646,2,FALSE),
  O319="Sergipe",((W319*0.15)+(X319*0.7))*VLOOKUP(P319,'MunicípiosEstados'!$AY$2:$AZ$76,2,FALSE),
  O319="Tocantins",((W319*0.15)+(X319*0.7))*VLOOKUP(P319,'MunicípiosEstados'!$BA$2:$BB$140,2,FALSE),
  O319="Exterior",((W319*0.15)+(X319*0.7))*VLOOKUP(P319,'MunicípiosEstados'!$BC$2:$BE$221,3,FALSE),TRUE,0
)
</f>
        <v>3341.34</v>
      </c>
      <c r="AL319" s="25">
        <f t="shared" si="3"/>
        <v>6929.34</v>
      </c>
      <c r="AM319" s="25"/>
      <c r="AN319" s="31"/>
    </row>
    <row r="320" ht="22.5" hidden="1" customHeight="1">
      <c r="A320" s="15">
        <f t="shared" si="1"/>
        <v>319</v>
      </c>
      <c r="B320" s="16">
        <v>45980.4066734375</v>
      </c>
      <c r="C320" s="17" t="s">
        <v>871</v>
      </c>
      <c r="D320" s="27" t="s">
        <v>443</v>
      </c>
      <c r="E320" s="15" t="str">
        <f>VLOOKUP(G320,DiretoriaDepart.Coord.!$A$1:$C$72,2,FALSE)</f>
        <v>Extensão Rural</v>
      </c>
      <c r="F320" s="15" t="str">
        <f>VLOOKUP(G320,DiretoriaDepart.Coord.!$A$1:$C$72,3,FALSE)</f>
        <v>Sustentabilidade</v>
      </c>
      <c r="G320" s="17" t="s">
        <v>1032</v>
      </c>
      <c r="H320" s="15"/>
      <c r="I320" s="17" t="s">
        <v>1614</v>
      </c>
      <c r="J320" s="17" t="s">
        <v>490</v>
      </c>
      <c r="K320" s="17">
        <v>4.0</v>
      </c>
      <c r="L320" s="19" t="s">
        <v>1615</v>
      </c>
      <c r="M320" s="17">
        <v>0.0</v>
      </c>
      <c r="N320" s="17">
        <v>0.0</v>
      </c>
      <c r="O320" s="17" t="s">
        <v>1606</v>
      </c>
      <c r="P320" s="17" t="s">
        <v>1616</v>
      </c>
      <c r="Q320" s="20">
        <v>45733.333333333336</v>
      </c>
      <c r="R320" s="20">
        <v>45735.708333333336</v>
      </c>
      <c r="S320" s="17" t="s">
        <v>464</v>
      </c>
      <c r="T320" s="17" t="s">
        <v>452</v>
      </c>
      <c r="U320" s="30" t="s">
        <v>1617</v>
      </c>
      <c r="V320" s="30" t="s">
        <v>1618</v>
      </c>
      <c r="W320" s="22">
        <v>36.0</v>
      </c>
      <c r="X320" s="22">
        <v>16.0</v>
      </c>
      <c r="Y320" s="23">
        <v>0.0</v>
      </c>
      <c r="Z320" s="23">
        <v>0.0</v>
      </c>
      <c r="AA320" s="24">
        <v>0.0</v>
      </c>
      <c r="AB320" s="24">
        <v>0.0</v>
      </c>
      <c r="AC320" s="24">
        <v>0.0</v>
      </c>
      <c r="AD320" s="23">
        <v>360.0</v>
      </c>
      <c r="AE320" s="24">
        <v>0.0</v>
      </c>
      <c r="AF320" s="17" t="s">
        <v>451</v>
      </c>
      <c r="AG320" s="17">
        <v>900.0</v>
      </c>
      <c r="AH320" s="17" t="s">
        <v>451</v>
      </c>
      <c r="AI320" s="25">
        <f>IF(AF320="Sim",INT((R320-Q320+1))*K320*VLOOKUP(P320,'Tabelas Auxiliares'!$A$1:$C$400,3,FALSE),0)</f>
        <v>0</v>
      </c>
      <c r="AJ320" s="25">
        <f t="shared" si="2"/>
        <v>630</v>
      </c>
      <c r="AK320" s="25">
        <f>IFS(
  O320="Acre",((W320*0.15)+(X320*0.7))*VLOOKUP(P320,'MunicípiosEstados'!$A$2:$B$23,2,FALSE),
  O320="Alagoas",((W320*0.15)+(X320*0.7))*VLOOKUP(P320,'MunicípiosEstados'!$C$2:$D$103,2,FALSE),
  O320="Amapá",((W320*0.15)+(X320*0.7))*VLOOKUP(P320,'MunicípiosEstados'!$E$2:$F$17,2,FALSE),
  O320="Amazonas",((W320*0.15)+(X320*0.7))*VLOOKUP(P320,'MunicípiosEstados'!$G$2:$H$63,2,FALSE),
  O320="Bahia",((W320*0.15)+(X320*0.7))*VLOOKUP(P320,'MunicípiosEstados'!$I$2:$J$418,2,FALSE),
  O320="Ceará",((W320*0.15)+(X320*0.7))*VLOOKUP(P320,'MunicípiosEstados'!$K$2:$L$185,2,FALSE),
  O320="Distrito Federal",((W320*0.15)+(X320*0.7))*VLOOKUP(P320,'MunicípiosEstados'!$M$2:$N$2,2,FALSE),
  O320="Espírito Santo",((W320*0.15)+(X320*0.7))*VLOOKUP(P320,'MunicípiosEstados'!$O$2:$P$79,2,FALSE),
  O320="Goiás",((W320*0.15)+(X320*0.7))*VLOOKUP(P320,'MunicípiosEstados'!$Q$2:$R$247,2,FALSE),
  O320="Maranhão",((W320*0.15)+(X320*0.7))*VLOOKUP(P320,'MunicípiosEstados'!$S$2:$T$218,2,FALSE),
  O320="Mato Grosso",((W320*0.15)+(X320*0.7))*VLOOKUP(P320,'MunicípiosEstados'!$U$2:$V$143,2,FALSE),
  O320="Mato Grosso do Sul",((W320*0.15)+(X320*0.7))*VLOOKUP(P320,'MunicípiosEstados'!$W$2:$X$80,2,FALSE),
  O320="Minas Gerais",((W320*0.15)+(X320*0.7))*VLOOKUP(P320,'MunicípiosEstados'!$Y$2:$Z$854,2,FALSE),
  O320="Pará",((W320*0.15)+(X320*0.7))*VLOOKUP(P320,'MunicípiosEstados'!$AA$2:$AB$145,2,FALSE),
  O320="Paraíba",((W320*0.15)+(X320*0.7))*VLOOKUP(P320,'MunicípiosEstados'!$AC$2:$AD$224,2,FALSE),
  O320="Paraná",((W320*0.15)+(X320*0.7))*VLOOKUP(P320,'MunicípiosEstados'!$AE$2:$AF$400,2,FALSE),
  O320="Pernambuco",((W320*0.15)+(X320*0.7))*VLOOKUP(P320,'MunicípiosEstados'!$AG$2:$AH$186,2,FALSE),
  O320="Piauí",((W320*0.15)+(X320*0.7))*VLOOKUP(P320,'MunicípiosEstados'!$AI$2:$AJ$225,2,FALSE),
  O320="Rio Grande do Norte",((W320*0.15)+(X320*0.7))*VLOOKUP(P320,'MunicípiosEstados'!$AK$2:$AL$168,2,FALSE),
  O320="Rio Grande do Sul",((W320*0.15)+(X320*0.7))*VLOOKUP(P320,'MunicípiosEstados'!$AM$2:$AN$498,2,FALSE),
  O320="Rio de Janeiro",((W320*0.15)+(X320*0.7))*VLOOKUP(P320,'MunicípiosEstados'!$AO$2:$AP$93,2,FALSE),
  O320="Rondônia",((W320*0.15)+(X320*0.7))*VLOOKUP(P320,'MunicípiosEstados'!$AQ$2:$AR$53,2,FALSE),
  O320="Roraima",((W320*0.15)+(X320*0.7))*VLOOKUP(P320,'MunicípiosEstados'!$AS$2:$AT$16,2,FALSE),
  O320="Santa Catarina",((W320*0.15)+(X320*0.7))*VLOOKUP(P320,'MunicípiosEstados'!$AU$2:$AV$296,2,FALSE),
  O320="São Paulo",((W320*0.15)+(X320*0.7))*VLOOKUP(P320,'MunicípiosEstados'!$AW$2:$AX$646,2,FALSE),
  O320="Sergipe",((W320*0.15)+(X320*0.7))*VLOOKUP(P320,'MunicípiosEstados'!$AY$2:$AZ$76,2,FALSE),
  O320="Tocantins",((W320*0.15)+(X320*0.7))*VLOOKUP(P320,'MunicípiosEstados'!$BA$2:$BB$140,2,FALSE),
  O320="Exterior",((W320*0.15)+(X320*0.7))*VLOOKUP(P320,'MunicípiosEstados'!$BC$2:$BE$221,3,FALSE),TRUE,0
)
</f>
        <v>4823.13</v>
      </c>
      <c r="AL320" s="25">
        <f t="shared" si="3"/>
        <v>5813.13</v>
      </c>
      <c r="AM320" s="25"/>
      <c r="AN320" s="31"/>
    </row>
    <row r="321" ht="22.5" hidden="1" customHeight="1">
      <c r="A321" s="15">
        <f t="shared" si="1"/>
        <v>320</v>
      </c>
      <c r="B321" s="16">
        <v>45980.41418303241</v>
      </c>
      <c r="C321" s="17" t="s">
        <v>871</v>
      </c>
      <c r="D321" s="27" t="s">
        <v>443</v>
      </c>
      <c r="E321" s="15" t="str">
        <f>VLOOKUP(G321,DiretoriaDepart.Coord.!$A$1:$C$72,2,FALSE)</f>
        <v>Extensão Rural</v>
      </c>
      <c r="F321" s="15" t="str">
        <f>VLOOKUP(G321,DiretoriaDepart.Coord.!$A$1:$C$72,3,FALSE)</f>
        <v>Projetos e Cadeias Produtivas</v>
      </c>
      <c r="G321" s="17" t="s">
        <v>1381</v>
      </c>
      <c r="H321" s="15"/>
      <c r="I321" s="17" t="s">
        <v>1619</v>
      </c>
      <c r="J321" s="17" t="s">
        <v>576</v>
      </c>
      <c r="K321" s="17">
        <v>4.0</v>
      </c>
      <c r="L321" s="15"/>
      <c r="M321" s="17">
        <v>0.0</v>
      </c>
      <c r="N321" s="17">
        <v>0.0</v>
      </c>
      <c r="O321" s="17" t="s">
        <v>1606</v>
      </c>
      <c r="P321" s="17" t="s">
        <v>1620</v>
      </c>
      <c r="Q321" s="20">
        <v>45831.333333333336</v>
      </c>
      <c r="R321" s="20">
        <v>45831.666666666664</v>
      </c>
      <c r="S321" s="17" t="s">
        <v>464</v>
      </c>
      <c r="T321" s="17" t="s">
        <v>452</v>
      </c>
      <c r="U321" s="30" t="s">
        <v>1621</v>
      </c>
      <c r="V321" s="30" t="s">
        <v>1622</v>
      </c>
      <c r="W321" s="22">
        <v>12.0</v>
      </c>
      <c r="X321" s="22">
        <v>4.0</v>
      </c>
      <c r="Y321" s="23">
        <v>0.0</v>
      </c>
      <c r="Z321" s="23">
        <v>0.0</v>
      </c>
      <c r="AA321" s="24">
        <v>0.0</v>
      </c>
      <c r="AB321" s="24">
        <v>0.0</v>
      </c>
      <c r="AC321" s="24">
        <v>0.0</v>
      </c>
      <c r="AD321" s="23">
        <v>140.0</v>
      </c>
      <c r="AE321" s="24">
        <v>0.0</v>
      </c>
      <c r="AF321" s="17" t="s">
        <v>451</v>
      </c>
      <c r="AG321" s="17">
        <v>600.0</v>
      </c>
      <c r="AH321" s="17" t="s">
        <v>451</v>
      </c>
      <c r="AI321" s="25">
        <f>IF(AF321="Sim",INT((R321-Q321+1))*K321*VLOOKUP(P321,'Tabelas Auxiliares'!$A$1:$C$400,3,FALSE),0)</f>
        <v>0</v>
      </c>
      <c r="AJ321" s="25">
        <f t="shared" si="2"/>
        <v>420</v>
      </c>
      <c r="AK321" s="25">
        <f>IFS(
  O321="Acre",((W321*0.15)+(X321*0.7))*VLOOKUP(P321,'MunicípiosEstados'!$A$2:$B$23,2,FALSE),
  O321="Alagoas",((W321*0.15)+(X321*0.7))*VLOOKUP(P321,'MunicípiosEstados'!$C$2:$D$103,2,FALSE),
  O321="Amapá",((W321*0.15)+(X321*0.7))*VLOOKUP(P321,'MunicípiosEstados'!$E$2:$F$17,2,FALSE),
  O321="Amazonas",((W321*0.15)+(X321*0.7))*VLOOKUP(P321,'MunicípiosEstados'!$G$2:$H$63,2,FALSE),
  O321="Bahia",((W321*0.15)+(X321*0.7))*VLOOKUP(P321,'MunicípiosEstados'!$I$2:$J$418,2,FALSE),
  O321="Ceará",((W321*0.15)+(X321*0.7))*VLOOKUP(P321,'MunicípiosEstados'!$K$2:$L$185,2,FALSE),
  O321="Distrito Federal",((W321*0.15)+(X321*0.7))*VLOOKUP(P321,'MunicípiosEstados'!$M$2:$N$2,2,FALSE),
  O321="Espírito Santo",((W321*0.15)+(X321*0.7))*VLOOKUP(P321,'MunicípiosEstados'!$O$2:$P$79,2,FALSE),
  O321="Goiás",((W321*0.15)+(X321*0.7))*VLOOKUP(P321,'MunicípiosEstados'!$Q$2:$R$247,2,FALSE),
  O321="Maranhão",((W321*0.15)+(X321*0.7))*VLOOKUP(P321,'MunicípiosEstados'!$S$2:$T$218,2,FALSE),
  O321="Mato Grosso",((W321*0.15)+(X321*0.7))*VLOOKUP(P321,'MunicípiosEstados'!$U$2:$V$143,2,FALSE),
  O321="Mato Grosso do Sul",((W321*0.15)+(X321*0.7))*VLOOKUP(P321,'MunicípiosEstados'!$W$2:$X$80,2,FALSE),
  O321="Minas Gerais",((W321*0.15)+(X321*0.7))*VLOOKUP(P321,'MunicípiosEstados'!$Y$2:$Z$854,2,FALSE),
  O321="Pará",((W321*0.15)+(X321*0.7))*VLOOKUP(P321,'MunicípiosEstados'!$AA$2:$AB$145,2,FALSE),
  O321="Paraíba",((W321*0.15)+(X321*0.7))*VLOOKUP(P321,'MunicípiosEstados'!$AC$2:$AD$224,2,FALSE),
  O321="Paraná",((W321*0.15)+(X321*0.7))*VLOOKUP(P321,'MunicípiosEstados'!$AE$2:$AF$400,2,FALSE),
  O321="Pernambuco",((W321*0.15)+(X321*0.7))*VLOOKUP(P321,'MunicípiosEstados'!$AG$2:$AH$186,2,FALSE),
  O321="Piauí",((W321*0.15)+(X321*0.7))*VLOOKUP(P321,'MunicípiosEstados'!$AI$2:$AJ$225,2,FALSE),
  O321="Rio Grande do Norte",((W321*0.15)+(X321*0.7))*VLOOKUP(P321,'MunicípiosEstados'!$AK$2:$AL$168,2,FALSE),
  O321="Rio Grande do Sul",((W321*0.15)+(X321*0.7))*VLOOKUP(P321,'MunicípiosEstados'!$AM$2:$AN$498,2,FALSE),
  O321="Rio de Janeiro",((W321*0.15)+(X321*0.7))*VLOOKUP(P321,'MunicípiosEstados'!$AO$2:$AP$93,2,FALSE),
  O321="Rondônia",((W321*0.15)+(X321*0.7))*VLOOKUP(P321,'MunicípiosEstados'!$AQ$2:$AR$53,2,FALSE),
  O321="Roraima",((W321*0.15)+(X321*0.7))*VLOOKUP(P321,'MunicípiosEstados'!$AS$2:$AT$16,2,FALSE),
  O321="Santa Catarina",((W321*0.15)+(X321*0.7))*VLOOKUP(P321,'MunicípiosEstados'!$AU$2:$AV$296,2,FALSE),
  O321="São Paulo",((W321*0.15)+(X321*0.7))*VLOOKUP(P321,'MunicípiosEstados'!$AW$2:$AX$646,2,FALSE),
  O321="Sergipe",((W321*0.15)+(X321*0.7))*VLOOKUP(P321,'MunicípiosEstados'!$AY$2:$AZ$76,2,FALSE),
  O321="Tocantins",((W321*0.15)+(X321*0.7))*VLOOKUP(P321,'MunicípiosEstados'!$BA$2:$BB$140,2,FALSE),
  O321="Exterior",((W321*0.15)+(X321*0.7))*VLOOKUP(P321,'MunicípiosEstados'!$BC$2:$BE$221,3,FALSE),TRUE,0
)
</f>
        <v>1336.53</v>
      </c>
      <c r="AL321" s="25">
        <f t="shared" si="3"/>
        <v>1896.53</v>
      </c>
      <c r="AM321" s="25"/>
      <c r="AN321" s="31"/>
    </row>
    <row r="322" ht="22.5" hidden="1" customHeight="1">
      <c r="A322" s="15">
        <f t="shared" si="1"/>
        <v>321</v>
      </c>
      <c r="B322" s="16">
        <v>45980.47045496528</v>
      </c>
      <c r="C322" s="17" t="s">
        <v>871</v>
      </c>
      <c r="D322" s="27" t="s">
        <v>443</v>
      </c>
      <c r="E322" s="15" t="str">
        <f>VLOOKUP(G322,DiretoriaDepart.Coord.!$A$1:$C$72,2,FALSE)</f>
        <v>Extensão Rural</v>
      </c>
      <c r="F322" s="15" t="str">
        <f>VLOOKUP(G322,DiretoriaDepart.Coord.!$A$1:$C$72,3,FALSE)</f>
        <v>Projetos e Cadeias Produtivas</v>
      </c>
      <c r="G322" s="17" t="s">
        <v>1381</v>
      </c>
      <c r="H322" s="15"/>
      <c r="I322" s="17" t="s">
        <v>1623</v>
      </c>
      <c r="J322" s="17" t="s">
        <v>1405</v>
      </c>
      <c r="K322" s="17">
        <v>4.0</v>
      </c>
      <c r="L322" s="15"/>
      <c r="M322" s="17" t="s">
        <v>1624</v>
      </c>
      <c r="N322" s="17">
        <v>0.0</v>
      </c>
      <c r="O322" s="17" t="s">
        <v>1606</v>
      </c>
      <c r="P322" s="17" t="s">
        <v>1625</v>
      </c>
      <c r="Q322" s="20">
        <v>45881.333333333336</v>
      </c>
      <c r="R322" s="20">
        <v>45881.666666666664</v>
      </c>
      <c r="S322" s="17" t="s">
        <v>464</v>
      </c>
      <c r="T322" s="17" t="s">
        <v>452</v>
      </c>
      <c r="U322" s="30" t="s">
        <v>1626</v>
      </c>
      <c r="V322" s="30" t="s">
        <v>1627</v>
      </c>
      <c r="W322" s="22">
        <v>12.0</v>
      </c>
      <c r="X322" s="22">
        <v>4.0</v>
      </c>
      <c r="Y322" s="23">
        <v>0.0</v>
      </c>
      <c r="Z322" s="23">
        <v>0.0</v>
      </c>
      <c r="AA322" s="24">
        <v>0.0</v>
      </c>
      <c r="AB322" s="24">
        <v>0.0</v>
      </c>
      <c r="AC322" s="24">
        <v>0.0</v>
      </c>
      <c r="AD322" s="23">
        <v>190.0</v>
      </c>
      <c r="AE322" s="24">
        <v>0.0</v>
      </c>
      <c r="AF322" s="17" t="s">
        <v>451</v>
      </c>
      <c r="AG322" s="17">
        <v>700.0</v>
      </c>
      <c r="AH322" s="17" t="s">
        <v>451</v>
      </c>
      <c r="AI322" s="25">
        <f>IF(AF322="Sim",INT((R322-Q322+1))*K322*VLOOKUP(P322,'Tabelas Auxiliares'!$A$1:$C$400,3,FALSE),0)</f>
        <v>0</v>
      </c>
      <c r="AJ322" s="25">
        <f t="shared" si="2"/>
        <v>490</v>
      </c>
      <c r="AK322" s="25">
        <f>IFS(
  O322="Acre",((W322*0.15)+(X322*0.7))*VLOOKUP(P322,'MunicípiosEstados'!$A$2:$B$23,2,FALSE),
  O322="Alagoas",((W322*0.15)+(X322*0.7))*VLOOKUP(P322,'MunicípiosEstados'!$C$2:$D$103,2,FALSE),
  O322="Amapá",((W322*0.15)+(X322*0.7))*VLOOKUP(P322,'MunicípiosEstados'!$E$2:$F$17,2,FALSE),
  O322="Amazonas",((W322*0.15)+(X322*0.7))*VLOOKUP(P322,'MunicípiosEstados'!$G$2:$H$63,2,FALSE),
  O322="Bahia",((W322*0.15)+(X322*0.7))*VLOOKUP(P322,'MunicípiosEstados'!$I$2:$J$418,2,FALSE),
  O322="Ceará",((W322*0.15)+(X322*0.7))*VLOOKUP(P322,'MunicípiosEstados'!$K$2:$L$185,2,FALSE),
  O322="Distrito Federal",((W322*0.15)+(X322*0.7))*VLOOKUP(P322,'MunicípiosEstados'!$M$2:$N$2,2,FALSE),
  O322="Espírito Santo",((W322*0.15)+(X322*0.7))*VLOOKUP(P322,'MunicípiosEstados'!$O$2:$P$79,2,FALSE),
  O322="Goiás",((W322*0.15)+(X322*0.7))*VLOOKUP(P322,'MunicípiosEstados'!$Q$2:$R$247,2,FALSE),
  O322="Maranhão",((W322*0.15)+(X322*0.7))*VLOOKUP(P322,'MunicípiosEstados'!$S$2:$T$218,2,FALSE),
  O322="Mato Grosso",((W322*0.15)+(X322*0.7))*VLOOKUP(P322,'MunicípiosEstados'!$U$2:$V$143,2,FALSE),
  O322="Mato Grosso do Sul",((W322*0.15)+(X322*0.7))*VLOOKUP(P322,'MunicípiosEstados'!$W$2:$X$80,2,FALSE),
  O322="Minas Gerais",((W322*0.15)+(X322*0.7))*VLOOKUP(P322,'MunicípiosEstados'!$Y$2:$Z$854,2,FALSE),
  O322="Pará",((W322*0.15)+(X322*0.7))*VLOOKUP(P322,'MunicípiosEstados'!$AA$2:$AB$145,2,FALSE),
  O322="Paraíba",((W322*0.15)+(X322*0.7))*VLOOKUP(P322,'MunicípiosEstados'!$AC$2:$AD$224,2,FALSE),
  O322="Paraná",((W322*0.15)+(X322*0.7))*VLOOKUP(P322,'MunicípiosEstados'!$AE$2:$AF$400,2,FALSE),
  O322="Pernambuco",((W322*0.15)+(X322*0.7))*VLOOKUP(P322,'MunicípiosEstados'!$AG$2:$AH$186,2,FALSE),
  O322="Piauí",((W322*0.15)+(X322*0.7))*VLOOKUP(P322,'MunicípiosEstados'!$AI$2:$AJ$225,2,FALSE),
  O322="Rio Grande do Norte",((W322*0.15)+(X322*0.7))*VLOOKUP(P322,'MunicípiosEstados'!$AK$2:$AL$168,2,FALSE),
  O322="Rio Grande do Sul",((W322*0.15)+(X322*0.7))*VLOOKUP(P322,'MunicípiosEstados'!$AM$2:$AN$498,2,FALSE),
  O322="Rio de Janeiro",((W322*0.15)+(X322*0.7))*VLOOKUP(P322,'MunicípiosEstados'!$AO$2:$AP$93,2,FALSE),
  O322="Rondônia",((W322*0.15)+(X322*0.7))*VLOOKUP(P322,'MunicípiosEstados'!$AQ$2:$AR$53,2,FALSE),
  O322="Roraima",((W322*0.15)+(X322*0.7))*VLOOKUP(P322,'MunicípiosEstados'!$AS$2:$AT$16,2,FALSE),
  O322="Santa Catarina",((W322*0.15)+(X322*0.7))*VLOOKUP(P322,'MunicípiosEstados'!$AU$2:$AV$296,2,FALSE),
  O322="São Paulo",((W322*0.15)+(X322*0.7))*VLOOKUP(P322,'MunicípiosEstados'!$AW$2:$AX$646,2,FALSE),
  O322="Sergipe",((W322*0.15)+(X322*0.7))*VLOOKUP(P322,'MunicípiosEstados'!$AY$2:$AZ$76,2,FALSE),
  O322="Tocantins",((W322*0.15)+(X322*0.7))*VLOOKUP(P322,'MunicípiosEstados'!$BA$2:$BB$140,2,FALSE),
  O322="Exterior",((W322*0.15)+(X322*0.7))*VLOOKUP(P322,'MunicípiosEstados'!$BC$2:$BE$221,3,FALSE),TRUE,0
)
</f>
        <v>1336.53</v>
      </c>
      <c r="AL322" s="25">
        <f t="shared" si="3"/>
        <v>2016.53</v>
      </c>
      <c r="AM322" s="25"/>
      <c r="AN322" s="31"/>
    </row>
    <row r="323" ht="22.5" hidden="1" customHeight="1">
      <c r="A323" s="15">
        <f t="shared" si="1"/>
        <v>322</v>
      </c>
      <c r="B323" s="16">
        <v>45985.445116539355</v>
      </c>
      <c r="C323" s="17" t="s">
        <v>945</v>
      </c>
      <c r="D323" s="27" t="s">
        <v>456</v>
      </c>
      <c r="E323" s="15" t="str">
        <f>VLOOKUP(G323,DiretoriaDepart.Coord.!$A$1:$C$72,2,FALSE)</f>
        <v>Pesquisa e Inovação</v>
      </c>
      <c r="F323" s="15" t="str">
        <f>VLOOKUP(G323,DiretoriaDepart.Coord.!$A$1:$C$72,3,FALSE)</f>
        <v>Pesquisa e Capacitação</v>
      </c>
      <c r="G323" s="17" t="s">
        <v>827</v>
      </c>
      <c r="H323" s="15"/>
      <c r="I323" s="17" t="s">
        <v>1628</v>
      </c>
      <c r="J323" s="17" t="s">
        <v>490</v>
      </c>
      <c r="K323" s="17">
        <v>1.0</v>
      </c>
      <c r="L323" s="17" t="s">
        <v>947</v>
      </c>
      <c r="M323" s="17" t="s">
        <v>1629</v>
      </c>
      <c r="N323" s="17">
        <v>300.0</v>
      </c>
      <c r="O323" s="17" t="s">
        <v>1606</v>
      </c>
      <c r="P323" s="17" t="s">
        <v>1616</v>
      </c>
      <c r="Q323" s="20">
        <v>45733.354166666664</v>
      </c>
      <c r="R323" s="20">
        <v>45735.708333333336</v>
      </c>
      <c r="S323" s="17" t="s">
        <v>464</v>
      </c>
      <c r="T323" s="17" t="s">
        <v>452</v>
      </c>
      <c r="U323" s="30" t="s">
        <v>1630</v>
      </c>
      <c r="V323" s="30" t="s">
        <v>1631</v>
      </c>
      <c r="W323" s="22">
        <v>10.0</v>
      </c>
      <c r="X323" s="22">
        <v>3.0</v>
      </c>
      <c r="Y323" s="23">
        <v>380.0</v>
      </c>
      <c r="Z323" s="23">
        <v>300.0</v>
      </c>
      <c r="AA323" s="24">
        <v>0.0</v>
      </c>
      <c r="AB323" s="24">
        <v>0.0</v>
      </c>
      <c r="AC323" s="24">
        <v>0.0</v>
      </c>
      <c r="AD323" s="23">
        <v>100.0</v>
      </c>
      <c r="AE323" s="24">
        <v>0.0</v>
      </c>
      <c r="AF323" s="17" t="s">
        <v>451</v>
      </c>
      <c r="AG323" s="17">
        <v>1000.0</v>
      </c>
      <c r="AH323" s="17" t="s">
        <v>451</v>
      </c>
      <c r="AI323" s="25">
        <f>IF(AF323="Sim",INT((R323-Q323+1))*K323*VLOOKUP(P323,'Tabelas Auxiliares'!$A$1:$C$400,3,FALSE),0)</f>
        <v>0</v>
      </c>
      <c r="AJ323" s="25">
        <f t="shared" si="2"/>
        <v>700</v>
      </c>
      <c r="AK323" s="25">
        <f>IFS(
  O323="Acre",((W323*0.15)+(X323*0.7))*VLOOKUP(P323,'MunicípiosEstados'!$A$2:$B$23,2,FALSE),
  O323="Alagoas",((W323*0.15)+(X323*0.7))*VLOOKUP(P323,'MunicípiosEstados'!$C$2:$D$103,2,FALSE),
  O323="Amapá",((W323*0.15)+(X323*0.7))*VLOOKUP(P323,'MunicípiosEstados'!$E$2:$F$17,2,FALSE),
  O323="Amazonas",((W323*0.15)+(X323*0.7))*VLOOKUP(P323,'MunicípiosEstados'!$G$2:$H$63,2,FALSE),
  O323="Bahia",((W323*0.15)+(X323*0.7))*VLOOKUP(P323,'MunicípiosEstados'!$I$2:$J$418,2,FALSE),
  O323="Ceará",((W323*0.15)+(X323*0.7))*VLOOKUP(P323,'MunicípiosEstados'!$K$2:$L$185,2,FALSE),
  O323="Distrito Federal",((W323*0.15)+(X323*0.7))*VLOOKUP(P323,'MunicípiosEstados'!$M$2:$N$2,2,FALSE),
  O323="Espírito Santo",((W323*0.15)+(X323*0.7))*VLOOKUP(P323,'MunicípiosEstados'!$O$2:$P$79,2,FALSE),
  O323="Goiás",((W323*0.15)+(X323*0.7))*VLOOKUP(P323,'MunicípiosEstados'!$Q$2:$R$247,2,FALSE),
  O323="Maranhão",((W323*0.15)+(X323*0.7))*VLOOKUP(P323,'MunicípiosEstados'!$S$2:$T$218,2,FALSE),
  O323="Mato Grosso",((W323*0.15)+(X323*0.7))*VLOOKUP(P323,'MunicípiosEstados'!$U$2:$V$143,2,FALSE),
  O323="Mato Grosso do Sul",((W323*0.15)+(X323*0.7))*VLOOKUP(P323,'MunicípiosEstados'!$W$2:$X$80,2,FALSE),
  O323="Minas Gerais",((W323*0.15)+(X323*0.7))*VLOOKUP(P323,'MunicípiosEstados'!$Y$2:$Z$854,2,FALSE),
  O323="Pará",((W323*0.15)+(X323*0.7))*VLOOKUP(P323,'MunicípiosEstados'!$AA$2:$AB$145,2,FALSE),
  O323="Paraíba",((W323*0.15)+(X323*0.7))*VLOOKUP(P323,'MunicípiosEstados'!$AC$2:$AD$224,2,FALSE),
  O323="Paraná",((W323*0.15)+(X323*0.7))*VLOOKUP(P323,'MunicípiosEstados'!$AE$2:$AF$400,2,FALSE),
  O323="Pernambuco",((W323*0.15)+(X323*0.7))*VLOOKUP(P323,'MunicípiosEstados'!$AG$2:$AH$186,2,FALSE),
  O323="Piauí",((W323*0.15)+(X323*0.7))*VLOOKUP(P323,'MunicípiosEstados'!$AI$2:$AJ$225,2,FALSE),
  O323="Rio Grande do Norte",((W323*0.15)+(X323*0.7))*VLOOKUP(P323,'MunicípiosEstados'!$AK$2:$AL$168,2,FALSE),
  O323="Rio Grande do Sul",((W323*0.15)+(X323*0.7))*VLOOKUP(P323,'MunicípiosEstados'!$AM$2:$AN$498,2,FALSE),
  O323="Rio de Janeiro",((W323*0.15)+(X323*0.7))*VLOOKUP(P323,'MunicípiosEstados'!$AO$2:$AP$93,2,FALSE),
  O323="Rondônia",((W323*0.15)+(X323*0.7))*VLOOKUP(P323,'MunicípiosEstados'!$AQ$2:$AR$53,2,FALSE),
  O323="Roraima",((W323*0.15)+(X323*0.7))*VLOOKUP(P323,'MunicípiosEstados'!$AS$2:$AT$16,2,FALSE),
  O323="Santa Catarina",((W323*0.15)+(X323*0.7))*VLOOKUP(P323,'MunicípiosEstados'!$AU$2:$AV$296,2,FALSE),
  O323="São Paulo",((W323*0.15)+(X323*0.7))*VLOOKUP(P323,'MunicípiosEstados'!$AW$2:$AX$646,2,FALSE),
  O323="Sergipe",((W323*0.15)+(X323*0.7))*VLOOKUP(P323,'MunicípiosEstados'!$AY$2:$AZ$76,2,FALSE),
  O323="Tocantins",((W323*0.15)+(X323*0.7))*VLOOKUP(P323,'MunicípiosEstados'!$BA$2:$BB$140,2,FALSE),
  O323="Exterior",((W323*0.15)+(X323*0.7))*VLOOKUP(P323,'MunicípiosEstados'!$BC$2:$BE$221,3,FALSE),TRUE,0
)
</f>
        <v>1045.98</v>
      </c>
      <c r="AL323" s="25">
        <f t="shared" si="3"/>
        <v>2525.98</v>
      </c>
      <c r="AM323" s="25"/>
      <c r="AN323" s="29" t="s">
        <v>456</v>
      </c>
    </row>
    <row r="324" ht="22.5" hidden="1" customHeight="1">
      <c r="A324" s="15">
        <f t="shared" si="1"/>
        <v>323</v>
      </c>
      <c r="B324" s="16">
        <v>45987.36818767361</v>
      </c>
      <c r="C324" s="17" t="s">
        <v>1031</v>
      </c>
      <c r="D324" s="27" t="s">
        <v>443</v>
      </c>
      <c r="E324" s="15" t="str">
        <f>VLOOKUP(G324,DiretoriaDepart.Coord.!$A$1:$C$72,2,FALSE)</f>
        <v>Extensão Rural</v>
      </c>
      <c r="F324" s="15" t="str">
        <f>VLOOKUP(G324,DiretoriaDepart.Coord.!$A$1:$C$72,3,FALSE)</f>
        <v>Sustentabilidade</v>
      </c>
      <c r="G324" s="17" t="s">
        <v>1032</v>
      </c>
      <c r="H324" s="15"/>
      <c r="I324" s="17" t="s">
        <v>1632</v>
      </c>
      <c r="J324" s="17" t="s">
        <v>576</v>
      </c>
      <c r="K324" s="17">
        <v>5.0</v>
      </c>
      <c r="L324" s="15"/>
      <c r="M324" s="17" t="s">
        <v>1034</v>
      </c>
      <c r="N324" s="17">
        <v>0.0</v>
      </c>
      <c r="O324" s="17" t="s">
        <v>1606</v>
      </c>
      <c r="P324" s="17" t="s">
        <v>1633</v>
      </c>
      <c r="Q324" s="20">
        <v>45735.333333333336</v>
      </c>
      <c r="R324" s="20">
        <v>45736.708333333336</v>
      </c>
      <c r="S324" s="17" t="s">
        <v>451</v>
      </c>
      <c r="T324" s="17" t="s">
        <v>452</v>
      </c>
      <c r="U324" s="21" t="s">
        <v>1634</v>
      </c>
      <c r="V324" s="21" t="s">
        <v>1635</v>
      </c>
      <c r="W324" s="22">
        <v>30.0</v>
      </c>
      <c r="X324" s="22">
        <v>10.0</v>
      </c>
      <c r="Y324" s="23">
        <v>0.0</v>
      </c>
      <c r="Z324" s="23">
        <v>0.0</v>
      </c>
      <c r="AA324" s="24">
        <v>0.0</v>
      </c>
      <c r="AB324" s="24">
        <v>0.0</v>
      </c>
      <c r="AC324" s="24">
        <v>0.0</v>
      </c>
      <c r="AD324" s="23">
        <v>200.0</v>
      </c>
      <c r="AE324" s="24">
        <v>0.0</v>
      </c>
      <c r="AF324" s="17" t="s">
        <v>451</v>
      </c>
      <c r="AG324" s="17">
        <v>600.0</v>
      </c>
      <c r="AH324" s="17" t="s">
        <v>464</v>
      </c>
      <c r="AI324" s="25">
        <f>IF(AF324="Sim",INT((R324-Q324+1))*K324*VLOOKUP(P324,'Tabelas Auxiliares'!$A$1:$C$400,3,FALSE),0)</f>
        <v>0</v>
      </c>
      <c r="AJ324" s="25">
        <f t="shared" si="2"/>
        <v>420</v>
      </c>
      <c r="AK324" s="25">
        <f>IFS(
  O324="Acre",((W324*0.15)+(X324*0.7))*VLOOKUP(P324,'MunicípiosEstados'!$A$2:$B$23,2,FALSE),
  O324="Alagoas",((W324*0.15)+(X324*0.7))*VLOOKUP(P324,'MunicípiosEstados'!$C$2:$D$103,2,FALSE),
  O324="Amapá",((W324*0.15)+(X324*0.7))*VLOOKUP(P324,'MunicípiosEstados'!$E$2:$F$17,2,FALSE),
  O324="Amazonas",((W324*0.15)+(X324*0.7))*VLOOKUP(P324,'MunicípiosEstados'!$G$2:$H$63,2,FALSE),
  O324="Bahia",((W324*0.15)+(X324*0.7))*VLOOKUP(P324,'MunicípiosEstados'!$I$2:$J$418,2,FALSE),
  O324="Ceará",((W324*0.15)+(X324*0.7))*VLOOKUP(P324,'MunicípiosEstados'!$K$2:$L$185,2,FALSE),
  O324="Distrito Federal",((W324*0.15)+(X324*0.7))*VLOOKUP(P324,'MunicípiosEstados'!$M$2:$N$2,2,FALSE),
  O324="Espírito Santo",((W324*0.15)+(X324*0.7))*VLOOKUP(P324,'MunicípiosEstados'!$O$2:$P$79,2,FALSE),
  O324="Goiás",((W324*0.15)+(X324*0.7))*VLOOKUP(P324,'MunicípiosEstados'!$Q$2:$R$247,2,FALSE),
  O324="Maranhão",((W324*0.15)+(X324*0.7))*VLOOKUP(P324,'MunicípiosEstados'!$S$2:$T$218,2,FALSE),
  O324="Mato Grosso",((W324*0.15)+(X324*0.7))*VLOOKUP(P324,'MunicípiosEstados'!$U$2:$V$143,2,FALSE),
  O324="Mato Grosso do Sul",((W324*0.15)+(X324*0.7))*VLOOKUP(P324,'MunicípiosEstados'!$W$2:$X$80,2,FALSE),
  O324="Minas Gerais",((W324*0.15)+(X324*0.7))*VLOOKUP(P324,'MunicípiosEstados'!$Y$2:$Z$854,2,FALSE),
  O324="Pará",((W324*0.15)+(X324*0.7))*VLOOKUP(P324,'MunicípiosEstados'!$AA$2:$AB$145,2,FALSE),
  O324="Paraíba",((W324*0.15)+(X324*0.7))*VLOOKUP(P324,'MunicípiosEstados'!$AC$2:$AD$224,2,FALSE),
  O324="Paraná",((W324*0.15)+(X324*0.7))*VLOOKUP(P324,'MunicípiosEstados'!$AE$2:$AF$400,2,FALSE),
  O324="Pernambuco",((W324*0.15)+(X324*0.7))*VLOOKUP(P324,'MunicípiosEstados'!$AG$2:$AH$186,2,FALSE),
  O324="Piauí",((W324*0.15)+(X324*0.7))*VLOOKUP(P324,'MunicípiosEstados'!$AI$2:$AJ$225,2,FALSE),
  O324="Rio Grande do Norte",((W324*0.15)+(X324*0.7))*VLOOKUP(P324,'MunicípiosEstados'!$AK$2:$AL$168,2,FALSE),
  O324="Rio Grande do Sul",((W324*0.15)+(X324*0.7))*VLOOKUP(P324,'MunicípiosEstados'!$AM$2:$AN$498,2,FALSE),
  O324="Rio de Janeiro",((W324*0.15)+(X324*0.7))*VLOOKUP(P324,'MunicípiosEstados'!$AO$2:$AP$93,2,FALSE),
  O324="Rondônia",((W324*0.15)+(X324*0.7))*VLOOKUP(P324,'MunicípiosEstados'!$AQ$2:$AR$53,2,FALSE),
  O324="Roraima",((W324*0.15)+(X324*0.7))*VLOOKUP(P324,'MunicípiosEstados'!$AS$2:$AT$16,2,FALSE),
  O324="Santa Catarina",((W324*0.15)+(X324*0.7))*VLOOKUP(P324,'MunicípiosEstados'!$AU$2:$AV$296,2,FALSE),
  O324="São Paulo",((W324*0.15)+(X324*0.7))*VLOOKUP(P324,'MunicípiosEstados'!$AW$2:$AX$646,2,FALSE),
  O324="Sergipe",((W324*0.15)+(X324*0.7))*VLOOKUP(P324,'MunicípiosEstados'!$AY$2:$AZ$76,2,FALSE),
  O324="Tocantins",((W324*0.15)+(X324*0.7))*VLOOKUP(P324,'MunicípiosEstados'!$BA$2:$BB$140,2,FALSE),
  O324="Exterior",((W324*0.15)+(X324*0.7))*VLOOKUP(P324,'MunicípiosEstados'!$BC$2:$BE$221,3,FALSE),TRUE,0
)
</f>
        <v>3341.325</v>
      </c>
      <c r="AL324" s="25">
        <f t="shared" si="3"/>
        <v>3961.325</v>
      </c>
      <c r="AM324" s="25"/>
      <c r="AN324" s="31"/>
    </row>
    <row r="325" ht="22.5" hidden="1" customHeight="1">
      <c r="A325" s="15">
        <f t="shared" si="1"/>
        <v>324</v>
      </c>
      <c r="B325" s="16">
        <v>45987.38646086806</v>
      </c>
      <c r="C325" s="17" t="s">
        <v>1031</v>
      </c>
      <c r="D325" s="27" t="s">
        <v>443</v>
      </c>
      <c r="E325" s="15" t="str">
        <f>VLOOKUP(G325,DiretoriaDepart.Coord.!$A$1:$C$72,2,FALSE)</f>
        <v>Extensão Rural</v>
      </c>
      <c r="F325" s="15" t="str">
        <f>VLOOKUP(G325,DiretoriaDepart.Coord.!$A$1:$C$72,3,FALSE)</f>
        <v>Projetos e Cadeias Produtivas</v>
      </c>
      <c r="G325" s="17" t="s">
        <v>488</v>
      </c>
      <c r="H325" s="15"/>
      <c r="I325" s="17" t="s">
        <v>1636</v>
      </c>
      <c r="J325" s="17" t="s">
        <v>576</v>
      </c>
      <c r="K325" s="17">
        <v>5.0</v>
      </c>
      <c r="L325" s="15"/>
      <c r="M325" s="17" t="s">
        <v>1637</v>
      </c>
      <c r="N325" s="17">
        <v>0.0</v>
      </c>
      <c r="O325" s="17" t="s">
        <v>1606</v>
      </c>
      <c r="P325" s="17" t="s">
        <v>1638</v>
      </c>
      <c r="Q325" s="20">
        <v>45825.333333333336</v>
      </c>
      <c r="R325" s="20">
        <v>45827.708333333336</v>
      </c>
      <c r="S325" s="17" t="s">
        <v>464</v>
      </c>
      <c r="T325" s="17" t="s">
        <v>452</v>
      </c>
      <c r="U325" s="21" t="s">
        <v>1639</v>
      </c>
      <c r="V325" s="21" t="s">
        <v>1640</v>
      </c>
      <c r="W325" s="22">
        <v>50.0</v>
      </c>
      <c r="X325" s="22">
        <v>20.0</v>
      </c>
      <c r="Y325" s="23">
        <v>0.0</v>
      </c>
      <c r="Z325" s="23">
        <v>0.0</v>
      </c>
      <c r="AA325" s="24">
        <v>0.0</v>
      </c>
      <c r="AB325" s="24">
        <v>0.0</v>
      </c>
      <c r="AC325" s="24">
        <v>0.0</v>
      </c>
      <c r="AD325" s="23">
        <v>200.0</v>
      </c>
      <c r="AE325" s="24">
        <v>0.0</v>
      </c>
      <c r="AF325" s="17" t="s">
        <v>451</v>
      </c>
      <c r="AG325" s="17">
        <v>1200.0</v>
      </c>
      <c r="AH325" s="17" t="s">
        <v>451</v>
      </c>
      <c r="AI325" s="25">
        <f>IF(AF325="Sim",INT((R325-Q325+1))*K325*VLOOKUP(P325,'Tabelas Auxiliares'!$A$1:$C$400,3,FALSE),0)</f>
        <v>0</v>
      </c>
      <c r="AJ325" s="25">
        <f t="shared" si="2"/>
        <v>840</v>
      </c>
      <c r="AK325" s="25">
        <f>IFS(
  O325="Acre",((W325*0.15)+(X325*0.7))*VLOOKUP(P325,'MunicípiosEstados'!$A$2:$B$23,2,FALSE),
  O325="Alagoas",((W325*0.15)+(X325*0.7))*VLOOKUP(P325,'MunicípiosEstados'!$C$2:$D$103,2,FALSE),
  O325="Amapá",((W325*0.15)+(X325*0.7))*VLOOKUP(P325,'MunicípiosEstados'!$E$2:$F$17,2,FALSE),
  O325="Amazonas",((W325*0.15)+(X325*0.7))*VLOOKUP(P325,'MunicípiosEstados'!$G$2:$H$63,2,FALSE),
  O325="Bahia",((W325*0.15)+(X325*0.7))*VLOOKUP(P325,'MunicípiosEstados'!$I$2:$J$418,2,FALSE),
  O325="Ceará",((W325*0.15)+(X325*0.7))*VLOOKUP(P325,'MunicípiosEstados'!$K$2:$L$185,2,FALSE),
  O325="Distrito Federal",((W325*0.15)+(X325*0.7))*VLOOKUP(P325,'MunicípiosEstados'!$M$2:$N$2,2,FALSE),
  O325="Espírito Santo",((W325*0.15)+(X325*0.7))*VLOOKUP(P325,'MunicípiosEstados'!$O$2:$P$79,2,FALSE),
  O325="Goiás",((W325*0.15)+(X325*0.7))*VLOOKUP(P325,'MunicípiosEstados'!$Q$2:$R$247,2,FALSE),
  O325="Maranhão",((W325*0.15)+(X325*0.7))*VLOOKUP(P325,'MunicípiosEstados'!$S$2:$T$218,2,FALSE),
  O325="Mato Grosso",((W325*0.15)+(X325*0.7))*VLOOKUP(P325,'MunicípiosEstados'!$U$2:$V$143,2,FALSE),
  O325="Mato Grosso do Sul",((W325*0.15)+(X325*0.7))*VLOOKUP(P325,'MunicípiosEstados'!$W$2:$X$80,2,FALSE),
  O325="Minas Gerais",((W325*0.15)+(X325*0.7))*VLOOKUP(P325,'MunicípiosEstados'!$Y$2:$Z$854,2,FALSE),
  O325="Pará",((W325*0.15)+(X325*0.7))*VLOOKUP(P325,'MunicípiosEstados'!$AA$2:$AB$145,2,FALSE),
  O325="Paraíba",((W325*0.15)+(X325*0.7))*VLOOKUP(P325,'MunicípiosEstados'!$AC$2:$AD$224,2,FALSE),
  O325="Paraná",((W325*0.15)+(X325*0.7))*VLOOKUP(P325,'MunicípiosEstados'!$AE$2:$AF$400,2,FALSE),
  O325="Pernambuco",((W325*0.15)+(X325*0.7))*VLOOKUP(P325,'MunicípiosEstados'!$AG$2:$AH$186,2,FALSE),
  O325="Piauí",((W325*0.15)+(X325*0.7))*VLOOKUP(P325,'MunicípiosEstados'!$AI$2:$AJ$225,2,FALSE),
  O325="Rio Grande do Norte",((W325*0.15)+(X325*0.7))*VLOOKUP(P325,'MunicípiosEstados'!$AK$2:$AL$168,2,FALSE),
  O325="Rio Grande do Sul",((W325*0.15)+(X325*0.7))*VLOOKUP(P325,'MunicípiosEstados'!$AM$2:$AN$498,2,FALSE),
  O325="Rio de Janeiro",((W325*0.15)+(X325*0.7))*VLOOKUP(P325,'MunicípiosEstados'!$AO$2:$AP$93,2,FALSE),
  O325="Rondônia",((W325*0.15)+(X325*0.7))*VLOOKUP(P325,'MunicípiosEstados'!$AQ$2:$AR$53,2,FALSE),
  O325="Roraima",((W325*0.15)+(X325*0.7))*VLOOKUP(P325,'MunicípiosEstados'!$AS$2:$AT$16,2,FALSE),
  O325="Santa Catarina",((W325*0.15)+(X325*0.7))*VLOOKUP(P325,'MunicípiosEstados'!$AU$2:$AV$296,2,FALSE),
  O325="São Paulo",((W325*0.15)+(X325*0.7))*VLOOKUP(P325,'MunicípiosEstados'!$AW$2:$AX$646,2,FALSE),
  O325="Sergipe",((W325*0.15)+(X325*0.7))*VLOOKUP(P325,'MunicípiosEstados'!$AY$2:$AZ$76,2,FALSE),
  O325="Tocantins",((W325*0.15)+(X325*0.7))*VLOOKUP(P325,'MunicípiosEstados'!$BA$2:$BB$140,2,FALSE),
  O325="Exterior",((W325*0.15)+(X325*0.7))*VLOOKUP(P325,'MunicípiosEstados'!$BC$2:$BE$221,3,FALSE),TRUE,0
)
</f>
        <v>6246.825</v>
      </c>
      <c r="AL325" s="25">
        <f t="shared" si="3"/>
        <v>7286.825</v>
      </c>
      <c r="AM325" s="25"/>
      <c r="AN325" s="31"/>
    </row>
    <row r="326" ht="22.5" hidden="1" customHeight="1">
      <c r="A326" s="15">
        <f t="shared" si="1"/>
        <v>325</v>
      </c>
      <c r="B326" s="16">
        <v>45987.63802890046</v>
      </c>
      <c r="C326" s="17" t="s">
        <v>1041</v>
      </c>
      <c r="D326" s="27" t="s">
        <v>507</v>
      </c>
      <c r="E326" s="15" t="str">
        <f>VLOOKUP(G326,DiretoriaDepart.Coord.!$A$1:$C$72,2,FALSE)</f>
        <v>Pesquisa e Inovação</v>
      </c>
      <c r="F326" s="15" t="str">
        <f>VLOOKUP(G326,DiretoriaDepart.Coord.!$A$1:$C$72,3,FALSE)</f>
        <v>Inovação e Comunicação Científica</v>
      </c>
      <c r="G326" s="17" t="s">
        <v>477</v>
      </c>
      <c r="H326" s="15"/>
      <c r="I326" s="17" t="s">
        <v>1641</v>
      </c>
      <c r="J326" s="17" t="s">
        <v>490</v>
      </c>
      <c r="K326" s="17">
        <v>1.0</v>
      </c>
      <c r="L326" s="17" t="s">
        <v>1043</v>
      </c>
      <c r="M326" s="17" t="s">
        <v>1642</v>
      </c>
      <c r="N326" s="17">
        <v>0.0</v>
      </c>
      <c r="O326" s="17" t="s">
        <v>1606</v>
      </c>
      <c r="P326" s="17" t="s">
        <v>1616</v>
      </c>
      <c r="Q326" s="20">
        <v>45733.333333333336</v>
      </c>
      <c r="R326" s="20">
        <v>45735.75</v>
      </c>
      <c r="S326" s="17" t="s">
        <v>464</v>
      </c>
      <c r="T326" s="17" t="s">
        <v>452</v>
      </c>
      <c r="U326" s="21" t="s">
        <v>1643</v>
      </c>
      <c r="V326" s="21" t="s">
        <v>1644</v>
      </c>
      <c r="W326" s="22">
        <v>10.0</v>
      </c>
      <c r="X326" s="22">
        <v>4.0</v>
      </c>
      <c r="Y326" s="23">
        <v>0.0</v>
      </c>
      <c r="Z326" s="23">
        <v>0.0</v>
      </c>
      <c r="AA326" s="24">
        <v>0.0</v>
      </c>
      <c r="AB326" s="24">
        <v>0.0</v>
      </c>
      <c r="AC326" s="24">
        <v>0.0</v>
      </c>
      <c r="AD326" s="23">
        <v>500.0</v>
      </c>
      <c r="AE326" s="24">
        <v>0.0</v>
      </c>
      <c r="AF326" s="17" t="s">
        <v>451</v>
      </c>
      <c r="AG326" s="17">
        <v>1050.0</v>
      </c>
      <c r="AH326" s="17" t="s">
        <v>451</v>
      </c>
      <c r="AI326" s="25">
        <f>IF(AF326="Sim",INT((R326-Q326+1))*K326*VLOOKUP(P326,'Tabelas Auxiliares'!$A$1:$C$400,3,FALSE),0)</f>
        <v>0</v>
      </c>
      <c r="AJ326" s="25">
        <f t="shared" si="2"/>
        <v>735</v>
      </c>
      <c r="AK326" s="25">
        <f>IFS(
  O326="Acre",((W326*0.15)+(X326*0.7))*VLOOKUP(P326,'MunicípiosEstados'!$A$2:$B$23,2,FALSE),
  O326="Alagoas",((W326*0.15)+(X326*0.7))*VLOOKUP(P326,'MunicípiosEstados'!$C$2:$D$103,2,FALSE),
  O326="Amapá",((W326*0.15)+(X326*0.7))*VLOOKUP(P326,'MunicípiosEstados'!$E$2:$F$17,2,FALSE),
  O326="Amazonas",((W326*0.15)+(X326*0.7))*VLOOKUP(P326,'MunicípiosEstados'!$G$2:$H$63,2,FALSE),
  O326="Bahia",((W326*0.15)+(X326*0.7))*VLOOKUP(P326,'MunicípiosEstados'!$I$2:$J$418,2,FALSE),
  O326="Ceará",((W326*0.15)+(X326*0.7))*VLOOKUP(P326,'MunicípiosEstados'!$K$2:$L$185,2,FALSE),
  O326="Distrito Federal",((W326*0.15)+(X326*0.7))*VLOOKUP(P326,'MunicípiosEstados'!$M$2:$N$2,2,FALSE),
  O326="Espírito Santo",((W326*0.15)+(X326*0.7))*VLOOKUP(P326,'MunicípiosEstados'!$O$2:$P$79,2,FALSE),
  O326="Goiás",((W326*0.15)+(X326*0.7))*VLOOKUP(P326,'MunicípiosEstados'!$Q$2:$R$247,2,FALSE),
  O326="Maranhão",((W326*0.15)+(X326*0.7))*VLOOKUP(P326,'MunicípiosEstados'!$S$2:$T$218,2,FALSE),
  O326="Mato Grosso",((W326*0.15)+(X326*0.7))*VLOOKUP(P326,'MunicípiosEstados'!$U$2:$V$143,2,FALSE),
  O326="Mato Grosso do Sul",((W326*0.15)+(X326*0.7))*VLOOKUP(P326,'MunicípiosEstados'!$W$2:$X$80,2,FALSE),
  O326="Minas Gerais",((W326*0.15)+(X326*0.7))*VLOOKUP(P326,'MunicípiosEstados'!$Y$2:$Z$854,2,FALSE),
  O326="Pará",((W326*0.15)+(X326*0.7))*VLOOKUP(P326,'MunicípiosEstados'!$AA$2:$AB$145,2,FALSE),
  O326="Paraíba",((W326*0.15)+(X326*0.7))*VLOOKUP(P326,'MunicípiosEstados'!$AC$2:$AD$224,2,FALSE),
  O326="Paraná",((W326*0.15)+(X326*0.7))*VLOOKUP(P326,'MunicípiosEstados'!$AE$2:$AF$400,2,FALSE),
  O326="Pernambuco",((W326*0.15)+(X326*0.7))*VLOOKUP(P326,'MunicípiosEstados'!$AG$2:$AH$186,2,FALSE),
  O326="Piauí",((W326*0.15)+(X326*0.7))*VLOOKUP(P326,'MunicípiosEstados'!$AI$2:$AJ$225,2,FALSE),
  O326="Rio Grande do Norte",((W326*0.15)+(X326*0.7))*VLOOKUP(P326,'MunicípiosEstados'!$AK$2:$AL$168,2,FALSE),
  O326="Rio Grande do Sul",((W326*0.15)+(X326*0.7))*VLOOKUP(P326,'MunicípiosEstados'!$AM$2:$AN$498,2,FALSE),
  O326="Rio de Janeiro",((W326*0.15)+(X326*0.7))*VLOOKUP(P326,'MunicípiosEstados'!$AO$2:$AP$93,2,FALSE),
  O326="Rondônia",((W326*0.15)+(X326*0.7))*VLOOKUP(P326,'MunicípiosEstados'!$AQ$2:$AR$53,2,FALSE),
  O326="Roraima",((W326*0.15)+(X326*0.7))*VLOOKUP(P326,'MunicípiosEstados'!$AS$2:$AT$16,2,FALSE),
  O326="Santa Catarina",((W326*0.15)+(X326*0.7))*VLOOKUP(P326,'MunicípiosEstados'!$AU$2:$AV$296,2,FALSE),
  O326="São Paulo",((W326*0.15)+(X326*0.7))*VLOOKUP(P326,'MunicípiosEstados'!$AW$2:$AX$646,2,FALSE),
  O326="Sergipe",((W326*0.15)+(X326*0.7))*VLOOKUP(P326,'MunicípiosEstados'!$AY$2:$AZ$76,2,FALSE),
  O326="Tocantins",((W326*0.15)+(X326*0.7))*VLOOKUP(P326,'MunicípiosEstados'!$BA$2:$BB$140,2,FALSE),
  O326="Exterior",((W326*0.15)+(X326*0.7))*VLOOKUP(P326,'MunicípiosEstados'!$BC$2:$BE$221,3,FALSE),TRUE,0
)
</f>
        <v>1249.365</v>
      </c>
      <c r="AL326" s="25">
        <f t="shared" si="3"/>
        <v>2484.365</v>
      </c>
      <c r="AM326" s="25"/>
      <c r="AN326" s="29" t="s">
        <v>563</v>
      </c>
    </row>
    <row r="327" ht="22.5" hidden="1" customHeight="1">
      <c r="A327" s="15">
        <f t="shared" si="1"/>
        <v>326</v>
      </c>
      <c r="B327" s="16">
        <v>45987.65064946759</v>
      </c>
      <c r="C327" s="17" t="s">
        <v>1041</v>
      </c>
      <c r="D327" s="27" t="s">
        <v>507</v>
      </c>
      <c r="E327" s="15" t="str">
        <f>VLOOKUP(G327,DiretoriaDepart.Coord.!$A$1:$C$72,2,FALSE)</f>
        <v>Pesquisa e Inovação</v>
      </c>
      <c r="F327" s="15" t="str">
        <f>VLOOKUP(G327,DiretoriaDepart.Coord.!$A$1:$C$72,3,FALSE)</f>
        <v>Inovação e Comunicação Científica</v>
      </c>
      <c r="G327" s="17" t="s">
        <v>477</v>
      </c>
      <c r="H327" s="15"/>
      <c r="I327" s="17" t="s">
        <v>1645</v>
      </c>
      <c r="J327" s="17" t="s">
        <v>490</v>
      </c>
      <c r="K327" s="17">
        <v>1.0</v>
      </c>
      <c r="L327" s="17" t="s">
        <v>1043</v>
      </c>
      <c r="M327" s="17" t="s">
        <v>1646</v>
      </c>
      <c r="N327" s="17">
        <v>0.0</v>
      </c>
      <c r="O327" s="17" t="s">
        <v>1606</v>
      </c>
      <c r="P327" s="17" t="s">
        <v>1606</v>
      </c>
      <c r="Q327" s="20">
        <v>45802.333333333336</v>
      </c>
      <c r="R327" s="20">
        <v>45806.75</v>
      </c>
      <c r="S327" s="17" t="s">
        <v>464</v>
      </c>
      <c r="T327" s="17" t="s">
        <v>452</v>
      </c>
      <c r="U327" s="21" t="s">
        <v>1647</v>
      </c>
      <c r="V327" s="21" t="s">
        <v>1648</v>
      </c>
      <c r="W327" s="22">
        <v>12.0</v>
      </c>
      <c r="X327" s="22">
        <v>5.0</v>
      </c>
      <c r="Y327" s="23">
        <v>1500.0</v>
      </c>
      <c r="Z327" s="23">
        <v>0.0</v>
      </c>
      <c r="AA327" s="24">
        <v>0.0</v>
      </c>
      <c r="AB327" s="24">
        <v>0.0</v>
      </c>
      <c r="AC327" s="24">
        <v>0.0</v>
      </c>
      <c r="AD327" s="23">
        <v>500.0</v>
      </c>
      <c r="AE327" s="24">
        <v>0.0</v>
      </c>
      <c r="AF327" s="17" t="s">
        <v>451</v>
      </c>
      <c r="AG327" s="17">
        <v>1100.0</v>
      </c>
      <c r="AH327" s="17" t="s">
        <v>451</v>
      </c>
      <c r="AI327" s="25">
        <f>IF(AF327="Sim",INT((R327-Q327+1))*K327*VLOOKUP(P327,'Tabelas Auxiliares'!$A$1:$C$400,3,FALSE),0)</f>
        <v>0</v>
      </c>
      <c r="AJ327" s="25">
        <f t="shared" si="2"/>
        <v>770</v>
      </c>
      <c r="AK327" s="25">
        <f>IFS(
  O327="Acre",((W327*0.15)+(X327*0.7))*VLOOKUP(P327,'MunicípiosEstados'!$A$2:$B$23,2,FALSE),
  O327="Alagoas",((W327*0.15)+(X327*0.7))*VLOOKUP(P327,'MunicípiosEstados'!$C$2:$D$103,2,FALSE),
  O327="Amapá",((W327*0.15)+(X327*0.7))*VLOOKUP(P327,'MunicípiosEstados'!$E$2:$F$17,2,FALSE),
  O327="Amazonas",((W327*0.15)+(X327*0.7))*VLOOKUP(P327,'MunicípiosEstados'!$G$2:$H$63,2,FALSE),
  O327="Bahia",((W327*0.15)+(X327*0.7))*VLOOKUP(P327,'MunicípiosEstados'!$I$2:$J$418,2,FALSE),
  O327="Ceará",((W327*0.15)+(X327*0.7))*VLOOKUP(P327,'MunicípiosEstados'!$K$2:$L$185,2,FALSE),
  O327="Distrito Federal",((W327*0.15)+(X327*0.7))*VLOOKUP(P327,'MunicípiosEstados'!$M$2:$N$2,2,FALSE),
  O327="Espírito Santo",((W327*0.15)+(X327*0.7))*VLOOKUP(P327,'MunicípiosEstados'!$O$2:$P$79,2,FALSE),
  O327="Goiás",((W327*0.15)+(X327*0.7))*VLOOKUP(P327,'MunicípiosEstados'!$Q$2:$R$247,2,FALSE),
  O327="Maranhão",((W327*0.15)+(X327*0.7))*VLOOKUP(P327,'MunicípiosEstados'!$S$2:$T$218,2,FALSE),
  O327="Mato Grosso",((W327*0.15)+(X327*0.7))*VLOOKUP(P327,'MunicípiosEstados'!$U$2:$V$143,2,FALSE),
  O327="Mato Grosso do Sul",((W327*0.15)+(X327*0.7))*VLOOKUP(P327,'MunicípiosEstados'!$W$2:$X$80,2,FALSE),
  O327="Minas Gerais",((W327*0.15)+(X327*0.7))*VLOOKUP(P327,'MunicípiosEstados'!$Y$2:$Z$854,2,FALSE),
  O327="Pará",((W327*0.15)+(X327*0.7))*VLOOKUP(P327,'MunicípiosEstados'!$AA$2:$AB$145,2,FALSE),
  O327="Paraíba",((W327*0.15)+(X327*0.7))*VLOOKUP(P327,'MunicípiosEstados'!$AC$2:$AD$224,2,FALSE),
  O327="Paraná",((W327*0.15)+(X327*0.7))*VLOOKUP(P327,'MunicípiosEstados'!$AE$2:$AF$400,2,FALSE),
  O327="Pernambuco",((W327*0.15)+(X327*0.7))*VLOOKUP(P327,'MunicípiosEstados'!$AG$2:$AH$186,2,FALSE),
  O327="Piauí",((W327*0.15)+(X327*0.7))*VLOOKUP(P327,'MunicípiosEstados'!$AI$2:$AJ$225,2,FALSE),
  O327="Rio Grande do Norte",((W327*0.15)+(X327*0.7))*VLOOKUP(P327,'MunicípiosEstados'!$AK$2:$AL$168,2,FALSE),
  O327="Rio Grande do Sul",((W327*0.15)+(X327*0.7))*VLOOKUP(P327,'MunicípiosEstados'!$AM$2:$AN$498,2,FALSE),
  O327="Rio de Janeiro",((W327*0.15)+(X327*0.7))*VLOOKUP(P327,'MunicípiosEstados'!$AO$2:$AP$93,2,FALSE),
  O327="Rondônia",((W327*0.15)+(X327*0.7))*VLOOKUP(P327,'MunicípiosEstados'!$AQ$2:$AR$53,2,FALSE),
  O327="Roraima",((W327*0.15)+(X327*0.7))*VLOOKUP(P327,'MunicípiosEstados'!$AS$2:$AT$16,2,FALSE),
  O327="Santa Catarina",((W327*0.15)+(X327*0.7))*VLOOKUP(P327,'MunicípiosEstados'!$AU$2:$AV$296,2,FALSE),
  O327="São Paulo",((W327*0.15)+(X327*0.7))*VLOOKUP(P327,'MunicípiosEstados'!$AW$2:$AX$646,2,FALSE),
  O327="Sergipe",((W327*0.15)+(X327*0.7))*VLOOKUP(P327,'MunicípiosEstados'!$AY$2:$AZ$76,2,FALSE),
  O327="Tocantins",((W327*0.15)+(X327*0.7))*VLOOKUP(P327,'MunicípiosEstados'!$BA$2:$BB$140,2,FALSE),
  O327="Exterior",((W327*0.15)+(X327*0.7))*VLOOKUP(P327,'MunicípiosEstados'!$BC$2:$BE$221,3,FALSE),TRUE,0
)
</f>
        <v>1967.678</v>
      </c>
      <c r="AL327" s="25">
        <f t="shared" si="3"/>
        <v>4737.678</v>
      </c>
      <c r="AM327" s="25"/>
      <c r="AN327" s="29" t="s">
        <v>563</v>
      </c>
    </row>
    <row r="328" ht="22.5" hidden="1" customHeight="1">
      <c r="A328" s="15">
        <f t="shared" si="1"/>
        <v>327</v>
      </c>
      <c r="B328" s="16">
        <v>45987.66404321759</v>
      </c>
      <c r="C328" s="17" t="s">
        <v>455</v>
      </c>
      <c r="D328" s="27" t="s">
        <v>507</v>
      </c>
      <c r="E328" s="15" t="str">
        <f>VLOOKUP(G328,DiretoriaDepart.Coord.!$A$1:$C$72,2,FALSE)</f>
        <v>Pesquisa e Inovação</v>
      </c>
      <c r="F328" s="15" t="str">
        <f>VLOOKUP(G328,DiretoriaDepart.Coord.!$A$1:$C$72,3,FALSE)</f>
        <v>Inovação e Comunicação Científica</v>
      </c>
      <c r="G328" s="17" t="s">
        <v>457</v>
      </c>
      <c r="H328" s="15"/>
      <c r="I328" s="17" t="s">
        <v>1604</v>
      </c>
      <c r="J328" s="17" t="s">
        <v>490</v>
      </c>
      <c r="K328" s="17">
        <v>1.0</v>
      </c>
      <c r="L328" s="17" t="s">
        <v>470</v>
      </c>
      <c r="M328" s="17" t="s">
        <v>461</v>
      </c>
      <c r="N328" s="17">
        <v>0.0</v>
      </c>
      <c r="O328" s="17" t="s">
        <v>1606</v>
      </c>
      <c r="P328" s="17" t="s">
        <v>1616</v>
      </c>
      <c r="Q328" s="20">
        <v>45733.333333333336</v>
      </c>
      <c r="R328" s="20">
        <v>45735.708333333336</v>
      </c>
      <c r="S328" s="17" t="s">
        <v>464</v>
      </c>
      <c r="T328" s="17" t="s">
        <v>452</v>
      </c>
      <c r="U328" s="21" t="s">
        <v>1608</v>
      </c>
      <c r="V328" s="21" t="s">
        <v>1609</v>
      </c>
      <c r="W328" s="22">
        <v>8.0</v>
      </c>
      <c r="X328" s="22">
        <v>4.0</v>
      </c>
      <c r="Y328" s="23">
        <v>600.0</v>
      </c>
      <c r="Z328" s="23">
        <v>0.0</v>
      </c>
      <c r="AA328" s="24">
        <v>1200.0</v>
      </c>
      <c r="AB328" s="24">
        <v>0.0</v>
      </c>
      <c r="AC328" s="24">
        <v>300.0</v>
      </c>
      <c r="AD328" s="23">
        <v>0.0</v>
      </c>
      <c r="AE328" s="24">
        <v>0.0</v>
      </c>
      <c r="AF328" s="17" t="s">
        <v>451</v>
      </c>
      <c r="AG328" s="17">
        <v>0.0</v>
      </c>
      <c r="AH328" s="17" t="s">
        <v>451</v>
      </c>
      <c r="AI328" s="25">
        <f>IF(AF328="Sim",INT((R328-Q328+1))*K328*VLOOKUP(P328,'Tabelas Auxiliares'!$A$1:$C$400,3,FALSE),0)</f>
        <v>0</v>
      </c>
      <c r="AJ328" s="25">
        <f t="shared" si="2"/>
        <v>0</v>
      </c>
      <c r="AK328" s="25">
        <f>IFS(
  O328="Acre",((W328*0.15)+(X328*0.7))*VLOOKUP(P328,'MunicípiosEstados'!$A$2:$B$23,2,FALSE),
  O328="Alagoas",((W328*0.15)+(X328*0.7))*VLOOKUP(P328,'MunicípiosEstados'!$C$2:$D$103,2,FALSE),
  O328="Amapá",((W328*0.15)+(X328*0.7))*VLOOKUP(P328,'MunicípiosEstados'!$E$2:$F$17,2,FALSE),
  O328="Amazonas",((W328*0.15)+(X328*0.7))*VLOOKUP(P328,'MunicípiosEstados'!$G$2:$H$63,2,FALSE),
  O328="Bahia",((W328*0.15)+(X328*0.7))*VLOOKUP(P328,'MunicípiosEstados'!$I$2:$J$418,2,FALSE),
  O328="Ceará",((W328*0.15)+(X328*0.7))*VLOOKUP(P328,'MunicípiosEstados'!$K$2:$L$185,2,FALSE),
  O328="Distrito Federal",((W328*0.15)+(X328*0.7))*VLOOKUP(P328,'MunicípiosEstados'!$M$2:$N$2,2,FALSE),
  O328="Espírito Santo",((W328*0.15)+(X328*0.7))*VLOOKUP(P328,'MunicípiosEstados'!$O$2:$P$79,2,FALSE),
  O328="Goiás",((W328*0.15)+(X328*0.7))*VLOOKUP(P328,'MunicípiosEstados'!$Q$2:$R$247,2,FALSE),
  O328="Maranhão",((W328*0.15)+(X328*0.7))*VLOOKUP(P328,'MunicípiosEstados'!$S$2:$T$218,2,FALSE),
  O328="Mato Grosso",((W328*0.15)+(X328*0.7))*VLOOKUP(P328,'MunicípiosEstados'!$U$2:$V$143,2,FALSE),
  O328="Mato Grosso do Sul",((W328*0.15)+(X328*0.7))*VLOOKUP(P328,'MunicípiosEstados'!$W$2:$X$80,2,FALSE),
  O328="Minas Gerais",((W328*0.15)+(X328*0.7))*VLOOKUP(P328,'MunicípiosEstados'!$Y$2:$Z$854,2,FALSE),
  O328="Pará",((W328*0.15)+(X328*0.7))*VLOOKUP(P328,'MunicípiosEstados'!$AA$2:$AB$145,2,FALSE),
  O328="Paraíba",((W328*0.15)+(X328*0.7))*VLOOKUP(P328,'MunicípiosEstados'!$AC$2:$AD$224,2,FALSE),
  O328="Paraná",((W328*0.15)+(X328*0.7))*VLOOKUP(P328,'MunicípiosEstados'!$AE$2:$AF$400,2,FALSE),
  O328="Pernambuco",((W328*0.15)+(X328*0.7))*VLOOKUP(P328,'MunicípiosEstados'!$AG$2:$AH$186,2,FALSE),
  O328="Piauí",((W328*0.15)+(X328*0.7))*VLOOKUP(P328,'MunicípiosEstados'!$AI$2:$AJ$225,2,FALSE),
  O328="Rio Grande do Norte",((W328*0.15)+(X328*0.7))*VLOOKUP(P328,'MunicípiosEstados'!$AK$2:$AL$168,2,FALSE),
  O328="Rio Grande do Sul",((W328*0.15)+(X328*0.7))*VLOOKUP(P328,'MunicípiosEstados'!$AM$2:$AN$498,2,FALSE),
  O328="Rio de Janeiro",((W328*0.15)+(X328*0.7))*VLOOKUP(P328,'MunicípiosEstados'!$AO$2:$AP$93,2,FALSE),
  O328="Rondônia",((W328*0.15)+(X328*0.7))*VLOOKUP(P328,'MunicípiosEstados'!$AQ$2:$AR$53,2,FALSE),
  O328="Roraima",((W328*0.15)+(X328*0.7))*VLOOKUP(P328,'MunicípiosEstados'!$AS$2:$AT$16,2,FALSE),
  O328="Santa Catarina",((W328*0.15)+(X328*0.7))*VLOOKUP(P328,'MunicípiosEstados'!$AU$2:$AV$296,2,FALSE),
  O328="São Paulo",((W328*0.15)+(X328*0.7))*VLOOKUP(P328,'MunicípiosEstados'!$AW$2:$AX$646,2,FALSE),
  O328="Sergipe",((W328*0.15)+(X328*0.7))*VLOOKUP(P328,'MunicípiosEstados'!$AY$2:$AZ$76,2,FALSE),
  O328="Tocantins",((W328*0.15)+(X328*0.7))*VLOOKUP(P328,'MunicípiosEstados'!$BA$2:$BB$140,2,FALSE),
  O328="Exterior",((W328*0.15)+(X328*0.7))*VLOOKUP(P328,'MunicípiosEstados'!$BC$2:$BE$221,3,FALSE),TRUE,0
)
</f>
        <v>1162.2</v>
      </c>
      <c r="AL328" s="25">
        <f t="shared" si="3"/>
        <v>3262.2</v>
      </c>
      <c r="AM328" s="25"/>
      <c r="AN328" s="29" t="s">
        <v>563</v>
      </c>
    </row>
    <row r="329" ht="22.5" hidden="1" customHeight="1">
      <c r="A329" s="15">
        <f t="shared" si="1"/>
        <v>328</v>
      </c>
      <c r="B329" s="16">
        <v>45989.3982172338</v>
      </c>
      <c r="C329" s="17" t="s">
        <v>1649</v>
      </c>
      <c r="D329" s="27" t="s">
        <v>443</v>
      </c>
      <c r="E329" s="15" t="str">
        <f>VLOOKUP(G329,DiretoriaDepart.Coord.!$A$1:$C$72,2,FALSE)</f>
        <v>Extensão Rural</v>
      </c>
      <c r="F329" s="15" t="str">
        <f>VLOOKUP(G329,DiretoriaDepart.Coord.!$A$1:$C$72,3,FALSE)</f>
        <v>Projetos e Cadeias Produtivas</v>
      </c>
      <c r="G329" s="17" t="s">
        <v>1650</v>
      </c>
      <c r="H329" s="15"/>
      <c r="I329" s="17" t="s">
        <v>1651</v>
      </c>
      <c r="J329" s="17" t="s">
        <v>728</v>
      </c>
      <c r="K329" s="17">
        <v>2.0</v>
      </c>
      <c r="L329" s="17" t="s">
        <v>1652</v>
      </c>
      <c r="M329" s="17" t="s">
        <v>1653</v>
      </c>
      <c r="N329" s="17">
        <v>0.0</v>
      </c>
      <c r="O329" s="17" t="s">
        <v>1606</v>
      </c>
      <c r="P329" s="17" t="s">
        <v>1606</v>
      </c>
      <c r="Q329" s="20">
        <v>45870.375</v>
      </c>
      <c r="R329" s="20">
        <v>45871.791666666664</v>
      </c>
      <c r="S329" s="17" t="s">
        <v>451</v>
      </c>
      <c r="T329" s="17" t="s">
        <v>452</v>
      </c>
      <c r="U329" s="21" t="s">
        <v>1654</v>
      </c>
      <c r="V329" s="21" t="s">
        <v>1655</v>
      </c>
      <c r="W329" s="22">
        <v>12.0</v>
      </c>
      <c r="X329" s="22">
        <v>4.0</v>
      </c>
      <c r="Y329" s="23">
        <v>2000.0</v>
      </c>
      <c r="Z329" s="23">
        <v>0.0</v>
      </c>
      <c r="AA329" s="24">
        <v>0.0</v>
      </c>
      <c r="AB329" s="24">
        <v>0.0</v>
      </c>
      <c r="AC329" s="24">
        <v>0.0</v>
      </c>
      <c r="AD329" s="23">
        <v>55.0</v>
      </c>
      <c r="AE329" s="24">
        <v>0.0</v>
      </c>
      <c r="AF329" s="17" t="s">
        <v>451</v>
      </c>
      <c r="AG329" s="17">
        <v>1000.0</v>
      </c>
      <c r="AH329" s="17" t="s">
        <v>451</v>
      </c>
      <c r="AI329" s="25">
        <f>IF(AF329="Sim",INT((R329-Q329+1))*K329*VLOOKUP(P329,'Tabelas Auxiliares'!$A$1:$C$400,3,FALSE),0)</f>
        <v>0</v>
      </c>
      <c r="AJ329" s="25">
        <f t="shared" si="2"/>
        <v>700</v>
      </c>
      <c r="AK329" s="25">
        <f>IFS(
  O329="Acre",((W329*0.15)+(X329*0.7))*VLOOKUP(P329,'MunicípiosEstados'!$A$2:$B$23,2,FALSE),
  O329="Alagoas",((W329*0.15)+(X329*0.7))*VLOOKUP(P329,'MunicípiosEstados'!$C$2:$D$103,2,FALSE),
  O329="Amapá",((W329*0.15)+(X329*0.7))*VLOOKUP(P329,'MunicípiosEstados'!$E$2:$F$17,2,FALSE),
  O329="Amazonas",((W329*0.15)+(X329*0.7))*VLOOKUP(P329,'MunicípiosEstados'!$G$2:$H$63,2,FALSE),
  O329="Bahia",((W329*0.15)+(X329*0.7))*VLOOKUP(P329,'MunicípiosEstados'!$I$2:$J$418,2,FALSE),
  O329="Ceará",((W329*0.15)+(X329*0.7))*VLOOKUP(P329,'MunicípiosEstados'!$K$2:$L$185,2,FALSE),
  O329="Distrito Federal",((W329*0.15)+(X329*0.7))*VLOOKUP(P329,'MunicípiosEstados'!$M$2:$N$2,2,FALSE),
  O329="Espírito Santo",((W329*0.15)+(X329*0.7))*VLOOKUP(P329,'MunicípiosEstados'!$O$2:$P$79,2,FALSE),
  O329="Goiás",((W329*0.15)+(X329*0.7))*VLOOKUP(P329,'MunicípiosEstados'!$Q$2:$R$247,2,FALSE),
  O329="Maranhão",((W329*0.15)+(X329*0.7))*VLOOKUP(P329,'MunicípiosEstados'!$S$2:$T$218,2,FALSE),
  O329="Mato Grosso",((W329*0.15)+(X329*0.7))*VLOOKUP(P329,'MunicípiosEstados'!$U$2:$V$143,2,FALSE),
  O329="Mato Grosso do Sul",((W329*0.15)+(X329*0.7))*VLOOKUP(P329,'MunicípiosEstados'!$W$2:$X$80,2,FALSE),
  O329="Minas Gerais",((W329*0.15)+(X329*0.7))*VLOOKUP(P329,'MunicípiosEstados'!$Y$2:$Z$854,2,FALSE),
  O329="Pará",((W329*0.15)+(X329*0.7))*VLOOKUP(P329,'MunicípiosEstados'!$AA$2:$AB$145,2,FALSE),
  O329="Paraíba",((W329*0.15)+(X329*0.7))*VLOOKUP(P329,'MunicípiosEstados'!$AC$2:$AD$224,2,FALSE),
  O329="Paraná",((W329*0.15)+(X329*0.7))*VLOOKUP(P329,'MunicípiosEstados'!$AE$2:$AF$400,2,FALSE),
  O329="Pernambuco",((W329*0.15)+(X329*0.7))*VLOOKUP(P329,'MunicípiosEstados'!$AG$2:$AH$186,2,FALSE),
  O329="Piauí",((W329*0.15)+(X329*0.7))*VLOOKUP(P329,'MunicípiosEstados'!$AI$2:$AJ$225,2,FALSE),
  O329="Rio Grande do Norte",((W329*0.15)+(X329*0.7))*VLOOKUP(P329,'MunicípiosEstados'!$AK$2:$AL$168,2,FALSE),
  O329="Rio Grande do Sul",((W329*0.15)+(X329*0.7))*VLOOKUP(P329,'MunicípiosEstados'!$AM$2:$AN$498,2,FALSE),
  O329="Rio de Janeiro",((W329*0.15)+(X329*0.7))*VLOOKUP(P329,'MunicípiosEstados'!$AO$2:$AP$93,2,FALSE),
  O329="Rondônia",((W329*0.15)+(X329*0.7))*VLOOKUP(P329,'MunicípiosEstados'!$AQ$2:$AR$53,2,FALSE),
  O329="Roraima",((W329*0.15)+(X329*0.7))*VLOOKUP(P329,'MunicípiosEstados'!$AS$2:$AT$16,2,FALSE),
  O329="Santa Catarina",((W329*0.15)+(X329*0.7))*VLOOKUP(P329,'MunicípiosEstados'!$AU$2:$AV$296,2,FALSE),
  O329="São Paulo",((W329*0.15)+(X329*0.7))*VLOOKUP(P329,'MunicípiosEstados'!$AW$2:$AX$646,2,FALSE),
  O329="Sergipe",((W329*0.15)+(X329*0.7))*VLOOKUP(P329,'MunicípiosEstados'!$AY$2:$AZ$76,2,FALSE),
  O329="Tocantins",((W329*0.15)+(X329*0.7))*VLOOKUP(P329,'MunicípiosEstados'!$BA$2:$BB$140,2,FALSE),
  O329="Exterior",((W329*0.15)+(X329*0.7))*VLOOKUP(P329,'MunicípiosEstados'!$BC$2:$BE$221,3,FALSE),TRUE,0
)
</f>
        <v>1707.796</v>
      </c>
      <c r="AL329" s="25">
        <f t="shared" si="3"/>
        <v>4462.796</v>
      </c>
      <c r="AM329" s="25"/>
      <c r="AN329" s="31"/>
    </row>
    <row r="330" ht="22.5" hidden="1" customHeight="1">
      <c r="A330" s="15">
        <f t="shared" si="1"/>
        <v>329</v>
      </c>
      <c r="B330" s="16">
        <v>45989.71281591435</v>
      </c>
      <c r="C330" s="17" t="s">
        <v>643</v>
      </c>
      <c r="D330" s="27" t="s">
        <v>443</v>
      </c>
      <c r="E330" s="15" t="str">
        <f>VLOOKUP(G330,DiretoriaDepart.Coord.!$A$1:$C$72,2,FALSE)</f>
        <v>Pesquisa e Inovação</v>
      </c>
      <c r="F330" s="15" t="str">
        <f>VLOOKUP(G330,DiretoriaDepart.Coord.!$A$1:$C$72,3,FALSE)</f>
        <v>Pesquisa e Capacitação</v>
      </c>
      <c r="G330" s="17" t="s">
        <v>630</v>
      </c>
      <c r="H330" s="15"/>
      <c r="I330" s="17" t="s">
        <v>1656</v>
      </c>
      <c r="J330" s="17" t="s">
        <v>645</v>
      </c>
      <c r="K330" s="17">
        <v>1.0</v>
      </c>
      <c r="L330" s="15"/>
      <c r="M330" s="17" t="s">
        <v>1657</v>
      </c>
      <c r="N330" s="17">
        <v>5000.0</v>
      </c>
      <c r="O330" s="17" t="s">
        <v>1606</v>
      </c>
      <c r="P330" s="17" t="s">
        <v>1658</v>
      </c>
      <c r="Q330" s="20">
        <v>45832.333333333336</v>
      </c>
      <c r="R330" s="20">
        <v>45836.75</v>
      </c>
      <c r="S330" s="17" t="s">
        <v>451</v>
      </c>
      <c r="T330" s="17" t="s">
        <v>452</v>
      </c>
      <c r="U330" s="21" t="s">
        <v>1659</v>
      </c>
      <c r="V330" s="21" t="s">
        <v>1660</v>
      </c>
      <c r="W330" s="22">
        <v>10.0</v>
      </c>
      <c r="X330" s="22">
        <v>5.0</v>
      </c>
      <c r="Y330" s="23">
        <v>0.0</v>
      </c>
      <c r="Z330" s="23">
        <v>0.0</v>
      </c>
      <c r="AA330" s="24">
        <v>0.0</v>
      </c>
      <c r="AB330" s="24">
        <v>0.0</v>
      </c>
      <c r="AC330" s="24">
        <v>300.0</v>
      </c>
      <c r="AD330" s="23">
        <v>300.0</v>
      </c>
      <c r="AE330" s="24">
        <v>0.0</v>
      </c>
      <c r="AF330" s="17" t="s">
        <v>451</v>
      </c>
      <c r="AG330" s="17">
        <v>1500.0</v>
      </c>
      <c r="AH330" s="17" t="s">
        <v>464</v>
      </c>
      <c r="AI330" s="25">
        <f>IF(AF330="Sim",INT((R330-Q330+1))*K330*VLOOKUP(P330,'Tabelas Auxiliares'!$A$1:$C$400,3,FALSE),0)</f>
        <v>0</v>
      </c>
      <c r="AJ330" s="25">
        <f t="shared" si="2"/>
        <v>1050</v>
      </c>
      <c r="AK330" s="25">
        <f>IFS(
  O330="Acre",((W330*0.15)+(X330*0.7))*VLOOKUP(P330,'MunicípiosEstados'!$A$2:$B$23,2,FALSE),
  O330="Alagoas",((W330*0.15)+(X330*0.7))*VLOOKUP(P330,'MunicípiosEstados'!$C$2:$D$103,2,FALSE),
  O330="Amapá",((W330*0.15)+(X330*0.7))*VLOOKUP(P330,'MunicípiosEstados'!$E$2:$F$17,2,FALSE),
  O330="Amazonas",((W330*0.15)+(X330*0.7))*VLOOKUP(P330,'MunicípiosEstados'!$G$2:$H$63,2,FALSE),
  O330="Bahia",((W330*0.15)+(X330*0.7))*VLOOKUP(P330,'MunicípiosEstados'!$I$2:$J$418,2,FALSE),
  O330="Ceará",((W330*0.15)+(X330*0.7))*VLOOKUP(P330,'MunicípiosEstados'!$K$2:$L$185,2,FALSE),
  O330="Distrito Federal",((W330*0.15)+(X330*0.7))*VLOOKUP(P330,'MunicípiosEstados'!$M$2:$N$2,2,FALSE),
  O330="Espírito Santo",((W330*0.15)+(X330*0.7))*VLOOKUP(P330,'MunicípiosEstados'!$O$2:$P$79,2,FALSE),
  O330="Goiás",((W330*0.15)+(X330*0.7))*VLOOKUP(P330,'MunicípiosEstados'!$Q$2:$R$247,2,FALSE),
  O330="Maranhão",((W330*0.15)+(X330*0.7))*VLOOKUP(P330,'MunicípiosEstados'!$S$2:$T$218,2,FALSE),
  O330="Mato Grosso",((W330*0.15)+(X330*0.7))*VLOOKUP(P330,'MunicípiosEstados'!$U$2:$V$143,2,FALSE),
  O330="Mato Grosso do Sul",((W330*0.15)+(X330*0.7))*VLOOKUP(P330,'MunicípiosEstados'!$W$2:$X$80,2,FALSE),
  O330="Minas Gerais",((W330*0.15)+(X330*0.7))*VLOOKUP(P330,'MunicípiosEstados'!$Y$2:$Z$854,2,FALSE),
  O330="Pará",((W330*0.15)+(X330*0.7))*VLOOKUP(P330,'MunicípiosEstados'!$AA$2:$AB$145,2,FALSE),
  O330="Paraíba",((W330*0.15)+(X330*0.7))*VLOOKUP(P330,'MunicípiosEstados'!$AC$2:$AD$224,2,FALSE),
  O330="Paraná",((W330*0.15)+(X330*0.7))*VLOOKUP(P330,'MunicípiosEstados'!$AE$2:$AF$400,2,FALSE),
  O330="Pernambuco",((W330*0.15)+(X330*0.7))*VLOOKUP(P330,'MunicípiosEstados'!$AG$2:$AH$186,2,FALSE),
  O330="Piauí",((W330*0.15)+(X330*0.7))*VLOOKUP(P330,'MunicípiosEstados'!$AI$2:$AJ$225,2,FALSE),
  O330="Rio Grande do Norte",((W330*0.15)+(X330*0.7))*VLOOKUP(P330,'MunicípiosEstados'!$AK$2:$AL$168,2,FALSE),
  O330="Rio Grande do Sul",((W330*0.15)+(X330*0.7))*VLOOKUP(P330,'MunicípiosEstados'!$AM$2:$AN$498,2,FALSE),
  O330="Rio de Janeiro",((W330*0.15)+(X330*0.7))*VLOOKUP(P330,'MunicípiosEstados'!$AO$2:$AP$93,2,FALSE),
  O330="Rondônia",((W330*0.15)+(X330*0.7))*VLOOKUP(P330,'MunicípiosEstados'!$AQ$2:$AR$53,2,FALSE),
  O330="Roraima",((W330*0.15)+(X330*0.7))*VLOOKUP(P330,'MunicípiosEstados'!$AS$2:$AT$16,2,FALSE),
  O330="Santa Catarina",((W330*0.15)+(X330*0.7))*VLOOKUP(P330,'MunicípiosEstados'!$AU$2:$AV$296,2,FALSE),
  O330="São Paulo",((W330*0.15)+(X330*0.7))*VLOOKUP(P330,'MunicípiosEstados'!$AW$2:$AX$646,2,FALSE),
  O330="Sergipe",((W330*0.15)+(X330*0.7))*VLOOKUP(P330,'MunicípiosEstados'!$AY$2:$AZ$76,2,FALSE),
  O330="Tocantins",((W330*0.15)+(X330*0.7))*VLOOKUP(P330,'MunicípiosEstados'!$BA$2:$BB$140,2,FALSE),
  O330="Exterior",((W330*0.15)+(X330*0.7))*VLOOKUP(P330,'MunicípiosEstados'!$BC$2:$BE$221,3,FALSE),TRUE,0
)
</f>
        <v>1856.3</v>
      </c>
      <c r="AL330" s="25">
        <f t="shared" si="3"/>
        <v>3506.3</v>
      </c>
      <c r="AM330" s="25"/>
      <c r="AN330" s="26"/>
    </row>
    <row r="331" ht="22.5" hidden="1" customHeight="1">
      <c r="A331" s="15">
        <f t="shared" si="1"/>
        <v>330</v>
      </c>
      <c r="B331" s="16">
        <v>45989.73138590278</v>
      </c>
      <c r="C331" s="17" t="s">
        <v>506</v>
      </c>
      <c r="D331" s="27" t="s">
        <v>443</v>
      </c>
      <c r="E331" s="15" t="str">
        <f>VLOOKUP(G331,DiretoriaDepart.Coord.!$A$1:$C$72,2,FALSE)</f>
        <v>Pesquisa e Inovação</v>
      </c>
      <c r="F331" s="15" t="str">
        <f>VLOOKUP(G331,DiretoriaDepart.Coord.!$A$1:$C$72,3,FALSE)</f>
        <v>Pesquisa e Capacitação</v>
      </c>
      <c r="G331" s="17" t="s">
        <v>630</v>
      </c>
      <c r="H331" s="15"/>
      <c r="I331" s="17" t="s">
        <v>1656</v>
      </c>
      <c r="J331" s="17" t="s">
        <v>645</v>
      </c>
      <c r="K331" s="17">
        <v>1.0</v>
      </c>
      <c r="L331" s="17" t="s">
        <v>690</v>
      </c>
      <c r="M331" s="17" t="s">
        <v>451</v>
      </c>
      <c r="N331" s="17">
        <v>0.0</v>
      </c>
      <c r="O331" s="17" t="s">
        <v>1606</v>
      </c>
      <c r="P331" s="17" t="s">
        <v>1606</v>
      </c>
      <c r="Q331" s="20">
        <v>45834.333333333336</v>
      </c>
      <c r="R331" s="20">
        <v>45836.708333333336</v>
      </c>
      <c r="S331" s="17" t="s">
        <v>464</v>
      </c>
      <c r="T331" s="17" t="s">
        <v>452</v>
      </c>
      <c r="U331" s="21" t="s">
        <v>1661</v>
      </c>
      <c r="V331" s="21" t="s">
        <v>1662</v>
      </c>
      <c r="W331" s="22">
        <v>10.0</v>
      </c>
      <c r="X331" s="22">
        <v>5.0</v>
      </c>
      <c r="Y331" s="23">
        <v>500.0</v>
      </c>
      <c r="Z331" s="23">
        <v>0.0</v>
      </c>
      <c r="AA331" s="24">
        <v>0.0</v>
      </c>
      <c r="AB331" s="24">
        <v>0.0</v>
      </c>
      <c r="AC331" s="24">
        <v>0.0</v>
      </c>
      <c r="AD331" s="23">
        <v>0.0</v>
      </c>
      <c r="AE331" s="24">
        <v>0.0</v>
      </c>
      <c r="AF331" s="17" t="s">
        <v>451</v>
      </c>
      <c r="AG331" s="17">
        <v>700.0</v>
      </c>
      <c r="AH331" s="17" t="s">
        <v>451</v>
      </c>
      <c r="AI331" s="25">
        <f>IF(AF331="Sim",INT((R331-Q331+1))*K331*VLOOKUP(P331,'Tabelas Auxiliares'!$A$1:$C$400,3,FALSE),0)</f>
        <v>0</v>
      </c>
      <c r="AJ331" s="25">
        <f t="shared" si="2"/>
        <v>490</v>
      </c>
      <c r="AK331" s="25">
        <f>IFS(
  O331="Acre",((W331*0.15)+(X331*0.7))*VLOOKUP(P331,'MunicípiosEstados'!$A$2:$B$23,2,FALSE),
  O331="Alagoas",((W331*0.15)+(X331*0.7))*VLOOKUP(P331,'MunicípiosEstados'!$C$2:$D$103,2,FALSE),
  O331="Amapá",((W331*0.15)+(X331*0.7))*VLOOKUP(P331,'MunicípiosEstados'!$E$2:$F$17,2,FALSE),
  O331="Amazonas",((W331*0.15)+(X331*0.7))*VLOOKUP(P331,'MunicípiosEstados'!$G$2:$H$63,2,FALSE),
  O331="Bahia",((W331*0.15)+(X331*0.7))*VLOOKUP(P331,'MunicípiosEstados'!$I$2:$J$418,2,FALSE),
  O331="Ceará",((W331*0.15)+(X331*0.7))*VLOOKUP(P331,'MunicípiosEstados'!$K$2:$L$185,2,FALSE),
  O331="Distrito Federal",((W331*0.15)+(X331*0.7))*VLOOKUP(P331,'MunicípiosEstados'!$M$2:$N$2,2,FALSE),
  O331="Espírito Santo",((W331*0.15)+(X331*0.7))*VLOOKUP(P331,'MunicípiosEstados'!$O$2:$P$79,2,FALSE),
  O331="Goiás",((W331*0.15)+(X331*0.7))*VLOOKUP(P331,'MunicípiosEstados'!$Q$2:$R$247,2,FALSE),
  O331="Maranhão",((W331*0.15)+(X331*0.7))*VLOOKUP(P331,'MunicípiosEstados'!$S$2:$T$218,2,FALSE),
  O331="Mato Grosso",((W331*0.15)+(X331*0.7))*VLOOKUP(P331,'MunicípiosEstados'!$U$2:$V$143,2,FALSE),
  O331="Mato Grosso do Sul",((W331*0.15)+(X331*0.7))*VLOOKUP(P331,'MunicípiosEstados'!$W$2:$X$80,2,FALSE),
  O331="Minas Gerais",((W331*0.15)+(X331*0.7))*VLOOKUP(P331,'MunicípiosEstados'!$Y$2:$Z$854,2,FALSE),
  O331="Pará",((W331*0.15)+(X331*0.7))*VLOOKUP(P331,'MunicípiosEstados'!$AA$2:$AB$145,2,FALSE),
  O331="Paraíba",((W331*0.15)+(X331*0.7))*VLOOKUP(P331,'MunicípiosEstados'!$AC$2:$AD$224,2,FALSE),
  O331="Paraná",((W331*0.15)+(X331*0.7))*VLOOKUP(P331,'MunicípiosEstados'!$AE$2:$AF$400,2,FALSE),
  O331="Pernambuco",((W331*0.15)+(X331*0.7))*VLOOKUP(P331,'MunicípiosEstados'!$AG$2:$AH$186,2,FALSE),
  O331="Piauí",((W331*0.15)+(X331*0.7))*VLOOKUP(P331,'MunicípiosEstados'!$AI$2:$AJ$225,2,FALSE),
  O331="Rio Grande do Norte",((W331*0.15)+(X331*0.7))*VLOOKUP(P331,'MunicípiosEstados'!$AK$2:$AL$168,2,FALSE),
  O331="Rio Grande do Sul",((W331*0.15)+(X331*0.7))*VLOOKUP(P331,'MunicípiosEstados'!$AM$2:$AN$498,2,FALSE),
  O331="Rio de Janeiro",((W331*0.15)+(X331*0.7))*VLOOKUP(P331,'MunicípiosEstados'!$AO$2:$AP$93,2,FALSE),
  O331="Rondônia",((W331*0.15)+(X331*0.7))*VLOOKUP(P331,'MunicípiosEstados'!$AQ$2:$AR$53,2,FALSE),
  O331="Roraima",((W331*0.15)+(X331*0.7))*VLOOKUP(P331,'MunicípiosEstados'!$AS$2:$AT$16,2,FALSE),
  O331="Santa Catarina",((W331*0.15)+(X331*0.7))*VLOOKUP(P331,'MunicípiosEstados'!$AU$2:$AV$296,2,FALSE),
  O331="São Paulo",((W331*0.15)+(X331*0.7))*VLOOKUP(P331,'MunicípiosEstados'!$AW$2:$AX$646,2,FALSE),
  O331="Sergipe",((W331*0.15)+(X331*0.7))*VLOOKUP(P331,'MunicípiosEstados'!$AY$2:$AZ$76,2,FALSE),
  O331="Tocantins",((W331*0.15)+(X331*0.7))*VLOOKUP(P331,'MunicípiosEstados'!$BA$2:$BB$140,2,FALSE),
  O331="Exterior",((W331*0.15)+(X331*0.7))*VLOOKUP(P331,'MunicípiosEstados'!$BC$2:$BE$221,3,FALSE),TRUE,0
)
</f>
        <v>1856.3</v>
      </c>
      <c r="AL331" s="25">
        <f t="shared" si="3"/>
        <v>2846.3</v>
      </c>
      <c r="AM331" s="25"/>
      <c r="AN331" s="26"/>
    </row>
    <row r="332" ht="22.5" customHeight="1">
      <c r="A332" s="15">
        <f t="shared" si="1"/>
        <v>331</v>
      </c>
      <c r="B332" s="16">
        <v>45992.86679853009</v>
      </c>
      <c r="C332" s="17" t="s">
        <v>696</v>
      </c>
      <c r="D332" s="27" t="s">
        <v>443</v>
      </c>
      <c r="E332" s="15" t="str">
        <f>VLOOKUP(G332,DiretoriaDepart.Coord.!$A$1:$C$72,2,FALSE)</f>
        <v>Extensão Rural</v>
      </c>
      <c r="F332" s="15" t="str">
        <f>VLOOKUP(G332,DiretoriaDepart.Coord.!$A$1:$C$72,3,FALSE)</f>
        <v>Projetos e Cadeias Produtivas</v>
      </c>
      <c r="G332" s="17" t="s">
        <v>697</v>
      </c>
      <c r="H332" s="15"/>
      <c r="I332" s="17" t="s">
        <v>1663</v>
      </c>
      <c r="J332" s="17" t="s">
        <v>459</v>
      </c>
      <c r="K332" s="34" t="s">
        <v>1272</v>
      </c>
      <c r="L332" s="15"/>
      <c r="M332" s="17" t="s">
        <v>1664</v>
      </c>
      <c r="N332" s="17">
        <v>200.0</v>
      </c>
      <c r="O332" s="17" t="s">
        <v>1606</v>
      </c>
      <c r="P332" s="17" t="s">
        <v>1616</v>
      </c>
      <c r="Q332" s="20">
        <v>45752.354166666664</v>
      </c>
      <c r="R332" s="20">
        <v>45755.708333333336</v>
      </c>
      <c r="S332" s="17" t="s">
        <v>451</v>
      </c>
      <c r="T332" s="17" t="s">
        <v>452</v>
      </c>
      <c r="U332" s="21" t="s">
        <v>1665</v>
      </c>
      <c r="V332" s="21" t="s">
        <v>1666</v>
      </c>
      <c r="W332" s="22">
        <v>50.0</v>
      </c>
      <c r="X332" s="22">
        <v>20.0</v>
      </c>
      <c r="Y332" s="23">
        <v>2500.0</v>
      </c>
      <c r="Z332" s="23">
        <v>0.0</v>
      </c>
      <c r="AA332" s="24">
        <v>0.0</v>
      </c>
      <c r="AB332" s="24">
        <v>0.0</v>
      </c>
      <c r="AC332" s="24">
        <v>0.0</v>
      </c>
      <c r="AD332" s="23">
        <v>600.0</v>
      </c>
      <c r="AE332" s="24">
        <v>0.0</v>
      </c>
      <c r="AF332" s="17" t="s">
        <v>451</v>
      </c>
      <c r="AG332" s="17">
        <v>2400.0</v>
      </c>
      <c r="AH332" s="17" t="s">
        <v>464</v>
      </c>
      <c r="AI332" s="25">
        <f>IF(AF332="Sim",INT((R332-Q332+1))*K332*VLOOKUP(P332,'Tabelas Auxiliares'!$A$1:$C$400,3,FALSE),0)</f>
        <v>0</v>
      </c>
      <c r="AJ332" s="25">
        <f t="shared" si="2"/>
        <v>1680</v>
      </c>
      <c r="AK332" s="25">
        <f>IFS(
  O332="Acre",((W332*0.15)+(X332*0.7))*VLOOKUP(P332,'MunicípiosEstados'!$A$2:$B$23,2,FALSE),
  O332="Alagoas",((W332*0.15)+(X332*0.7))*VLOOKUP(P332,'MunicípiosEstados'!$C$2:$D$103,2,FALSE),
  O332="Amapá",((W332*0.15)+(X332*0.7))*VLOOKUP(P332,'MunicípiosEstados'!$E$2:$F$17,2,FALSE),
  O332="Amazonas",((W332*0.15)+(X332*0.7))*VLOOKUP(P332,'MunicípiosEstados'!$G$2:$H$63,2,FALSE),
  O332="Bahia",((W332*0.15)+(X332*0.7))*VLOOKUP(P332,'MunicípiosEstados'!$I$2:$J$418,2,FALSE),
  O332="Ceará",((W332*0.15)+(X332*0.7))*VLOOKUP(P332,'MunicípiosEstados'!$K$2:$L$185,2,FALSE),
  O332="Distrito Federal",((W332*0.15)+(X332*0.7))*VLOOKUP(P332,'MunicípiosEstados'!$M$2:$N$2,2,FALSE),
  O332="Espírito Santo",((W332*0.15)+(X332*0.7))*VLOOKUP(P332,'MunicípiosEstados'!$O$2:$P$79,2,FALSE),
  O332="Goiás",((W332*0.15)+(X332*0.7))*VLOOKUP(P332,'MunicípiosEstados'!$Q$2:$R$247,2,FALSE),
  O332="Maranhão",((W332*0.15)+(X332*0.7))*VLOOKUP(P332,'MunicípiosEstados'!$S$2:$T$218,2,FALSE),
  O332="Mato Grosso",((W332*0.15)+(X332*0.7))*VLOOKUP(P332,'MunicípiosEstados'!$U$2:$V$143,2,FALSE),
  O332="Mato Grosso do Sul",((W332*0.15)+(X332*0.7))*VLOOKUP(P332,'MunicípiosEstados'!$W$2:$X$80,2,FALSE),
  O332="Minas Gerais",((W332*0.15)+(X332*0.7))*VLOOKUP(P332,'MunicípiosEstados'!$Y$2:$Z$854,2,FALSE),
  O332="Pará",((W332*0.15)+(X332*0.7))*VLOOKUP(P332,'MunicípiosEstados'!$AA$2:$AB$145,2,FALSE),
  O332="Paraíba",((W332*0.15)+(X332*0.7))*VLOOKUP(P332,'MunicípiosEstados'!$AC$2:$AD$224,2,FALSE),
  O332="Paraná",((W332*0.15)+(X332*0.7))*VLOOKUP(P332,'MunicípiosEstados'!$AE$2:$AF$400,2,FALSE),
  O332="Pernambuco",((W332*0.15)+(X332*0.7))*VLOOKUP(P332,'MunicípiosEstados'!$AG$2:$AH$186,2,FALSE),
  O332="Piauí",((W332*0.15)+(X332*0.7))*VLOOKUP(P332,'MunicípiosEstados'!$AI$2:$AJ$225,2,FALSE),
  O332="Rio Grande do Norte",((W332*0.15)+(X332*0.7))*VLOOKUP(P332,'MunicípiosEstados'!$AK$2:$AL$168,2,FALSE),
  O332="Rio Grande do Sul",((W332*0.15)+(X332*0.7))*VLOOKUP(P332,'MunicípiosEstados'!$AM$2:$AN$498,2,FALSE),
  O332="Rio de Janeiro",((W332*0.15)+(X332*0.7))*VLOOKUP(P332,'MunicípiosEstados'!$AO$2:$AP$93,2,FALSE),
  O332="Rondônia",((W332*0.15)+(X332*0.7))*VLOOKUP(P332,'MunicípiosEstados'!$AQ$2:$AR$53,2,FALSE),
  O332="Roraima",((W332*0.15)+(X332*0.7))*VLOOKUP(P332,'MunicípiosEstados'!$AS$2:$AT$16,2,FALSE),
  O332="Santa Catarina",((W332*0.15)+(X332*0.7))*VLOOKUP(P332,'MunicípiosEstados'!$AU$2:$AV$296,2,FALSE),
  O332="São Paulo",((W332*0.15)+(X332*0.7))*VLOOKUP(P332,'MunicípiosEstados'!$AW$2:$AX$646,2,FALSE),
  O332="Sergipe",((W332*0.15)+(X332*0.7))*VLOOKUP(P332,'MunicípiosEstados'!$AY$2:$AZ$76,2,FALSE),
  O332="Tocantins",((W332*0.15)+(X332*0.7))*VLOOKUP(P332,'MunicípiosEstados'!$BA$2:$BB$140,2,FALSE),
  O332="Exterior",((W332*0.15)+(X332*0.7))*VLOOKUP(P332,'MunicípiosEstados'!$BC$2:$BE$221,3,FALSE),TRUE,0
)
</f>
        <v>6246.825</v>
      </c>
      <c r="AL332" s="25">
        <f t="shared" si="3"/>
        <v>11026.825</v>
      </c>
      <c r="AM332" s="25"/>
      <c r="AN332" s="31"/>
    </row>
    <row r="333" ht="22.5" hidden="1" customHeight="1">
      <c r="A333" s="15">
        <f t="shared" si="1"/>
        <v>332</v>
      </c>
      <c r="B333" s="16">
        <v>45993.38463829861</v>
      </c>
      <c r="C333" s="17" t="s">
        <v>455</v>
      </c>
      <c r="D333" s="27" t="s">
        <v>456</v>
      </c>
      <c r="E333" s="15" t="str">
        <f>VLOOKUP(G333,DiretoriaDepart.Coord.!$A$1:$C$72,2,FALSE)</f>
        <v>Pesquisa e Inovação</v>
      </c>
      <c r="F333" s="15" t="str">
        <f>VLOOKUP(G333,DiretoriaDepart.Coord.!$A$1:$C$72,3,FALSE)</f>
        <v>Inovação e Comunicação Científica</v>
      </c>
      <c r="G333" s="17" t="s">
        <v>457</v>
      </c>
      <c r="H333" s="15"/>
      <c r="I333" s="17" t="s">
        <v>1667</v>
      </c>
      <c r="J333" s="17" t="s">
        <v>490</v>
      </c>
      <c r="K333" s="17">
        <v>1.0</v>
      </c>
      <c r="L333" s="19" t="s">
        <v>564</v>
      </c>
      <c r="M333" s="17" t="s">
        <v>461</v>
      </c>
      <c r="N333" s="17">
        <v>0.0</v>
      </c>
      <c r="O333" s="17" t="s">
        <v>1606</v>
      </c>
      <c r="P333" s="17" t="s">
        <v>1616</v>
      </c>
      <c r="Q333" s="20">
        <v>45828.333333333336</v>
      </c>
      <c r="R333" s="20">
        <v>45831.708333333336</v>
      </c>
      <c r="S333" s="17" t="s">
        <v>451</v>
      </c>
      <c r="T333" s="17" t="s">
        <v>452</v>
      </c>
      <c r="U333" s="28" t="s">
        <v>1668</v>
      </c>
      <c r="V333" s="21" t="s">
        <v>1669</v>
      </c>
      <c r="W333" s="22">
        <v>9.0</v>
      </c>
      <c r="X333" s="22">
        <v>4.0</v>
      </c>
      <c r="Y333" s="23">
        <v>800.0</v>
      </c>
      <c r="Z333" s="23">
        <v>200.0</v>
      </c>
      <c r="AA333" s="24">
        <v>1500.0</v>
      </c>
      <c r="AB333" s="24">
        <v>200.0</v>
      </c>
      <c r="AC333" s="24">
        <v>0.0</v>
      </c>
      <c r="AD333" s="23">
        <v>0.0</v>
      </c>
      <c r="AE333" s="24">
        <v>0.0</v>
      </c>
      <c r="AF333" s="17" t="s">
        <v>451</v>
      </c>
      <c r="AG333" s="17">
        <v>0.0</v>
      </c>
      <c r="AH333" s="17" t="s">
        <v>451</v>
      </c>
      <c r="AI333" s="25">
        <f>IF(AF333="Sim",INT((R333-Q333+1))*K333*VLOOKUP(P333,'Tabelas Auxiliares'!$A$1:$C$400,3,FALSE),0)</f>
        <v>0</v>
      </c>
      <c r="AJ333" s="25">
        <f t="shared" si="2"/>
        <v>0</v>
      </c>
      <c r="AK333" s="25">
        <f>IFS(
  O333="Acre",((W333*0.15)+(X333*0.7))*VLOOKUP(P333,'MunicípiosEstados'!$A$2:$B$23,2,FALSE),
  O333="Alagoas",((W333*0.15)+(X333*0.7))*VLOOKUP(P333,'MunicípiosEstados'!$C$2:$D$103,2,FALSE),
  O333="Amapá",((W333*0.15)+(X333*0.7))*VLOOKUP(P333,'MunicípiosEstados'!$E$2:$F$17,2,FALSE),
  O333="Amazonas",((W333*0.15)+(X333*0.7))*VLOOKUP(P333,'MunicípiosEstados'!$G$2:$H$63,2,FALSE),
  O333="Bahia",((W333*0.15)+(X333*0.7))*VLOOKUP(P333,'MunicípiosEstados'!$I$2:$J$418,2,FALSE),
  O333="Ceará",((W333*0.15)+(X333*0.7))*VLOOKUP(P333,'MunicípiosEstados'!$K$2:$L$185,2,FALSE),
  O333="Distrito Federal",((W333*0.15)+(X333*0.7))*VLOOKUP(P333,'MunicípiosEstados'!$M$2:$N$2,2,FALSE),
  O333="Espírito Santo",((W333*0.15)+(X333*0.7))*VLOOKUP(P333,'MunicípiosEstados'!$O$2:$P$79,2,FALSE),
  O333="Goiás",((W333*0.15)+(X333*0.7))*VLOOKUP(P333,'MunicípiosEstados'!$Q$2:$R$247,2,FALSE),
  O333="Maranhão",((W333*0.15)+(X333*0.7))*VLOOKUP(P333,'MunicípiosEstados'!$S$2:$T$218,2,FALSE),
  O333="Mato Grosso",((W333*0.15)+(X333*0.7))*VLOOKUP(P333,'MunicípiosEstados'!$U$2:$V$143,2,FALSE),
  O333="Mato Grosso do Sul",((W333*0.15)+(X333*0.7))*VLOOKUP(P333,'MunicípiosEstados'!$W$2:$X$80,2,FALSE),
  O333="Minas Gerais",((W333*0.15)+(X333*0.7))*VLOOKUP(P333,'MunicípiosEstados'!$Y$2:$Z$854,2,FALSE),
  O333="Pará",((W333*0.15)+(X333*0.7))*VLOOKUP(P333,'MunicípiosEstados'!$AA$2:$AB$145,2,FALSE),
  O333="Paraíba",((W333*0.15)+(X333*0.7))*VLOOKUP(P333,'MunicípiosEstados'!$AC$2:$AD$224,2,FALSE),
  O333="Paraná",((W333*0.15)+(X333*0.7))*VLOOKUP(P333,'MunicípiosEstados'!$AE$2:$AF$400,2,FALSE),
  O333="Pernambuco",((W333*0.15)+(X333*0.7))*VLOOKUP(P333,'MunicípiosEstados'!$AG$2:$AH$186,2,FALSE),
  O333="Piauí",((W333*0.15)+(X333*0.7))*VLOOKUP(P333,'MunicípiosEstados'!$AI$2:$AJ$225,2,FALSE),
  O333="Rio Grande do Norte",((W333*0.15)+(X333*0.7))*VLOOKUP(P333,'MunicípiosEstados'!$AK$2:$AL$168,2,FALSE),
  O333="Rio Grande do Sul",((W333*0.15)+(X333*0.7))*VLOOKUP(P333,'MunicípiosEstados'!$AM$2:$AN$498,2,FALSE),
  O333="Rio de Janeiro",((W333*0.15)+(X333*0.7))*VLOOKUP(P333,'MunicípiosEstados'!$AO$2:$AP$93,2,FALSE),
  O333="Rondônia",((W333*0.15)+(X333*0.7))*VLOOKUP(P333,'MunicípiosEstados'!$AQ$2:$AR$53,2,FALSE),
  O333="Roraima",((W333*0.15)+(X333*0.7))*VLOOKUP(P333,'MunicípiosEstados'!$AS$2:$AT$16,2,FALSE),
  O333="Santa Catarina",((W333*0.15)+(X333*0.7))*VLOOKUP(P333,'MunicípiosEstados'!$AU$2:$AV$296,2,FALSE),
  O333="São Paulo",((W333*0.15)+(X333*0.7))*VLOOKUP(P333,'MunicípiosEstados'!$AW$2:$AX$646,2,FALSE),
  O333="Sergipe",((W333*0.15)+(X333*0.7))*VLOOKUP(P333,'MunicípiosEstados'!$AY$2:$AZ$76,2,FALSE),
  O333="Tocantins",((W333*0.15)+(X333*0.7))*VLOOKUP(P333,'MunicípiosEstados'!$BA$2:$BB$140,2,FALSE),
  O333="Exterior",((W333*0.15)+(X333*0.7))*VLOOKUP(P333,'MunicípiosEstados'!$BC$2:$BE$221,3,FALSE),TRUE,0
)
</f>
        <v>1205.7825</v>
      </c>
      <c r="AL333" s="25">
        <f t="shared" si="3"/>
        <v>3905.7825</v>
      </c>
      <c r="AN333" s="29" t="s">
        <v>456</v>
      </c>
    </row>
    <row r="334" ht="22.5" hidden="1" customHeight="1">
      <c r="A334" s="15">
        <f t="shared" si="1"/>
        <v>333</v>
      </c>
      <c r="B334" s="16">
        <v>45996.70364378473</v>
      </c>
      <c r="C334" s="17" t="s">
        <v>506</v>
      </c>
      <c r="D334" s="27" t="s">
        <v>443</v>
      </c>
      <c r="E334" s="15" t="str">
        <f>VLOOKUP(G334,DiretoriaDepart.Coord.!$A$1:$C$72,2,FALSE)</f>
        <v>Pesquisa e Inovação</v>
      </c>
      <c r="F334" s="15" t="str">
        <f>VLOOKUP(G334,DiretoriaDepart.Coord.!$A$1:$C$72,3,FALSE)</f>
        <v>Inovação e Comunicação Científica</v>
      </c>
      <c r="G334" s="17" t="s">
        <v>477</v>
      </c>
      <c r="H334" s="15"/>
      <c r="I334" s="17" t="s">
        <v>1670</v>
      </c>
      <c r="J334" s="17" t="s">
        <v>490</v>
      </c>
      <c r="K334" s="17">
        <v>1.0</v>
      </c>
      <c r="L334" s="17" t="s">
        <v>690</v>
      </c>
      <c r="M334" s="17" t="s">
        <v>508</v>
      </c>
      <c r="N334" s="17">
        <v>0.0</v>
      </c>
      <c r="O334" s="17" t="s">
        <v>1606</v>
      </c>
      <c r="P334" s="17" t="s">
        <v>1616</v>
      </c>
      <c r="Q334" s="20">
        <v>45790.333333333336</v>
      </c>
      <c r="R334" s="20">
        <v>45791.708333333336</v>
      </c>
      <c r="S334" s="17" t="s">
        <v>451</v>
      </c>
      <c r="T334" s="17" t="s">
        <v>452</v>
      </c>
      <c r="U334" s="21" t="s">
        <v>1671</v>
      </c>
      <c r="V334" s="21" t="s">
        <v>1672</v>
      </c>
      <c r="W334" s="22">
        <v>6.0</v>
      </c>
      <c r="X334" s="22">
        <v>3.0</v>
      </c>
      <c r="Y334" s="23">
        <v>500.0</v>
      </c>
      <c r="Z334" s="23">
        <v>150.0</v>
      </c>
      <c r="AA334" s="24">
        <v>2500.0</v>
      </c>
      <c r="AB334" s="24">
        <v>0.0</v>
      </c>
      <c r="AC334" s="24">
        <v>400.0</v>
      </c>
      <c r="AD334" s="23">
        <v>0.0</v>
      </c>
      <c r="AE334" s="24">
        <v>0.0</v>
      </c>
      <c r="AF334" s="17" t="s">
        <v>451</v>
      </c>
      <c r="AG334" s="17">
        <v>0.0</v>
      </c>
      <c r="AH334" s="17" t="s">
        <v>451</v>
      </c>
      <c r="AI334" s="25">
        <f>IF(AF334="Sim",INT((R334-Q334+1))*K334*VLOOKUP(P334,'Tabelas Auxiliares'!$A$1:$C$400,3,FALSE),0)</f>
        <v>0</v>
      </c>
      <c r="AJ334" s="25">
        <f t="shared" si="2"/>
        <v>0</v>
      </c>
      <c r="AK334" s="25">
        <f>IFS(
  O334="Acre",((W334*0.15)+(X334*0.7))*VLOOKUP(P334,'MunicípiosEstados'!$A$2:$B$23,2,FALSE),
  O334="Alagoas",((W334*0.15)+(X334*0.7))*VLOOKUP(P334,'MunicípiosEstados'!$C$2:$D$103,2,FALSE),
  O334="Amapá",((W334*0.15)+(X334*0.7))*VLOOKUP(P334,'MunicípiosEstados'!$E$2:$F$17,2,FALSE),
  O334="Amazonas",((W334*0.15)+(X334*0.7))*VLOOKUP(P334,'MunicípiosEstados'!$G$2:$H$63,2,FALSE),
  O334="Bahia",((W334*0.15)+(X334*0.7))*VLOOKUP(P334,'MunicípiosEstados'!$I$2:$J$418,2,FALSE),
  O334="Ceará",((W334*0.15)+(X334*0.7))*VLOOKUP(P334,'MunicípiosEstados'!$K$2:$L$185,2,FALSE),
  O334="Distrito Federal",((W334*0.15)+(X334*0.7))*VLOOKUP(P334,'MunicípiosEstados'!$M$2:$N$2,2,FALSE),
  O334="Espírito Santo",((W334*0.15)+(X334*0.7))*VLOOKUP(P334,'MunicípiosEstados'!$O$2:$P$79,2,FALSE),
  O334="Goiás",((W334*0.15)+(X334*0.7))*VLOOKUP(P334,'MunicípiosEstados'!$Q$2:$R$247,2,FALSE),
  O334="Maranhão",((W334*0.15)+(X334*0.7))*VLOOKUP(P334,'MunicípiosEstados'!$S$2:$T$218,2,FALSE),
  O334="Mato Grosso",((W334*0.15)+(X334*0.7))*VLOOKUP(P334,'MunicípiosEstados'!$U$2:$V$143,2,FALSE),
  O334="Mato Grosso do Sul",((W334*0.15)+(X334*0.7))*VLOOKUP(P334,'MunicípiosEstados'!$W$2:$X$80,2,FALSE),
  O334="Minas Gerais",((W334*0.15)+(X334*0.7))*VLOOKUP(P334,'MunicípiosEstados'!$Y$2:$Z$854,2,FALSE),
  O334="Pará",((W334*0.15)+(X334*0.7))*VLOOKUP(P334,'MunicípiosEstados'!$AA$2:$AB$145,2,FALSE),
  O334="Paraíba",((W334*0.15)+(X334*0.7))*VLOOKUP(P334,'MunicípiosEstados'!$AC$2:$AD$224,2,FALSE),
  O334="Paraná",((W334*0.15)+(X334*0.7))*VLOOKUP(P334,'MunicípiosEstados'!$AE$2:$AF$400,2,FALSE),
  O334="Pernambuco",((W334*0.15)+(X334*0.7))*VLOOKUP(P334,'MunicípiosEstados'!$AG$2:$AH$186,2,FALSE),
  O334="Piauí",((W334*0.15)+(X334*0.7))*VLOOKUP(P334,'MunicípiosEstados'!$AI$2:$AJ$225,2,FALSE),
  O334="Rio Grande do Norte",((W334*0.15)+(X334*0.7))*VLOOKUP(P334,'MunicípiosEstados'!$AK$2:$AL$168,2,FALSE),
  O334="Rio Grande do Sul",((W334*0.15)+(X334*0.7))*VLOOKUP(P334,'MunicípiosEstados'!$AM$2:$AN$498,2,FALSE),
  O334="Rio de Janeiro",((W334*0.15)+(X334*0.7))*VLOOKUP(P334,'MunicípiosEstados'!$AO$2:$AP$93,2,FALSE),
  O334="Rondônia",((W334*0.15)+(X334*0.7))*VLOOKUP(P334,'MunicípiosEstados'!$AQ$2:$AR$53,2,FALSE),
  O334="Roraima",((W334*0.15)+(X334*0.7))*VLOOKUP(P334,'MunicípiosEstados'!$AS$2:$AT$16,2,FALSE),
  O334="Santa Catarina",((W334*0.15)+(X334*0.7))*VLOOKUP(P334,'MunicípiosEstados'!$AU$2:$AV$296,2,FALSE),
  O334="São Paulo",((W334*0.15)+(X334*0.7))*VLOOKUP(P334,'MunicípiosEstados'!$AW$2:$AX$646,2,FALSE),
  O334="Sergipe",((W334*0.15)+(X334*0.7))*VLOOKUP(P334,'MunicípiosEstados'!$AY$2:$AZ$76,2,FALSE),
  O334="Tocantins",((W334*0.15)+(X334*0.7))*VLOOKUP(P334,'MunicípiosEstados'!$BA$2:$BB$140,2,FALSE),
  O334="Exterior",((W334*0.15)+(X334*0.7))*VLOOKUP(P334,'MunicípiosEstados'!$BC$2:$BE$221,3,FALSE),TRUE,0
)
</f>
        <v>871.65</v>
      </c>
      <c r="AL334" s="25">
        <f t="shared" si="3"/>
        <v>4421.65</v>
      </c>
      <c r="AN334" s="26"/>
    </row>
    <row r="335" ht="22.5" customHeight="1">
      <c r="A335" s="15">
        <f t="shared" si="1"/>
        <v>334</v>
      </c>
      <c r="B335" s="16">
        <v>45998.739201805554</v>
      </c>
      <c r="C335" s="17" t="s">
        <v>696</v>
      </c>
      <c r="D335" s="27" t="s">
        <v>443</v>
      </c>
      <c r="E335" s="15" t="str">
        <f>VLOOKUP(G335,DiretoriaDepart.Coord.!$A$1:$C$72,2,FALSE)</f>
        <v>Extensão Rural</v>
      </c>
      <c r="F335" s="15" t="str">
        <f>VLOOKUP(G335,DiretoriaDepart.Coord.!$A$1:$C$72,3,FALSE)</f>
        <v>Projetos e Cadeias Produtivas</v>
      </c>
      <c r="G335" s="17" t="s">
        <v>697</v>
      </c>
      <c r="H335" s="15"/>
      <c r="I335" s="17" t="s">
        <v>1673</v>
      </c>
      <c r="J335" s="17" t="s">
        <v>652</v>
      </c>
      <c r="K335" s="34" t="s">
        <v>1272</v>
      </c>
      <c r="L335" s="15"/>
      <c r="M335" s="17" t="s">
        <v>1674</v>
      </c>
      <c r="N335" s="17">
        <v>1.0</v>
      </c>
      <c r="O335" s="17" t="s">
        <v>1606</v>
      </c>
      <c r="P335" s="17" t="s">
        <v>1675</v>
      </c>
      <c r="Q335" s="20">
        <v>45803.354166666664</v>
      </c>
      <c r="R335" s="20">
        <v>45806.708333333336</v>
      </c>
      <c r="S335" s="17" t="s">
        <v>464</v>
      </c>
      <c r="T335" s="17" t="s">
        <v>452</v>
      </c>
      <c r="U335" s="21" t="s">
        <v>1676</v>
      </c>
      <c r="V335" s="21" t="s">
        <v>1677</v>
      </c>
      <c r="W335" s="22">
        <v>60.0</v>
      </c>
      <c r="X335" s="22">
        <v>30.0</v>
      </c>
      <c r="Y335" s="23">
        <v>0.0</v>
      </c>
      <c r="Z335" s="23">
        <v>0.0</v>
      </c>
      <c r="AA335" s="24">
        <v>0.0</v>
      </c>
      <c r="AB335" s="24">
        <v>0.0</v>
      </c>
      <c r="AC335" s="24">
        <v>0.0</v>
      </c>
      <c r="AD335" s="23">
        <v>600.0</v>
      </c>
      <c r="AE335" s="24">
        <v>0.0</v>
      </c>
      <c r="AF335" s="17" t="s">
        <v>451</v>
      </c>
      <c r="AG335" s="17">
        <v>2800.0</v>
      </c>
      <c r="AH335" s="17" t="s">
        <v>464</v>
      </c>
      <c r="AI335" s="25">
        <f>IF(AF335="Sim",INT((R335-Q335+1))*K335*VLOOKUP(P335,'Tabelas Auxiliares'!$A$1:$C$400,3,FALSE),0)</f>
        <v>0</v>
      </c>
      <c r="AJ335" s="25">
        <f t="shared" si="2"/>
        <v>1960</v>
      </c>
      <c r="AK335" s="25">
        <f>IFS(
  O335="Acre",((W335*0.15)+(X335*0.7))*VLOOKUP(P335,'MunicípiosEstados'!$A$2:$B$23,2,FALSE),
  O335="Alagoas",((W335*0.15)+(X335*0.7))*VLOOKUP(P335,'MunicípiosEstados'!$C$2:$D$103,2,FALSE),
  O335="Amapá",((W335*0.15)+(X335*0.7))*VLOOKUP(P335,'MunicípiosEstados'!$E$2:$F$17,2,FALSE),
  O335="Amazonas",((W335*0.15)+(X335*0.7))*VLOOKUP(P335,'MunicípiosEstados'!$G$2:$H$63,2,FALSE),
  O335="Bahia",((W335*0.15)+(X335*0.7))*VLOOKUP(P335,'MunicípiosEstados'!$I$2:$J$418,2,FALSE),
  O335="Ceará",((W335*0.15)+(X335*0.7))*VLOOKUP(P335,'MunicípiosEstados'!$K$2:$L$185,2,FALSE),
  O335="Distrito Federal",((W335*0.15)+(X335*0.7))*VLOOKUP(P335,'MunicípiosEstados'!$M$2:$N$2,2,FALSE),
  O335="Espírito Santo",((W335*0.15)+(X335*0.7))*VLOOKUP(P335,'MunicípiosEstados'!$O$2:$P$79,2,FALSE),
  O335="Goiás",((W335*0.15)+(X335*0.7))*VLOOKUP(P335,'MunicípiosEstados'!$Q$2:$R$247,2,FALSE),
  O335="Maranhão",((W335*0.15)+(X335*0.7))*VLOOKUP(P335,'MunicípiosEstados'!$S$2:$T$218,2,FALSE),
  O335="Mato Grosso",((W335*0.15)+(X335*0.7))*VLOOKUP(P335,'MunicípiosEstados'!$U$2:$V$143,2,FALSE),
  O335="Mato Grosso do Sul",((W335*0.15)+(X335*0.7))*VLOOKUP(P335,'MunicípiosEstados'!$W$2:$X$80,2,FALSE),
  O335="Minas Gerais",((W335*0.15)+(X335*0.7))*VLOOKUP(P335,'MunicípiosEstados'!$Y$2:$Z$854,2,FALSE),
  O335="Pará",((W335*0.15)+(X335*0.7))*VLOOKUP(P335,'MunicípiosEstados'!$AA$2:$AB$145,2,FALSE),
  O335="Paraíba",((W335*0.15)+(X335*0.7))*VLOOKUP(P335,'MunicípiosEstados'!$AC$2:$AD$224,2,FALSE),
  O335="Paraná",((W335*0.15)+(X335*0.7))*VLOOKUP(P335,'MunicípiosEstados'!$AE$2:$AF$400,2,FALSE),
  O335="Pernambuco",((W335*0.15)+(X335*0.7))*VLOOKUP(P335,'MunicípiosEstados'!$AG$2:$AH$186,2,FALSE),
  O335="Piauí",((W335*0.15)+(X335*0.7))*VLOOKUP(P335,'MunicípiosEstados'!$AI$2:$AJ$225,2,FALSE),
  O335="Rio Grande do Norte",((W335*0.15)+(X335*0.7))*VLOOKUP(P335,'MunicípiosEstados'!$AK$2:$AL$168,2,FALSE),
  O335="Rio Grande do Sul",((W335*0.15)+(X335*0.7))*VLOOKUP(P335,'MunicípiosEstados'!$AM$2:$AN$498,2,FALSE),
  O335="Rio de Janeiro",((W335*0.15)+(X335*0.7))*VLOOKUP(P335,'MunicípiosEstados'!$AO$2:$AP$93,2,FALSE),
  O335="Rondônia",((W335*0.15)+(X335*0.7))*VLOOKUP(P335,'MunicípiosEstados'!$AQ$2:$AR$53,2,FALSE),
  O335="Roraima",((W335*0.15)+(X335*0.7))*VLOOKUP(P335,'MunicípiosEstados'!$AS$2:$AT$16,2,FALSE),
  O335="Santa Catarina",((W335*0.15)+(X335*0.7))*VLOOKUP(P335,'MunicípiosEstados'!$AU$2:$AV$296,2,FALSE),
  O335="São Paulo",((W335*0.15)+(X335*0.7))*VLOOKUP(P335,'MunicípiosEstados'!$AW$2:$AX$646,2,FALSE),
  O335="Sergipe",((W335*0.15)+(X335*0.7))*VLOOKUP(P335,'MunicípiosEstados'!$AY$2:$AZ$76,2,FALSE),
  O335="Tocantins",((W335*0.15)+(X335*0.7))*VLOOKUP(P335,'MunicípiosEstados'!$BA$2:$BB$140,2,FALSE),
  O335="Exterior",((W335*0.15)+(X335*0.7))*VLOOKUP(P335,'MunicípiosEstados'!$BC$2:$BE$221,3,FALSE),TRUE,0
)
</f>
        <v>8716.5</v>
      </c>
      <c r="AL335" s="25">
        <f t="shared" si="3"/>
        <v>11276.5</v>
      </c>
      <c r="AN335" s="31"/>
    </row>
    <row r="336" ht="22.5" customHeight="1">
      <c r="A336" s="15">
        <f t="shared" si="1"/>
        <v>335</v>
      </c>
      <c r="B336" s="16">
        <v>45998.75085326389</v>
      </c>
      <c r="C336" s="17" t="s">
        <v>696</v>
      </c>
      <c r="D336" s="27" t="s">
        <v>443</v>
      </c>
      <c r="E336" s="15" t="str">
        <f>VLOOKUP(G336,DiretoriaDepart.Coord.!$A$1:$C$72,2,FALSE)</f>
        <v>Extensão Rural</v>
      </c>
      <c r="F336" s="15" t="str">
        <f>VLOOKUP(G336,DiretoriaDepart.Coord.!$A$1:$C$72,3,FALSE)</f>
        <v>Projetos e Cadeias Produtivas</v>
      </c>
      <c r="G336" s="17" t="s">
        <v>697</v>
      </c>
      <c r="H336" s="15"/>
      <c r="I336" s="17" t="s">
        <v>1678</v>
      </c>
      <c r="J336" s="17" t="s">
        <v>652</v>
      </c>
      <c r="K336" s="34" t="s">
        <v>701</v>
      </c>
      <c r="L336" s="15"/>
      <c r="M336" s="17" t="s">
        <v>925</v>
      </c>
      <c r="N336" s="17">
        <v>0.0</v>
      </c>
      <c r="O336" s="17" t="s">
        <v>1606</v>
      </c>
      <c r="P336" s="17" t="s">
        <v>1679</v>
      </c>
      <c r="Q336" s="20">
        <v>45825.375</v>
      </c>
      <c r="R336" s="20">
        <v>45827.708333333336</v>
      </c>
      <c r="S336" s="17" t="s">
        <v>464</v>
      </c>
      <c r="T336" s="17" t="s">
        <v>452</v>
      </c>
      <c r="U336" s="21" t="s">
        <v>1680</v>
      </c>
      <c r="V336" s="21" t="s">
        <v>1681</v>
      </c>
      <c r="W336" s="22">
        <v>24.0</v>
      </c>
      <c r="X336" s="22">
        <v>12.0</v>
      </c>
      <c r="Y336" s="23">
        <v>0.0</v>
      </c>
      <c r="Z336" s="23">
        <v>0.0</v>
      </c>
      <c r="AA336" s="24">
        <v>0.0</v>
      </c>
      <c r="AB336" s="24">
        <v>0.0</v>
      </c>
      <c r="AC336" s="24">
        <v>0.0</v>
      </c>
      <c r="AD336" s="23">
        <v>0.0</v>
      </c>
      <c r="AE336" s="24">
        <v>0.0</v>
      </c>
      <c r="AF336" s="17" t="s">
        <v>451</v>
      </c>
      <c r="AG336" s="17">
        <v>1300.0</v>
      </c>
      <c r="AH336" s="17" t="s">
        <v>464</v>
      </c>
      <c r="AI336" s="25">
        <f>IF(AF336="Sim",INT((R336-Q336+1))*K336*VLOOKUP(P336,'Tabelas Auxiliares'!$A$1:$C$400,3,FALSE),0)</f>
        <v>0</v>
      </c>
      <c r="AJ336" s="25">
        <f t="shared" si="2"/>
        <v>910</v>
      </c>
      <c r="AK336" s="25">
        <f>IFS(
  O336="Acre",((W336*0.15)+(X336*0.7))*VLOOKUP(P336,'MunicípiosEstados'!$A$2:$B$23,2,FALSE),
  O336="Alagoas",((W336*0.15)+(X336*0.7))*VLOOKUP(P336,'MunicípiosEstados'!$C$2:$D$103,2,FALSE),
  O336="Amapá",((W336*0.15)+(X336*0.7))*VLOOKUP(P336,'MunicípiosEstados'!$E$2:$F$17,2,FALSE),
  O336="Amazonas",((W336*0.15)+(X336*0.7))*VLOOKUP(P336,'MunicípiosEstados'!$G$2:$H$63,2,FALSE),
  O336="Bahia",((W336*0.15)+(X336*0.7))*VLOOKUP(P336,'MunicípiosEstados'!$I$2:$J$418,2,FALSE),
  O336="Ceará",((W336*0.15)+(X336*0.7))*VLOOKUP(P336,'MunicípiosEstados'!$K$2:$L$185,2,FALSE),
  O336="Distrito Federal",((W336*0.15)+(X336*0.7))*VLOOKUP(P336,'MunicípiosEstados'!$M$2:$N$2,2,FALSE),
  O336="Espírito Santo",((W336*0.15)+(X336*0.7))*VLOOKUP(P336,'MunicípiosEstados'!$O$2:$P$79,2,FALSE),
  O336="Goiás",((W336*0.15)+(X336*0.7))*VLOOKUP(P336,'MunicípiosEstados'!$Q$2:$R$247,2,FALSE),
  O336="Maranhão",((W336*0.15)+(X336*0.7))*VLOOKUP(P336,'MunicípiosEstados'!$S$2:$T$218,2,FALSE),
  O336="Mato Grosso",((W336*0.15)+(X336*0.7))*VLOOKUP(P336,'MunicípiosEstados'!$U$2:$V$143,2,FALSE),
  O336="Mato Grosso do Sul",((W336*0.15)+(X336*0.7))*VLOOKUP(P336,'MunicípiosEstados'!$W$2:$X$80,2,FALSE),
  O336="Minas Gerais",((W336*0.15)+(X336*0.7))*VLOOKUP(P336,'MunicípiosEstados'!$Y$2:$Z$854,2,FALSE),
  O336="Pará",((W336*0.15)+(X336*0.7))*VLOOKUP(P336,'MunicípiosEstados'!$AA$2:$AB$145,2,FALSE),
  O336="Paraíba",((W336*0.15)+(X336*0.7))*VLOOKUP(P336,'MunicípiosEstados'!$AC$2:$AD$224,2,FALSE),
  O336="Paraná",((W336*0.15)+(X336*0.7))*VLOOKUP(P336,'MunicípiosEstados'!$AE$2:$AF$400,2,FALSE),
  O336="Pernambuco",((W336*0.15)+(X336*0.7))*VLOOKUP(P336,'MunicípiosEstados'!$AG$2:$AH$186,2,FALSE),
  O336="Piauí",((W336*0.15)+(X336*0.7))*VLOOKUP(P336,'MunicípiosEstados'!$AI$2:$AJ$225,2,FALSE),
  O336="Rio Grande do Norte",((W336*0.15)+(X336*0.7))*VLOOKUP(P336,'MunicípiosEstados'!$AK$2:$AL$168,2,FALSE),
  O336="Rio Grande do Sul",((W336*0.15)+(X336*0.7))*VLOOKUP(P336,'MunicípiosEstados'!$AM$2:$AN$498,2,FALSE),
  O336="Rio de Janeiro",((W336*0.15)+(X336*0.7))*VLOOKUP(P336,'MunicípiosEstados'!$AO$2:$AP$93,2,FALSE),
  O336="Rondônia",((W336*0.15)+(X336*0.7))*VLOOKUP(P336,'MunicípiosEstados'!$AQ$2:$AR$53,2,FALSE),
  O336="Roraima",((W336*0.15)+(X336*0.7))*VLOOKUP(P336,'MunicípiosEstados'!$AS$2:$AT$16,2,FALSE),
  O336="Santa Catarina",((W336*0.15)+(X336*0.7))*VLOOKUP(P336,'MunicípiosEstados'!$AU$2:$AV$296,2,FALSE),
  O336="São Paulo",((W336*0.15)+(X336*0.7))*VLOOKUP(P336,'MunicípiosEstados'!$AW$2:$AX$646,2,FALSE),
  O336="Sergipe",((W336*0.15)+(X336*0.7))*VLOOKUP(P336,'MunicípiosEstados'!$AY$2:$AZ$76,2,FALSE),
  O336="Tocantins",((W336*0.15)+(X336*0.7))*VLOOKUP(P336,'MunicípiosEstados'!$BA$2:$BB$140,2,FALSE),
  O336="Exterior",((W336*0.15)+(X336*0.7))*VLOOKUP(P336,'MunicípiosEstados'!$BC$2:$BE$221,3,FALSE),TRUE,0
)
</f>
        <v>3486.6</v>
      </c>
      <c r="AL336" s="25">
        <f t="shared" si="3"/>
        <v>4396.6</v>
      </c>
      <c r="AN336" s="31"/>
    </row>
    <row r="337" ht="22.5" customHeight="1">
      <c r="A337" s="15">
        <f t="shared" si="1"/>
        <v>336</v>
      </c>
      <c r="B337" s="16">
        <v>45998.81002444444</v>
      </c>
      <c r="C337" s="17" t="s">
        <v>696</v>
      </c>
      <c r="D337" s="27" t="s">
        <v>443</v>
      </c>
      <c r="E337" s="15" t="str">
        <f>VLOOKUP(G337,DiretoriaDepart.Coord.!$A$1:$C$72,2,FALSE)</f>
        <v>Extensão Rural</v>
      </c>
      <c r="F337" s="15" t="str">
        <f>VLOOKUP(G337,DiretoriaDepart.Coord.!$A$1:$C$72,3,FALSE)</f>
        <v>Projetos e Cadeias Produtivas</v>
      </c>
      <c r="G337" s="17" t="s">
        <v>697</v>
      </c>
      <c r="H337" s="15"/>
      <c r="I337" s="17" t="s">
        <v>1682</v>
      </c>
      <c r="J337" s="17" t="s">
        <v>576</v>
      </c>
      <c r="K337" s="34" t="s">
        <v>799</v>
      </c>
      <c r="L337" s="15"/>
      <c r="M337" s="17" t="s">
        <v>1683</v>
      </c>
      <c r="N337" s="17">
        <v>0.0</v>
      </c>
      <c r="O337" s="17" t="s">
        <v>1606</v>
      </c>
      <c r="P337" s="17" t="s">
        <v>1684</v>
      </c>
      <c r="Q337" s="20">
        <v>45810.354166666664</v>
      </c>
      <c r="R337" s="20">
        <v>45812.708333333336</v>
      </c>
      <c r="S337" s="17" t="s">
        <v>451</v>
      </c>
      <c r="T337" s="17" t="s">
        <v>452</v>
      </c>
      <c r="U337" s="21" t="s">
        <v>1685</v>
      </c>
      <c r="V337" s="21" t="s">
        <v>1686</v>
      </c>
      <c r="W337" s="22">
        <v>60.0</v>
      </c>
      <c r="X337" s="22">
        <v>30.0</v>
      </c>
      <c r="Y337" s="23">
        <v>0.0</v>
      </c>
      <c r="Z337" s="23">
        <v>0.0</v>
      </c>
      <c r="AA337" s="24">
        <v>0.0</v>
      </c>
      <c r="AB337" s="24">
        <v>0.0</v>
      </c>
      <c r="AC337" s="24">
        <v>0.0</v>
      </c>
      <c r="AD337" s="23">
        <v>600.0</v>
      </c>
      <c r="AE337" s="24">
        <v>0.0</v>
      </c>
      <c r="AF337" s="17" t="s">
        <v>451</v>
      </c>
      <c r="AG337" s="17">
        <v>3000.0</v>
      </c>
      <c r="AH337" s="17" t="s">
        <v>464</v>
      </c>
      <c r="AI337" s="25">
        <f>IF(AF337="Sim",INT((R337-Q337+1))*K337*VLOOKUP(P337,'Tabelas Auxiliares'!$A$1:$C$400,3,FALSE),0)</f>
        <v>0</v>
      </c>
      <c r="AJ337" s="25">
        <f t="shared" si="2"/>
        <v>2100</v>
      </c>
      <c r="AK337" s="25">
        <f>IFS(
  O337="Acre",((W337*0.15)+(X337*0.7))*VLOOKUP(P337,'MunicípiosEstados'!$A$2:$B$23,2,FALSE),
  O337="Alagoas",((W337*0.15)+(X337*0.7))*VLOOKUP(P337,'MunicípiosEstados'!$C$2:$D$103,2,FALSE),
  O337="Amapá",((W337*0.15)+(X337*0.7))*VLOOKUP(P337,'MunicípiosEstados'!$E$2:$F$17,2,FALSE),
  O337="Amazonas",((W337*0.15)+(X337*0.7))*VLOOKUP(P337,'MunicípiosEstados'!$G$2:$H$63,2,FALSE),
  O337="Bahia",((W337*0.15)+(X337*0.7))*VLOOKUP(P337,'MunicípiosEstados'!$I$2:$J$418,2,FALSE),
  O337="Ceará",((W337*0.15)+(X337*0.7))*VLOOKUP(P337,'MunicípiosEstados'!$K$2:$L$185,2,FALSE),
  O337="Distrito Federal",((W337*0.15)+(X337*0.7))*VLOOKUP(P337,'MunicípiosEstados'!$M$2:$N$2,2,FALSE),
  O337="Espírito Santo",((W337*0.15)+(X337*0.7))*VLOOKUP(P337,'MunicípiosEstados'!$O$2:$P$79,2,FALSE),
  O337="Goiás",((W337*0.15)+(X337*0.7))*VLOOKUP(P337,'MunicípiosEstados'!$Q$2:$R$247,2,FALSE),
  O337="Maranhão",((W337*0.15)+(X337*0.7))*VLOOKUP(P337,'MunicípiosEstados'!$S$2:$T$218,2,FALSE),
  O337="Mato Grosso",((W337*0.15)+(X337*0.7))*VLOOKUP(P337,'MunicípiosEstados'!$U$2:$V$143,2,FALSE),
  O337="Mato Grosso do Sul",((W337*0.15)+(X337*0.7))*VLOOKUP(P337,'MunicípiosEstados'!$W$2:$X$80,2,FALSE),
  O337="Minas Gerais",((W337*0.15)+(X337*0.7))*VLOOKUP(P337,'MunicípiosEstados'!$Y$2:$Z$854,2,FALSE),
  O337="Pará",((W337*0.15)+(X337*0.7))*VLOOKUP(P337,'MunicípiosEstados'!$AA$2:$AB$145,2,FALSE),
  O337="Paraíba",((W337*0.15)+(X337*0.7))*VLOOKUP(P337,'MunicípiosEstados'!$AC$2:$AD$224,2,FALSE),
  O337="Paraná",((W337*0.15)+(X337*0.7))*VLOOKUP(P337,'MunicípiosEstados'!$AE$2:$AF$400,2,FALSE),
  O337="Pernambuco",((W337*0.15)+(X337*0.7))*VLOOKUP(P337,'MunicípiosEstados'!$AG$2:$AH$186,2,FALSE),
  O337="Piauí",((W337*0.15)+(X337*0.7))*VLOOKUP(P337,'MunicípiosEstados'!$AI$2:$AJ$225,2,FALSE),
  O337="Rio Grande do Norte",((W337*0.15)+(X337*0.7))*VLOOKUP(P337,'MunicípiosEstados'!$AK$2:$AL$168,2,FALSE),
  O337="Rio Grande do Sul",((W337*0.15)+(X337*0.7))*VLOOKUP(P337,'MunicípiosEstados'!$AM$2:$AN$498,2,FALSE),
  O337="Rio de Janeiro",((W337*0.15)+(X337*0.7))*VLOOKUP(P337,'MunicípiosEstados'!$AO$2:$AP$93,2,FALSE),
  O337="Rondônia",((W337*0.15)+(X337*0.7))*VLOOKUP(P337,'MunicípiosEstados'!$AQ$2:$AR$53,2,FALSE),
  O337="Roraima",((W337*0.15)+(X337*0.7))*VLOOKUP(P337,'MunicípiosEstados'!$AS$2:$AT$16,2,FALSE),
  O337="Santa Catarina",((W337*0.15)+(X337*0.7))*VLOOKUP(P337,'MunicípiosEstados'!$AU$2:$AV$296,2,FALSE),
  O337="São Paulo",((W337*0.15)+(X337*0.7))*VLOOKUP(P337,'MunicípiosEstados'!$AW$2:$AX$646,2,FALSE),
  O337="Sergipe",((W337*0.15)+(X337*0.7))*VLOOKUP(P337,'MunicípiosEstados'!$AY$2:$AZ$76,2,FALSE),
  O337="Tocantins",((W337*0.15)+(X337*0.7))*VLOOKUP(P337,'MunicípiosEstados'!$BA$2:$BB$140,2,FALSE),
  O337="Exterior",((W337*0.15)+(X337*0.7))*VLOOKUP(P337,'MunicípiosEstados'!$BC$2:$BE$221,3,FALSE),TRUE,0
)
</f>
        <v>8716.5</v>
      </c>
      <c r="AL337" s="25">
        <f t="shared" si="3"/>
        <v>11416.5</v>
      </c>
      <c r="AN337" s="31"/>
    </row>
    <row r="338" ht="22.5" hidden="1" customHeight="1">
      <c r="A338" s="15">
        <f t="shared" si="1"/>
        <v>337</v>
      </c>
      <c r="B338" s="16">
        <v>45998.95532523148</v>
      </c>
      <c r="C338" s="17" t="s">
        <v>1380</v>
      </c>
      <c r="D338" s="27" t="s">
        <v>443</v>
      </c>
      <c r="E338" s="15" t="str">
        <f>VLOOKUP(G338,DiretoriaDepart.Coord.!$A$1:$C$72,2,FALSE)</f>
        <v>Extensão Rural</v>
      </c>
      <c r="F338" s="15" t="str">
        <f>VLOOKUP(G338,DiretoriaDepart.Coord.!$A$1:$C$72,3,FALSE)</f>
        <v>Projetos e Cadeias Produtivas</v>
      </c>
      <c r="G338" s="17" t="s">
        <v>1381</v>
      </c>
      <c r="H338" s="15"/>
      <c r="I338" s="17" t="s">
        <v>1687</v>
      </c>
      <c r="J338" s="17" t="s">
        <v>645</v>
      </c>
      <c r="K338" s="17">
        <v>10.0</v>
      </c>
      <c r="L338" s="15"/>
      <c r="M338" s="17" t="s">
        <v>1688</v>
      </c>
      <c r="N338" s="17">
        <v>0.0</v>
      </c>
      <c r="O338" s="17" t="s">
        <v>1606</v>
      </c>
      <c r="P338" s="17" t="s">
        <v>1620</v>
      </c>
      <c r="Q338" s="20">
        <v>45831.333333333336</v>
      </c>
      <c r="R338" s="20">
        <v>45834.708333333336</v>
      </c>
      <c r="S338" s="17" t="s">
        <v>464</v>
      </c>
      <c r="T338" s="17" t="s">
        <v>452</v>
      </c>
      <c r="U338" s="21" t="s">
        <v>1689</v>
      </c>
      <c r="V338" s="21" t="s">
        <v>1690</v>
      </c>
      <c r="W338" s="22">
        <v>80.0</v>
      </c>
      <c r="X338" s="22">
        <v>40.0</v>
      </c>
      <c r="Y338" s="23">
        <v>1500.0</v>
      </c>
      <c r="Z338" s="23">
        <v>0.0</v>
      </c>
      <c r="AA338" s="24">
        <v>0.0</v>
      </c>
      <c r="AB338" s="24">
        <v>0.0</v>
      </c>
      <c r="AC338" s="24">
        <v>0.0</v>
      </c>
      <c r="AD338" s="23">
        <v>0.0</v>
      </c>
      <c r="AE338" s="24">
        <v>0.0</v>
      </c>
      <c r="AF338" s="17" t="s">
        <v>451</v>
      </c>
      <c r="AG338" s="17">
        <v>2000.0</v>
      </c>
      <c r="AH338" s="17" t="s">
        <v>464</v>
      </c>
      <c r="AI338" s="25">
        <f>IF(AF338="Sim",INT((R338-Q338+1))*K338*VLOOKUP(P338,'Tabelas Auxiliares'!$A$1:$C$400,3,FALSE),0)</f>
        <v>0</v>
      </c>
      <c r="AJ338" s="25">
        <f t="shared" si="2"/>
        <v>1400</v>
      </c>
      <c r="AK338" s="25">
        <f>IFS(
  O338="Acre",((W338*0.15)+(X338*0.7))*VLOOKUP(P338,'MunicípiosEstados'!$A$2:$B$23,2,FALSE),
  O338="Alagoas",((W338*0.15)+(X338*0.7))*VLOOKUP(P338,'MunicípiosEstados'!$C$2:$D$103,2,FALSE),
  O338="Amapá",((W338*0.15)+(X338*0.7))*VLOOKUP(P338,'MunicípiosEstados'!$E$2:$F$17,2,FALSE),
  O338="Amazonas",((W338*0.15)+(X338*0.7))*VLOOKUP(P338,'MunicípiosEstados'!$G$2:$H$63,2,FALSE),
  O338="Bahia",((W338*0.15)+(X338*0.7))*VLOOKUP(P338,'MunicípiosEstados'!$I$2:$J$418,2,FALSE),
  O338="Ceará",((W338*0.15)+(X338*0.7))*VLOOKUP(P338,'MunicípiosEstados'!$K$2:$L$185,2,FALSE),
  O338="Distrito Federal",((W338*0.15)+(X338*0.7))*VLOOKUP(P338,'MunicípiosEstados'!$M$2:$N$2,2,FALSE),
  O338="Espírito Santo",((W338*0.15)+(X338*0.7))*VLOOKUP(P338,'MunicípiosEstados'!$O$2:$P$79,2,FALSE),
  O338="Goiás",((W338*0.15)+(X338*0.7))*VLOOKUP(P338,'MunicípiosEstados'!$Q$2:$R$247,2,FALSE),
  O338="Maranhão",((W338*0.15)+(X338*0.7))*VLOOKUP(P338,'MunicípiosEstados'!$S$2:$T$218,2,FALSE),
  O338="Mato Grosso",((W338*0.15)+(X338*0.7))*VLOOKUP(P338,'MunicípiosEstados'!$U$2:$V$143,2,FALSE),
  O338="Mato Grosso do Sul",((W338*0.15)+(X338*0.7))*VLOOKUP(P338,'MunicípiosEstados'!$W$2:$X$80,2,FALSE),
  O338="Minas Gerais",((W338*0.15)+(X338*0.7))*VLOOKUP(P338,'MunicípiosEstados'!$Y$2:$Z$854,2,FALSE),
  O338="Pará",((W338*0.15)+(X338*0.7))*VLOOKUP(P338,'MunicípiosEstados'!$AA$2:$AB$145,2,FALSE),
  O338="Paraíba",((W338*0.15)+(X338*0.7))*VLOOKUP(P338,'MunicípiosEstados'!$AC$2:$AD$224,2,FALSE),
  O338="Paraná",((W338*0.15)+(X338*0.7))*VLOOKUP(P338,'MunicípiosEstados'!$AE$2:$AF$400,2,FALSE),
  O338="Pernambuco",((W338*0.15)+(X338*0.7))*VLOOKUP(P338,'MunicípiosEstados'!$AG$2:$AH$186,2,FALSE),
  O338="Piauí",((W338*0.15)+(X338*0.7))*VLOOKUP(P338,'MunicípiosEstados'!$AI$2:$AJ$225,2,FALSE),
  O338="Rio Grande do Norte",((W338*0.15)+(X338*0.7))*VLOOKUP(P338,'MunicípiosEstados'!$AK$2:$AL$168,2,FALSE),
  O338="Rio Grande do Sul",((W338*0.15)+(X338*0.7))*VLOOKUP(P338,'MunicípiosEstados'!$AM$2:$AN$498,2,FALSE),
  O338="Rio de Janeiro",((W338*0.15)+(X338*0.7))*VLOOKUP(P338,'MunicípiosEstados'!$AO$2:$AP$93,2,FALSE),
  O338="Rondônia",((W338*0.15)+(X338*0.7))*VLOOKUP(P338,'MunicípiosEstados'!$AQ$2:$AR$53,2,FALSE),
  O338="Roraima",((W338*0.15)+(X338*0.7))*VLOOKUP(P338,'MunicípiosEstados'!$AS$2:$AT$16,2,FALSE),
  O338="Santa Catarina",((W338*0.15)+(X338*0.7))*VLOOKUP(P338,'MunicípiosEstados'!$AU$2:$AV$296,2,FALSE),
  O338="São Paulo",((W338*0.15)+(X338*0.7))*VLOOKUP(P338,'MunicípiosEstados'!$AW$2:$AX$646,2,FALSE),
  O338="Sergipe",((W338*0.15)+(X338*0.7))*VLOOKUP(P338,'MunicípiosEstados'!$AY$2:$AZ$76,2,FALSE),
  O338="Tocantins",((W338*0.15)+(X338*0.7))*VLOOKUP(P338,'MunicípiosEstados'!$BA$2:$BB$140,2,FALSE),
  O338="Exterior",((W338*0.15)+(X338*0.7))*VLOOKUP(P338,'MunicípiosEstados'!$BC$2:$BE$221,3,FALSE),TRUE,0
)
</f>
        <v>11622</v>
      </c>
      <c r="AL338" s="25">
        <f t="shared" si="3"/>
        <v>14522</v>
      </c>
      <c r="AN338" s="31"/>
    </row>
    <row r="339" ht="22.5" hidden="1" customHeight="1">
      <c r="A339" s="15">
        <f t="shared" si="1"/>
        <v>338</v>
      </c>
      <c r="B339" s="16">
        <v>45998.97443379629</v>
      </c>
      <c r="C339" s="17" t="s">
        <v>1380</v>
      </c>
      <c r="D339" s="27" t="s">
        <v>443</v>
      </c>
      <c r="E339" s="15" t="str">
        <f>VLOOKUP(G339,DiretoriaDepart.Coord.!$A$1:$C$72,2,FALSE)</f>
        <v>Extensão Rural</v>
      </c>
      <c r="F339" s="15" t="str">
        <f>VLOOKUP(G339,DiretoriaDepart.Coord.!$A$1:$C$72,3,FALSE)</f>
        <v>Projetos e Cadeias Produtivas</v>
      </c>
      <c r="G339" s="17" t="s">
        <v>1381</v>
      </c>
      <c r="H339" s="15"/>
      <c r="I339" s="17" t="s">
        <v>1691</v>
      </c>
      <c r="J339" s="17" t="s">
        <v>728</v>
      </c>
      <c r="K339" s="17">
        <v>8.0</v>
      </c>
      <c r="L339" s="15"/>
      <c r="M339" s="17" t="s">
        <v>1692</v>
      </c>
      <c r="N339" s="17">
        <v>0.0</v>
      </c>
      <c r="O339" s="17" t="s">
        <v>1606</v>
      </c>
      <c r="P339" s="17" t="s">
        <v>1625</v>
      </c>
      <c r="Q339" s="20">
        <v>45782.333333333336</v>
      </c>
      <c r="R339" s="20">
        <v>45784.708333333336</v>
      </c>
      <c r="S339" s="17" t="s">
        <v>451</v>
      </c>
      <c r="T339" s="17" t="s">
        <v>1000</v>
      </c>
      <c r="U339" s="21" t="s">
        <v>1693</v>
      </c>
      <c r="V339" s="21" t="s">
        <v>1694</v>
      </c>
      <c r="W339" s="22">
        <v>80.0</v>
      </c>
      <c r="X339" s="22">
        <v>40.0</v>
      </c>
      <c r="Y339" s="23">
        <v>4000.0</v>
      </c>
      <c r="Z339" s="23">
        <v>0.0</v>
      </c>
      <c r="AA339" s="24">
        <v>0.0</v>
      </c>
      <c r="AB339" s="24">
        <v>0.0</v>
      </c>
      <c r="AC339" s="24">
        <v>0.0</v>
      </c>
      <c r="AD339" s="23">
        <v>0.0</v>
      </c>
      <c r="AE339" s="24">
        <v>0.0</v>
      </c>
      <c r="AF339" s="17" t="s">
        <v>451</v>
      </c>
      <c r="AG339" s="17">
        <v>3000.0</v>
      </c>
      <c r="AH339" s="17" t="s">
        <v>464</v>
      </c>
      <c r="AI339" s="25">
        <f>IF(AF339="Sim",INT((R339-Q339+1))*K339*VLOOKUP(P339,'Tabelas Auxiliares'!$A$1:$C$400,3,FALSE),0)</f>
        <v>0</v>
      </c>
      <c r="AJ339" s="25">
        <f t="shared" si="2"/>
        <v>2100</v>
      </c>
      <c r="AK339" s="25">
        <f>IFS(
  O339="Acre",((W339*0.15)+(X339*0.7))*VLOOKUP(P339,'MunicípiosEstados'!$A$2:$B$23,2,FALSE),
  O339="Alagoas",((W339*0.15)+(X339*0.7))*VLOOKUP(P339,'MunicípiosEstados'!$C$2:$D$103,2,FALSE),
  O339="Amapá",((W339*0.15)+(X339*0.7))*VLOOKUP(P339,'MunicípiosEstados'!$E$2:$F$17,2,FALSE),
  O339="Amazonas",((W339*0.15)+(X339*0.7))*VLOOKUP(P339,'MunicípiosEstados'!$G$2:$H$63,2,FALSE),
  O339="Bahia",((W339*0.15)+(X339*0.7))*VLOOKUP(P339,'MunicípiosEstados'!$I$2:$J$418,2,FALSE),
  O339="Ceará",((W339*0.15)+(X339*0.7))*VLOOKUP(P339,'MunicípiosEstados'!$K$2:$L$185,2,FALSE),
  O339="Distrito Federal",((W339*0.15)+(X339*0.7))*VLOOKUP(P339,'MunicípiosEstados'!$M$2:$N$2,2,FALSE),
  O339="Espírito Santo",((W339*0.15)+(X339*0.7))*VLOOKUP(P339,'MunicípiosEstados'!$O$2:$P$79,2,FALSE),
  O339="Goiás",((W339*0.15)+(X339*0.7))*VLOOKUP(P339,'MunicípiosEstados'!$Q$2:$R$247,2,FALSE),
  O339="Maranhão",((W339*0.15)+(X339*0.7))*VLOOKUP(P339,'MunicípiosEstados'!$S$2:$T$218,2,FALSE),
  O339="Mato Grosso",((W339*0.15)+(X339*0.7))*VLOOKUP(P339,'MunicípiosEstados'!$U$2:$V$143,2,FALSE),
  O339="Mato Grosso do Sul",((W339*0.15)+(X339*0.7))*VLOOKUP(P339,'MunicípiosEstados'!$W$2:$X$80,2,FALSE),
  O339="Minas Gerais",((W339*0.15)+(X339*0.7))*VLOOKUP(P339,'MunicípiosEstados'!$Y$2:$Z$854,2,FALSE),
  O339="Pará",((W339*0.15)+(X339*0.7))*VLOOKUP(P339,'MunicípiosEstados'!$AA$2:$AB$145,2,FALSE),
  O339="Paraíba",((W339*0.15)+(X339*0.7))*VLOOKUP(P339,'MunicípiosEstados'!$AC$2:$AD$224,2,FALSE),
  O339="Paraná",((W339*0.15)+(X339*0.7))*VLOOKUP(P339,'MunicípiosEstados'!$AE$2:$AF$400,2,FALSE),
  O339="Pernambuco",((W339*0.15)+(X339*0.7))*VLOOKUP(P339,'MunicípiosEstados'!$AG$2:$AH$186,2,FALSE),
  O339="Piauí",((W339*0.15)+(X339*0.7))*VLOOKUP(P339,'MunicípiosEstados'!$AI$2:$AJ$225,2,FALSE),
  O339="Rio Grande do Norte",((W339*0.15)+(X339*0.7))*VLOOKUP(P339,'MunicípiosEstados'!$AK$2:$AL$168,2,FALSE),
  O339="Rio Grande do Sul",((W339*0.15)+(X339*0.7))*VLOOKUP(P339,'MunicípiosEstados'!$AM$2:$AN$498,2,FALSE),
  O339="Rio de Janeiro",((W339*0.15)+(X339*0.7))*VLOOKUP(P339,'MunicípiosEstados'!$AO$2:$AP$93,2,FALSE),
  O339="Rondônia",((W339*0.15)+(X339*0.7))*VLOOKUP(P339,'MunicípiosEstados'!$AQ$2:$AR$53,2,FALSE),
  O339="Roraima",((W339*0.15)+(X339*0.7))*VLOOKUP(P339,'MunicípiosEstados'!$AS$2:$AT$16,2,FALSE),
  O339="Santa Catarina",((W339*0.15)+(X339*0.7))*VLOOKUP(P339,'MunicípiosEstados'!$AU$2:$AV$296,2,FALSE),
  O339="São Paulo",((W339*0.15)+(X339*0.7))*VLOOKUP(P339,'MunicípiosEstados'!$AW$2:$AX$646,2,FALSE),
  O339="Sergipe",((W339*0.15)+(X339*0.7))*VLOOKUP(P339,'MunicípiosEstados'!$AY$2:$AZ$76,2,FALSE),
  O339="Tocantins",((W339*0.15)+(X339*0.7))*VLOOKUP(P339,'MunicípiosEstados'!$BA$2:$BB$140,2,FALSE),
  O339="Exterior",((W339*0.15)+(X339*0.7))*VLOOKUP(P339,'MunicípiosEstados'!$BC$2:$BE$221,3,FALSE),TRUE,0
)
</f>
        <v>11622</v>
      </c>
      <c r="AL339" s="25">
        <f t="shared" si="3"/>
        <v>17722</v>
      </c>
      <c r="AN339" s="31"/>
    </row>
    <row r="340" ht="22.5" hidden="1" customHeight="1">
      <c r="A340" s="15">
        <f t="shared" si="1"/>
        <v>339</v>
      </c>
      <c r="B340" s="16">
        <v>45999.6876968287</v>
      </c>
      <c r="C340" s="17" t="s">
        <v>442</v>
      </c>
      <c r="D340" s="18" t="s">
        <v>443</v>
      </c>
      <c r="E340" s="15" t="str">
        <f>VLOOKUP(G340,DiretoriaDepart.Coord.!$A$1:$C$72,2,FALSE)</f>
        <v>Pesquisa e Inovação</v>
      </c>
      <c r="F340" s="15" t="str">
        <f>VLOOKUP(G340,DiretoriaDepart.Coord.!$A$1:$C$72,3,FALSE)</f>
        <v>Pesquisa e Capacitação</v>
      </c>
      <c r="G340" s="17" t="s">
        <v>444</v>
      </c>
      <c r="H340" s="15"/>
      <c r="I340" s="17" t="s">
        <v>1695</v>
      </c>
      <c r="J340" s="17" t="s">
        <v>849</v>
      </c>
      <c r="K340" s="17">
        <v>1.0</v>
      </c>
      <c r="L340" s="17" t="s">
        <v>1696</v>
      </c>
      <c r="M340" s="17" t="s">
        <v>1697</v>
      </c>
      <c r="N340" s="17">
        <v>150.0</v>
      </c>
      <c r="O340" s="17" t="s">
        <v>1606</v>
      </c>
      <c r="P340" s="17" t="s">
        <v>1698</v>
      </c>
      <c r="Q340" s="20">
        <v>45805.333333333336</v>
      </c>
      <c r="R340" s="20">
        <v>45806.708333333336</v>
      </c>
      <c r="S340" s="17" t="s">
        <v>464</v>
      </c>
      <c r="T340" s="17" t="s">
        <v>452</v>
      </c>
      <c r="U340" s="28" t="s">
        <v>1699</v>
      </c>
      <c r="V340" s="21" t="s">
        <v>1700</v>
      </c>
      <c r="W340" s="22">
        <v>5.0</v>
      </c>
      <c r="X340" s="22">
        <v>2.0</v>
      </c>
      <c r="Y340" s="23">
        <v>3199.0</v>
      </c>
      <c r="Z340" s="23">
        <v>0.0</v>
      </c>
      <c r="AA340" s="24">
        <v>1100.0</v>
      </c>
      <c r="AB340" s="24">
        <v>0.0</v>
      </c>
      <c r="AC340" s="24">
        <v>150.0</v>
      </c>
      <c r="AD340" s="23">
        <v>0.0</v>
      </c>
      <c r="AE340" s="24">
        <v>0.0</v>
      </c>
      <c r="AF340" s="17" t="s">
        <v>451</v>
      </c>
      <c r="AG340" s="17">
        <v>0.0</v>
      </c>
      <c r="AH340" s="17" t="s">
        <v>451</v>
      </c>
      <c r="AI340" s="25">
        <f>IF(AF340="Sim",INT((R340-Q340+1))*K340*VLOOKUP(P340,'Tabelas Auxiliares'!$A$1:$C$400,3,FALSE),0)</f>
        <v>0</v>
      </c>
      <c r="AJ340" s="25">
        <f t="shared" si="2"/>
        <v>0</v>
      </c>
      <c r="AK340" s="25">
        <f>IFS(
  O340="Acre",((W340*0.15)+(X340*0.7))*VLOOKUP(P340,'MunicípiosEstados'!$A$2:$B$23,2,FALSE),
  O340="Alagoas",((W340*0.15)+(X340*0.7))*VLOOKUP(P340,'MunicípiosEstados'!$C$2:$D$103,2,FALSE),
  O340="Amapá",((W340*0.15)+(X340*0.7))*VLOOKUP(P340,'MunicípiosEstados'!$E$2:$F$17,2,FALSE),
  O340="Amazonas",((W340*0.15)+(X340*0.7))*VLOOKUP(P340,'MunicípiosEstados'!$G$2:$H$63,2,FALSE),
  O340="Bahia",((W340*0.15)+(X340*0.7))*VLOOKUP(P340,'MunicípiosEstados'!$I$2:$J$418,2,FALSE),
  O340="Ceará",((W340*0.15)+(X340*0.7))*VLOOKUP(P340,'MunicípiosEstados'!$K$2:$L$185,2,FALSE),
  O340="Distrito Federal",((W340*0.15)+(X340*0.7))*VLOOKUP(P340,'MunicípiosEstados'!$M$2:$N$2,2,FALSE),
  O340="Espírito Santo",((W340*0.15)+(X340*0.7))*VLOOKUP(P340,'MunicípiosEstados'!$O$2:$P$79,2,FALSE),
  O340="Goiás",((W340*0.15)+(X340*0.7))*VLOOKUP(P340,'MunicípiosEstados'!$Q$2:$R$247,2,FALSE),
  O340="Maranhão",((W340*0.15)+(X340*0.7))*VLOOKUP(P340,'MunicípiosEstados'!$S$2:$T$218,2,FALSE),
  O340="Mato Grosso",((W340*0.15)+(X340*0.7))*VLOOKUP(P340,'MunicípiosEstados'!$U$2:$V$143,2,FALSE),
  O340="Mato Grosso do Sul",((W340*0.15)+(X340*0.7))*VLOOKUP(P340,'MunicípiosEstados'!$W$2:$X$80,2,FALSE),
  O340="Minas Gerais",((W340*0.15)+(X340*0.7))*VLOOKUP(P340,'MunicípiosEstados'!$Y$2:$Z$854,2,FALSE),
  O340="Pará",((W340*0.15)+(X340*0.7))*VLOOKUP(P340,'MunicípiosEstados'!$AA$2:$AB$145,2,FALSE),
  O340="Paraíba",((W340*0.15)+(X340*0.7))*VLOOKUP(P340,'MunicípiosEstados'!$AC$2:$AD$224,2,FALSE),
  O340="Paraná",((W340*0.15)+(X340*0.7))*VLOOKUP(P340,'MunicípiosEstados'!$AE$2:$AF$400,2,FALSE),
  O340="Pernambuco",((W340*0.15)+(X340*0.7))*VLOOKUP(P340,'MunicípiosEstados'!$AG$2:$AH$186,2,FALSE),
  O340="Piauí",((W340*0.15)+(X340*0.7))*VLOOKUP(P340,'MunicípiosEstados'!$AI$2:$AJ$225,2,FALSE),
  O340="Rio Grande do Norte",((W340*0.15)+(X340*0.7))*VLOOKUP(P340,'MunicípiosEstados'!$AK$2:$AL$168,2,FALSE),
  O340="Rio Grande do Sul",((W340*0.15)+(X340*0.7))*VLOOKUP(P340,'MunicípiosEstados'!$AM$2:$AN$498,2,FALSE),
  O340="Rio de Janeiro",((W340*0.15)+(X340*0.7))*VLOOKUP(P340,'MunicípiosEstados'!$AO$2:$AP$93,2,FALSE),
  O340="Rondônia",((W340*0.15)+(X340*0.7))*VLOOKUP(P340,'MunicípiosEstados'!$AQ$2:$AR$53,2,FALSE),
  O340="Roraima",((W340*0.15)+(X340*0.7))*VLOOKUP(P340,'MunicípiosEstados'!$AS$2:$AT$16,2,FALSE),
  O340="Santa Catarina",((W340*0.15)+(X340*0.7))*VLOOKUP(P340,'MunicípiosEstados'!$AU$2:$AV$296,2,FALSE),
  O340="São Paulo",((W340*0.15)+(X340*0.7))*VLOOKUP(P340,'MunicípiosEstados'!$AW$2:$AX$646,2,FALSE),
  O340="Sergipe",((W340*0.15)+(X340*0.7))*VLOOKUP(P340,'MunicípiosEstados'!$AY$2:$AZ$76,2,FALSE),
  O340="Tocantins",((W340*0.15)+(X340*0.7))*VLOOKUP(P340,'MunicípiosEstados'!$BA$2:$BB$140,2,FALSE),
  O340="Exterior",((W340*0.15)+(X340*0.7))*VLOOKUP(P340,'MunicípiosEstados'!$BC$2:$BE$221,3,FALSE),TRUE,0
)
</f>
        <v>624.6825</v>
      </c>
      <c r="AL340" s="25">
        <f t="shared" si="3"/>
        <v>5073.6825</v>
      </c>
      <c r="AN340" s="26"/>
    </row>
    <row r="341" ht="22.5" hidden="1" customHeight="1">
      <c r="A341" s="15">
        <f t="shared" si="1"/>
        <v>340</v>
      </c>
      <c r="B341" s="16">
        <v>46045.464130381944</v>
      </c>
      <c r="C341" s="17" t="s">
        <v>1701</v>
      </c>
      <c r="D341" s="49" t="s">
        <v>443</v>
      </c>
      <c r="E341" s="15" t="str">
        <f>VLOOKUP(G341,DiretoriaDepart.Coord.!$A$1:$C$72,2,FALSE)</f>
        <v>Extensão Rural</v>
      </c>
      <c r="F341" s="15" t="str">
        <f>VLOOKUP(G341,DiretoriaDepart.Coord.!$A$1:$C$72,3,FALSE)</f>
        <v>Projetos e Cadeias Produtivas</v>
      </c>
      <c r="G341" s="17" t="s">
        <v>1650</v>
      </c>
      <c r="H341" s="15"/>
      <c r="I341" s="17" t="s">
        <v>1702</v>
      </c>
      <c r="J341" s="17" t="s">
        <v>728</v>
      </c>
      <c r="K341" s="17">
        <v>13.0</v>
      </c>
      <c r="M341" s="17" t="s">
        <v>1703</v>
      </c>
      <c r="N341" s="17">
        <v>0.0</v>
      </c>
      <c r="O341" s="17" t="s">
        <v>714</v>
      </c>
      <c r="P341" s="17" t="s">
        <v>279</v>
      </c>
      <c r="Q341" s="20">
        <v>46140.333333333336</v>
      </c>
      <c r="R341" s="20">
        <v>46141.708333333336</v>
      </c>
      <c r="S341" s="17" t="s">
        <v>451</v>
      </c>
      <c r="T341" s="17" t="s">
        <v>452</v>
      </c>
      <c r="U341" s="28" t="s">
        <v>1704</v>
      </c>
      <c r="V341" s="28" t="s">
        <v>1705</v>
      </c>
      <c r="W341" s="22">
        <v>77.0</v>
      </c>
      <c r="X341" s="22">
        <v>38.0</v>
      </c>
      <c r="Y341" s="23">
        <v>0.0</v>
      </c>
      <c r="Z341" s="23">
        <v>0.0</v>
      </c>
      <c r="AA341" s="24">
        <v>0.0</v>
      </c>
      <c r="AB341" s="24">
        <v>0.0</v>
      </c>
      <c r="AC341" s="24">
        <v>0.0</v>
      </c>
      <c r="AD341" s="23">
        <v>0.0</v>
      </c>
      <c r="AE341" s="24">
        <v>0.0</v>
      </c>
      <c r="AF341" s="28" t="s">
        <v>464</v>
      </c>
      <c r="AG341" s="28">
        <v>6200.0</v>
      </c>
      <c r="AH341" s="28" t="s">
        <v>451</v>
      </c>
      <c r="AI341" s="25">
        <f>IF(AF341="Sim",INT((R341-Q341+1))*K341*VLOOKUP(P341,'Tabelas Auxiliares'!$A$1:$C$400,3,FALSE),0)</f>
        <v>588.64</v>
      </c>
      <c r="AJ341" s="25">
        <f t="shared" si="2"/>
        <v>4340</v>
      </c>
      <c r="AK341" s="25">
        <f>IFS(
  O341="Acre",((W341*0.15)+(X341*0.7))*VLOOKUP(P341,'MunicípiosEstados'!$A$2:$B$23,2,FALSE),
  O341="Alagoas",((W341*0.15)+(X341*0.7))*VLOOKUP(P341,'MunicípiosEstados'!$C$2:$D$103,2,FALSE),
  O341="Amapá",((W341*0.15)+(X341*0.7))*VLOOKUP(P341,'MunicípiosEstados'!$E$2:$F$17,2,FALSE),
  O341="Amazonas",((W341*0.15)+(X341*0.7))*VLOOKUP(P341,'MunicípiosEstados'!$G$2:$H$63,2,FALSE),
  O341="Bahia",((W341*0.15)+(X341*0.7))*VLOOKUP(P341,'MunicípiosEstados'!$I$2:$J$418,2,FALSE),
  O341="Ceará",((W341*0.15)+(X341*0.7))*VLOOKUP(P341,'MunicípiosEstados'!$K$2:$L$185,2,FALSE),
  O341="Distrito Federal",((W341*0.15)+(X341*0.7))*VLOOKUP(P341,'MunicípiosEstados'!$M$2:$N$2,2,FALSE),
  O341="Espírito Santo",((W341*0.15)+(X341*0.7))*VLOOKUP(P341,'MunicípiosEstados'!$O$2:$P$79,2,FALSE),
  O341="Goiás",((W341*0.15)+(X341*0.7))*VLOOKUP(P341,'MunicípiosEstados'!$Q$2:$R$247,2,FALSE),
  O341="Maranhão",((W341*0.15)+(X341*0.7))*VLOOKUP(P341,'MunicípiosEstados'!$S$2:$T$218,2,FALSE),
  O341="Mato Grosso",((W341*0.15)+(X341*0.7))*VLOOKUP(P341,'MunicípiosEstados'!$U$2:$V$143,2,FALSE),
  O341="Mato Grosso do Sul",((W341*0.15)+(X341*0.7))*VLOOKUP(P341,'MunicípiosEstados'!$W$2:$X$80,2,FALSE),
  O341="Minas Gerais",((W341*0.15)+(X341*0.7))*VLOOKUP(P341,'MunicípiosEstados'!$Y$2:$Z$854,2,FALSE),
  O341="Pará",((W341*0.15)+(X341*0.7))*VLOOKUP(P341,'MunicípiosEstados'!$AA$2:$AB$145,2,FALSE),
  O341="Paraíba",((W341*0.15)+(X341*0.7))*VLOOKUP(P341,'MunicípiosEstados'!$AC$2:$AD$224,2,FALSE),
  O341="Paraná",((W341*0.15)+(X341*0.7))*VLOOKUP(P341,'MunicípiosEstados'!$AE$2:$AF$400,2,FALSE),
  O341="Pernambuco",((W341*0.15)+(X341*0.7))*VLOOKUP(P341,'MunicípiosEstados'!$AG$2:$AH$186,2,FALSE),
  O341="Piauí",((W341*0.15)+(X341*0.7))*VLOOKUP(P341,'MunicípiosEstados'!$AI$2:$AJ$225,2,FALSE),
  O341="Rio Grande do Norte",((W341*0.15)+(X341*0.7))*VLOOKUP(P341,'MunicípiosEstados'!$AK$2:$AL$168,2,FALSE),
  O341="Rio Grande do Sul",((W341*0.15)+(X341*0.7))*VLOOKUP(P341,'MunicípiosEstados'!$AM$2:$AN$498,2,FALSE),
  O341="Rio de Janeiro",((W341*0.15)+(X341*0.7))*VLOOKUP(P341,'MunicípiosEstados'!$AO$2:$AP$93,2,FALSE),
  O341="Rondônia",((W341*0.15)+(X341*0.7))*VLOOKUP(P341,'MunicípiosEstados'!$AQ$2:$AR$53,2,FALSE),
  O341="Roraima",((W341*0.15)+(X341*0.7))*VLOOKUP(P341,'MunicípiosEstados'!$AS$2:$AT$16,2,FALSE),
  O341="Santa Catarina",((W341*0.15)+(X341*0.7))*VLOOKUP(P341,'MunicípiosEstados'!$AU$2:$AV$296,2,FALSE),
  O341="São Paulo",((W341*0.15)+(X341*0.7))*VLOOKUP(P341,'MunicípiosEstados'!$AW$2:$AX$646,2,FALSE),
  O341="Sergipe",((W341*0.15)+(X341*0.7))*VLOOKUP(P341,'MunicípiosEstados'!$AY$2:$AZ$76,2,FALSE),
  O341="Tocantins",((W341*0.15)+(X341*0.7))*VLOOKUP(P341,'MunicípiosEstados'!$BA$2:$BB$140,2,FALSE),
  O341="Exterior",((W341*0.15)+(X341*0.7))*VLOOKUP(P341,'MunicípiosEstados'!$BC$2:$BE$221,3,FALSE),TRUE,0
)
</f>
        <v>11084.4825</v>
      </c>
      <c r="AL341" s="25">
        <f t="shared" si="3"/>
        <v>16013.1225</v>
      </c>
    </row>
    <row r="342" ht="22.5" hidden="1" customHeight="1">
      <c r="A342" s="15">
        <f t="shared" si="1"/>
        <v>341</v>
      </c>
      <c r="B342" s="16">
        <v>46045.47203936343</v>
      </c>
      <c r="C342" s="17" t="s">
        <v>1701</v>
      </c>
      <c r="D342" s="49" t="s">
        <v>443</v>
      </c>
      <c r="E342" s="15" t="str">
        <f>VLOOKUP(G342,DiretoriaDepart.Coord.!$A$1:$C$72,2,FALSE)</f>
        <v>Extensão Rural</v>
      </c>
      <c r="F342" s="15" t="str">
        <f>VLOOKUP(G342,DiretoriaDepart.Coord.!$A$1:$C$72,3,FALSE)</f>
        <v>Projetos e Cadeias Produtivas</v>
      </c>
      <c r="G342" s="17" t="s">
        <v>1650</v>
      </c>
      <c r="H342" s="15"/>
      <c r="I342" s="17" t="s">
        <v>1706</v>
      </c>
      <c r="J342" s="17" t="s">
        <v>728</v>
      </c>
      <c r="K342" s="17">
        <v>13.0</v>
      </c>
      <c r="M342" s="17" t="s">
        <v>1707</v>
      </c>
      <c r="N342" s="17">
        <v>0.0</v>
      </c>
      <c r="O342" s="17" t="s">
        <v>714</v>
      </c>
      <c r="P342" s="17" t="s">
        <v>1212</v>
      </c>
      <c r="Q342" s="20">
        <v>46245.333333333336</v>
      </c>
      <c r="R342" s="20">
        <v>46246.708333333336</v>
      </c>
      <c r="S342" s="17" t="s">
        <v>451</v>
      </c>
      <c r="T342" s="17" t="s">
        <v>452</v>
      </c>
      <c r="U342" s="28" t="s">
        <v>1708</v>
      </c>
      <c r="V342" s="28" t="s">
        <v>1709</v>
      </c>
      <c r="W342" s="22">
        <v>77.0</v>
      </c>
      <c r="X342" s="22">
        <v>0.0</v>
      </c>
      <c r="Y342" s="23">
        <v>0.0</v>
      </c>
      <c r="Z342" s="23">
        <v>0.0</v>
      </c>
      <c r="AA342" s="24">
        <v>0.0</v>
      </c>
      <c r="AB342" s="24">
        <v>0.0</v>
      </c>
      <c r="AC342" s="24">
        <v>0.0</v>
      </c>
      <c r="AD342" s="23">
        <v>0.0</v>
      </c>
      <c r="AE342" s="24">
        <v>0.0</v>
      </c>
      <c r="AF342" s="28" t="s">
        <v>451</v>
      </c>
      <c r="AG342" s="28">
        <v>5200.0</v>
      </c>
      <c r="AH342" s="28" t="s">
        <v>451</v>
      </c>
      <c r="AI342" s="25">
        <f>IF(AF342="Sim",INT((R342-Q342+1))*K342*VLOOKUP(P342,'Tabelas Auxiliares'!$A$1:$C$400,3,FALSE),0)</f>
        <v>0</v>
      </c>
      <c r="AJ342" s="25">
        <f t="shared" si="2"/>
        <v>3640</v>
      </c>
      <c r="AK342" s="25">
        <f>IFS(
  O342="Acre",((W342*0.15)+(X342*0.7))*VLOOKUP(P342,'MunicípiosEstados'!$A$2:$B$23,2,FALSE),
  O342="Alagoas",((W342*0.15)+(X342*0.7))*VLOOKUP(P342,'MunicípiosEstados'!$C$2:$D$103,2,FALSE),
  O342="Amapá",((W342*0.15)+(X342*0.7))*VLOOKUP(P342,'MunicípiosEstados'!$E$2:$F$17,2,FALSE),
  O342="Amazonas",((W342*0.15)+(X342*0.7))*VLOOKUP(P342,'MunicípiosEstados'!$G$2:$H$63,2,FALSE),
  O342="Bahia",((W342*0.15)+(X342*0.7))*VLOOKUP(P342,'MunicípiosEstados'!$I$2:$J$418,2,FALSE),
  O342="Ceará",((W342*0.15)+(X342*0.7))*VLOOKUP(P342,'MunicípiosEstados'!$K$2:$L$185,2,FALSE),
  O342="Distrito Federal",((W342*0.15)+(X342*0.7))*VLOOKUP(P342,'MunicípiosEstados'!$M$2:$N$2,2,FALSE),
  O342="Espírito Santo",((W342*0.15)+(X342*0.7))*VLOOKUP(P342,'MunicípiosEstados'!$O$2:$P$79,2,FALSE),
  O342="Goiás",((W342*0.15)+(X342*0.7))*VLOOKUP(P342,'MunicípiosEstados'!$Q$2:$R$247,2,FALSE),
  O342="Maranhão",((W342*0.15)+(X342*0.7))*VLOOKUP(P342,'MunicípiosEstados'!$S$2:$T$218,2,FALSE),
  O342="Mato Grosso",((W342*0.15)+(X342*0.7))*VLOOKUP(P342,'MunicípiosEstados'!$U$2:$V$143,2,FALSE),
  O342="Mato Grosso do Sul",((W342*0.15)+(X342*0.7))*VLOOKUP(P342,'MunicípiosEstados'!$W$2:$X$80,2,FALSE),
  O342="Minas Gerais",((W342*0.15)+(X342*0.7))*VLOOKUP(P342,'MunicípiosEstados'!$Y$2:$Z$854,2,FALSE),
  O342="Pará",((W342*0.15)+(X342*0.7))*VLOOKUP(P342,'MunicípiosEstados'!$AA$2:$AB$145,2,FALSE),
  O342="Paraíba",((W342*0.15)+(X342*0.7))*VLOOKUP(P342,'MunicípiosEstados'!$AC$2:$AD$224,2,FALSE),
  O342="Paraná",((W342*0.15)+(X342*0.7))*VLOOKUP(P342,'MunicípiosEstados'!$AE$2:$AF$400,2,FALSE),
  O342="Pernambuco",((W342*0.15)+(X342*0.7))*VLOOKUP(P342,'MunicípiosEstados'!$AG$2:$AH$186,2,FALSE),
  O342="Piauí",((W342*0.15)+(X342*0.7))*VLOOKUP(P342,'MunicípiosEstados'!$AI$2:$AJ$225,2,FALSE),
  O342="Rio Grande do Norte",((W342*0.15)+(X342*0.7))*VLOOKUP(P342,'MunicípiosEstados'!$AK$2:$AL$168,2,FALSE),
  O342="Rio Grande do Sul",((W342*0.15)+(X342*0.7))*VLOOKUP(P342,'MunicípiosEstados'!$AM$2:$AN$498,2,FALSE),
  O342="Rio de Janeiro",((W342*0.15)+(X342*0.7))*VLOOKUP(P342,'MunicípiosEstados'!$AO$2:$AP$93,2,FALSE),
  O342="Rondônia",((W342*0.15)+(X342*0.7))*VLOOKUP(P342,'MunicípiosEstados'!$AQ$2:$AR$53,2,FALSE),
  O342="Roraima",((W342*0.15)+(X342*0.7))*VLOOKUP(P342,'MunicípiosEstados'!$AS$2:$AT$16,2,FALSE),
  O342="Santa Catarina",((W342*0.15)+(X342*0.7))*VLOOKUP(P342,'MunicípiosEstados'!$AU$2:$AV$296,2,FALSE),
  O342="São Paulo",((W342*0.15)+(X342*0.7))*VLOOKUP(P342,'MunicípiosEstados'!$AW$2:$AX$646,2,FALSE),
  O342="Sergipe",((W342*0.15)+(X342*0.7))*VLOOKUP(P342,'MunicípiosEstados'!$AY$2:$AZ$76,2,FALSE),
  O342="Tocantins",((W342*0.15)+(X342*0.7))*VLOOKUP(P342,'MunicípiosEstados'!$BA$2:$BB$140,2,FALSE),
  O342="Exterior",((W342*0.15)+(X342*0.7))*VLOOKUP(P342,'MunicípiosEstados'!$BC$2:$BE$221,3,FALSE),TRUE,0
)
</f>
        <v>3355.8525</v>
      </c>
      <c r="AL342" s="25">
        <f t="shared" si="3"/>
        <v>6995.8525</v>
      </c>
    </row>
    <row r="343" ht="22.5" hidden="1" customHeight="1">
      <c r="A343" s="50">
        <f t="shared" si="1"/>
        <v>342</v>
      </c>
      <c r="B343" s="51"/>
      <c r="C343" s="12" t="s">
        <v>1710</v>
      </c>
      <c r="D343" s="52" t="s">
        <v>456</v>
      </c>
      <c r="E343" s="12" t="s">
        <v>1711</v>
      </c>
      <c r="F343" s="12" t="s">
        <v>1712</v>
      </c>
      <c r="G343" s="17" t="s">
        <v>537</v>
      </c>
      <c r="H343" s="50"/>
      <c r="I343" s="12" t="s">
        <v>1713</v>
      </c>
      <c r="J343" s="12" t="s">
        <v>490</v>
      </c>
      <c r="K343" s="12">
        <v>1.0</v>
      </c>
      <c r="L343" s="31"/>
      <c r="M343" s="12" t="s">
        <v>1714</v>
      </c>
      <c r="N343" s="12">
        <v>1000.0</v>
      </c>
      <c r="O343" s="12" t="s">
        <v>1558</v>
      </c>
      <c r="P343" s="12" t="s">
        <v>1715</v>
      </c>
      <c r="Q343" s="7">
        <v>46336.0</v>
      </c>
      <c r="R343" s="7">
        <v>46339.0</v>
      </c>
      <c r="S343" s="12" t="s">
        <v>464</v>
      </c>
      <c r="T343" s="12" t="s">
        <v>452</v>
      </c>
      <c r="U343" s="53" t="s">
        <v>1716</v>
      </c>
      <c r="V343" s="53" t="s">
        <v>1717</v>
      </c>
      <c r="W343" s="54">
        <v>10.0</v>
      </c>
      <c r="X343" s="54">
        <v>4.0</v>
      </c>
      <c r="Y343" s="55">
        <v>800.0</v>
      </c>
      <c r="Z343" s="55">
        <v>0.0</v>
      </c>
      <c r="AA343" s="56">
        <v>3200.0</v>
      </c>
      <c r="AB343" s="56">
        <v>0.0</v>
      </c>
      <c r="AC343" s="56">
        <v>300.0</v>
      </c>
      <c r="AD343" s="55">
        <v>0.0</v>
      </c>
      <c r="AE343" s="56">
        <v>0.0</v>
      </c>
      <c r="AF343" s="53"/>
      <c r="AG343" s="53"/>
      <c r="AH343" s="53"/>
      <c r="AI343" s="57">
        <f>IF(AF343="Sim",INT((R343-Q343+1))*K343*VLOOKUP(P343,'Tabelas Auxiliares'!$A$1:$C$400,3,FALSE),0)</f>
        <v>0</v>
      </c>
      <c r="AJ343" s="57">
        <f t="shared" si="2"/>
        <v>0</v>
      </c>
      <c r="AK343" s="57">
        <f>IFS(
  O343="Acre",((W343*0.15)+(X343*0.7))*VLOOKUP(P343,'MunicípiosEstados'!$A$2:$B$23,2,FALSE),
  O343="Alagoas",((W343*0.15)+(X343*0.7))*VLOOKUP(P343,'MunicípiosEstados'!$C$2:$D$103,2,FALSE),
  O343="Amapá",((W343*0.15)+(X343*0.7))*VLOOKUP(P343,'MunicípiosEstados'!$E$2:$F$17,2,FALSE),
  O343="Amazonas",((W343*0.15)+(X343*0.7))*VLOOKUP(P343,'MunicípiosEstados'!$G$2:$H$63,2,FALSE),
  O343="Bahia",((W343*0.15)+(X343*0.7))*VLOOKUP(P343,'MunicípiosEstados'!$I$2:$J$418,2,FALSE),
  O343="Ceará",((W343*0.15)+(X343*0.7))*VLOOKUP(P343,'MunicípiosEstados'!$K$2:$L$185,2,FALSE),
  O343="Distrito Federal",((W343*0.15)+(X343*0.7))*VLOOKUP(P343,'MunicípiosEstados'!$M$2:$N$2,2,FALSE),
  O343="Espírito Santo",((W343*0.15)+(X343*0.7))*VLOOKUP(P343,'MunicípiosEstados'!$O$2:$P$79,2,FALSE),
  O343="Goiás",((W343*0.15)+(X343*0.7))*VLOOKUP(P343,'MunicípiosEstados'!$Q$2:$R$247,2,FALSE),
  O343="Maranhão",((W343*0.15)+(X343*0.7))*VLOOKUP(P343,'MunicípiosEstados'!$S$2:$T$218,2,FALSE),
  O343="Mato Grosso",((W343*0.15)+(X343*0.7))*VLOOKUP(P343,'MunicípiosEstados'!$U$2:$V$143,2,FALSE),
  O343="Mato Grosso do Sul",((W343*0.15)+(X343*0.7))*VLOOKUP(P343,'MunicípiosEstados'!$W$2:$X$80,2,FALSE),
  O343="Minas Gerais",((W343*0.15)+(X343*0.7))*VLOOKUP(P343,'MunicípiosEstados'!$Y$2:$Z$854,2,FALSE),
  O343="Pará",((W343*0.15)+(X343*0.7))*VLOOKUP(P343,'MunicípiosEstados'!$AA$2:$AB$145,2,FALSE),
  O343="Paraíba",((W343*0.15)+(X343*0.7))*VLOOKUP(P343,'MunicípiosEstados'!$AC$2:$AD$224,2,FALSE),
  O343="Paraná",((W343*0.15)+(X343*0.7))*VLOOKUP(P343,'MunicípiosEstados'!$AE$2:$AF$400,2,FALSE),
  O343="Pernambuco",((W343*0.15)+(X343*0.7))*VLOOKUP(P343,'MunicípiosEstados'!$AG$2:$AH$186,2,FALSE),
  O343="Piauí",((W343*0.15)+(X343*0.7))*VLOOKUP(P343,'MunicípiosEstados'!$AI$2:$AJ$225,2,FALSE),
  O343="Rio Grande do Norte",((W343*0.15)+(X343*0.7))*VLOOKUP(P343,'MunicípiosEstados'!$AK$2:$AL$168,2,FALSE),
  O343="Rio Grande do Sul",((W343*0.15)+(X343*0.7))*VLOOKUP(P343,'MunicípiosEstados'!$AM$2:$AN$498,2,FALSE),
  O343="Rio de Janeiro",((W343*0.15)+(X343*0.7))*VLOOKUP(P343,'MunicípiosEstados'!$AO$2:$AP$93,2,FALSE),
  O343="Rondônia",((W343*0.15)+(X343*0.7))*VLOOKUP(P343,'MunicípiosEstados'!$AQ$2:$AR$53,2,FALSE),
  O343="Roraima",((W343*0.15)+(X343*0.7))*VLOOKUP(P343,'MunicípiosEstados'!$AS$2:$AT$16,2,FALSE),
  O343="Santa Catarina",((W343*0.15)+(X343*0.7))*VLOOKUP(P343,'MunicípiosEstados'!$AU$2:$AV$296,2,FALSE),
  O343="São Paulo",((W343*0.15)+(X343*0.7))*VLOOKUP(P343,'MunicípiosEstados'!$AW$2:$AX$646,2,FALSE),
  O343="Sergipe",((W343*0.15)+(X343*0.7))*VLOOKUP(P343,'MunicípiosEstados'!$AY$2:$AZ$76,2,FALSE),
  O343="Tocantins",((W343*0.15)+(X343*0.7))*VLOOKUP(P343,'MunicípiosEstados'!$BA$2:$BB$140,2,FALSE),
  O343="Exterior",((W343*0.15)+(X343*0.7))*VLOOKUP(P343,'MunicípiosEstados'!$BC$2:$BE$221,3,FALSE),TRUE,0
)
</f>
        <v>1596.418</v>
      </c>
      <c r="AL343" s="25">
        <f t="shared" si="3"/>
        <v>5896.418</v>
      </c>
      <c r="AM343" s="31"/>
      <c r="AN343" s="29" t="s">
        <v>456</v>
      </c>
    </row>
    <row r="344">
      <c r="A344" s="14"/>
      <c r="B344" s="14"/>
      <c r="C344" s="14"/>
      <c r="D344" s="14"/>
      <c r="E344" s="14"/>
      <c r="F344" s="14"/>
      <c r="G344" s="14"/>
      <c r="H344" s="14"/>
      <c r="I344" s="14"/>
      <c r="J344" s="14"/>
      <c r="K344" s="14"/>
      <c r="L344" s="14"/>
      <c r="M344" s="14"/>
      <c r="N344" s="14"/>
      <c r="O344" s="14"/>
      <c r="P344" s="14"/>
      <c r="Q344" s="58"/>
      <c r="R344" s="58"/>
      <c r="S344" s="14"/>
      <c r="T344" s="14"/>
      <c r="U344" s="59"/>
      <c r="V344" s="59"/>
      <c r="W344" s="14"/>
      <c r="X344" s="14"/>
      <c r="Y344" s="60"/>
      <c r="Z344" s="60"/>
      <c r="AA344" s="60"/>
      <c r="AB344" s="60"/>
      <c r="AC344" s="60"/>
      <c r="AD344" s="60"/>
      <c r="AE344" s="60"/>
      <c r="AF344" s="14"/>
      <c r="AG344" s="14"/>
      <c r="AH344" s="14"/>
      <c r="AI344" s="14"/>
      <c r="AJ344" s="14"/>
      <c r="AK344" s="14"/>
      <c r="AL344" s="14"/>
      <c r="AM344" s="14"/>
      <c r="AN344" s="61"/>
    </row>
    <row r="345">
      <c r="A345" s="14"/>
      <c r="B345" s="14"/>
      <c r="C345" s="14"/>
      <c r="D345" s="14"/>
      <c r="E345" s="14"/>
      <c r="F345" s="14"/>
      <c r="G345" s="14"/>
      <c r="H345" s="14"/>
      <c r="I345" s="14"/>
      <c r="J345" s="14"/>
      <c r="K345" s="14"/>
      <c r="L345" s="14"/>
      <c r="M345" s="14"/>
      <c r="N345" s="14"/>
      <c r="O345" s="14"/>
      <c r="P345" s="14"/>
      <c r="Q345" s="58"/>
      <c r="R345" s="58"/>
      <c r="S345" s="14"/>
      <c r="T345" s="14"/>
      <c r="U345" s="59"/>
      <c r="V345" s="59"/>
      <c r="W345" s="14"/>
      <c r="X345" s="14"/>
      <c r="Y345" s="60"/>
      <c r="Z345" s="60"/>
      <c r="AA345" s="60"/>
      <c r="AB345" s="60"/>
      <c r="AC345" s="60"/>
      <c r="AD345" s="60"/>
      <c r="AE345" s="60"/>
      <c r="AF345" s="14"/>
      <c r="AG345" s="14"/>
      <c r="AH345" s="14"/>
      <c r="AI345" s="14"/>
      <c r="AJ345" s="14"/>
      <c r="AK345" s="14"/>
      <c r="AL345" s="14"/>
      <c r="AM345" s="14"/>
      <c r="AN345" s="61"/>
    </row>
    <row r="346">
      <c r="A346" s="14"/>
      <c r="B346" s="14"/>
      <c r="C346" s="14"/>
      <c r="D346" s="14"/>
      <c r="E346" s="14"/>
      <c r="F346" s="14"/>
      <c r="G346" s="14"/>
      <c r="H346" s="14"/>
      <c r="I346" s="14"/>
      <c r="J346" s="14"/>
      <c r="K346" s="14"/>
      <c r="L346" s="14"/>
      <c r="M346" s="14"/>
      <c r="N346" s="14"/>
      <c r="O346" s="14"/>
      <c r="P346" s="14"/>
      <c r="Q346" s="58"/>
      <c r="R346" s="58"/>
      <c r="S346" s="14"/>
      <c r="T346" s="14"/>
      <c r="U346" s="59"/>
      <c r="V346" s="59"/>
      <c r="W346" s="14"/>
      <c r="X346" s="14"/>
      <c r="Y346" s="60"/>
      <c r="Z346" s="60"/>
      <c r="AA346" s="60"/>
      <c r="AB346" s="60"/>
      <c r="AC346" s="60"/>
      <c r="AD346" s="60"/>
      <c r="AE346" s="60"/>
      <c r="AF346" s="14"/>
      <c r="AG346" s="14"/>
      <c r="AH346" s="14"/>
      <c r="AI346" s="14"/>
      <c r="AJ346" s="14"/>
      <c r="AK346" s="14"/>
      <c r="AL346" s="14"/>
      <c r="AM346" s="14"/>
      <c r="AN346" s="61"/>
    </row>
    <row r="347">
      <c r="A347" s="14"/>
      <c r="B347" s="14"/>
      <c r="C347" s="14"/>
      <c r="D347" s="14"/>
      <c r="E347" s="14"/>
      <c r="F347" s="14"/>
      <c r="G347" s="14"/>
      <c r="H347" s="14"/>
      <c r="I347" s="14"/>
      <c r="J347" s="14"/>
      <c r="K347" s="14"/>
      <c r="L347" s="14"/>
      <c r="M347" s="14"/>
      <c r="N347" s="14"/>
      <c r="O347" s="14"/>
      <c r="P347" s="14"/>
      <c r="Q347" s="58"/>
      <c r="R347" s="58"/>
      <c r="S347" s="14"/>
      <c r="T347" s="14"/>
      <c r="U347" s="59"/>
      <c r="V347" s="59"/>
      <c r="W347" s="14"/>
      <c r="X347" s="14"/>
      <c r="Y347" s="60"/>
      <c r="Z347" s="60"/>
      <c r="AA347" s="60"/>
      <c r="AB347" s="60"/>
      <c r="AC347" s="60"/>
      <c r="AD347" s="60"/>
      <c r="AE347" s="60"/>
      <c r="AF347" s="14"/>
      <c r="AG347" s="14"/>
      <c r="AH347" s="14"/>
      <c r="AI347" s="14"/>
      <c r="AJ347" s="14"/>
      <c r="AK347" s="14"/>
      <c r="AL347" s="14"/>
      <c r="AM347" s="14"/>
      <c r="AN347" s="61"/>
    </row>
    <row r="348">
      <c r="A348" s="14"/>
      <c r="B348" s="14"/>
      <c r="C348" s="14"/>
      <c r="D348" s="14"/>
      <c r="E348" s="14"/>
      <c r="F348" s="14"/>
      <c r="G348" s="14"/>
      <c r="H348" s="14"/>
      <c r="I348" s="14"/>
      <c r="J348" s="14"/>
      <c r="K348" s="14"/>
      <c r="L348" s="14"/>
      <c r="M348" s="14"/>
      <c r="N348" s="14"/>
      <c r="O348" s="14"/>
      <c r="P348" s="14"/>
      <c r="Q348" s="58"/>
      <c r="R348" s="58"/>
      <c r="S348" s="14"/>
      <c r="T348" s="14"/>
      <c r="U348" s="59"/>
      <c r="V348" s="59"/>
      <c r="W348" s="14"/>
      <c r="X348" s="14"/>
      <c r="Y348" s="60"/>
      <c r="Z348" s="60"/>
      <c r="AA348" s="60"/>
      <c r="AB348" s="60"/>
      <c r="AC348" s="60"/>
      <c r="AD348" s="60"/>
      <c r="AE348" s="60"/>
      <c r="AF348" s="14"/>
      <c r="AG348" s="14"/>
      <c r="AH348" s="14"/>
      <c r="AI348" s="14"/>
      <c r="AJ348" s="14"/>
      <c r="AK348" s="14"/>
      <c r="AL348" s="14"/>
      <c r="AM348" s="14"/>
      <c r="AN348" s="61"/>
    </row>
    <row r="349">
      <c r="A349" s="14"/>
      <c r="B349" s="14"/>
      <c r="C349" s="14"/>
      <c r="D349" s="14"/>
      <c r="E349" s="14"/>
      <c r="F349" s="14"/>
      <c r="G349" s="14"/>
      <c r="H349" s="14"/>
      <c r="I349" s="14"/>
      <c r="J349" s="14"/>
      <c r="K349" s="14"/>
      <c r="L349" s="14"/>
      <c r="M349" s="14"/>
      <c r="N349" s="14"/>
      <c r="O349" s="14"/>
      <c r="P349" s="14"/>
      <c r="Q349" s="58"/>
      <c r="R349" s="58"/>
      <c r="S349" s="14"/>
      <c r="T349" s="14"/>
      <c r="U349" s="59"/>
      <c r="V349" s="59"/>
      <c r="W349" s="14"/>
      <c r="X349" s="14"/>
      <c r="Y349" s="60"/>
      <c r="Z349" s="60"/>
      <c r="AA349" s="60"/>
      <c r="AB349" s="60"/>
      <c r="AC349" s="60"/>
      <c r="AD349" s="60"/>
      <c r="AE349" s="60"/>
      <c r="AF349" s="14"/>
      <c r="AG349" s="14"/>
      <c r="AH349" s="14"/>
      <c r="AI349" s="14"/>
      <c r="AJ349" s="14"/>
      <c r="AK349" s="14"/>
      <c r="AL349" s="14"/>
      <c r="AM349" s="14"/>
      <c r="AN349" s="61"/>
    </row>
    <row r="350">
      <c r="A350" s="14"/>
      <c r="B350" s="14"/>
      <c r="C350" s="14"/>
      <c r="D350" s="14"/>
      <c r="E350" s="14"/>
      <c r="F350" s="14"/>
      <c r="G350" s="14"/>
      <c r="H350" s="14"/>
      <c r="I350" s="14"/>
      <c r="J350" s="14"/>
      <c r="K350" s="14"/>
      <c r="L350" s="14"/>
      <c r="M350" s="14"/>
      <c r="N350" s="14"/>
      <c r="O350" s="14"/>
      <c r="P350" s="14"/>
      <c r="Q350" s="58"/>
      <c r="R350" s="58"/>
      <c r="S350" s="14"/>
      <c r="T350" s="62"/>
      <c r="U350" s="59"/>
      <c r="V350" s="59"/>
      <c r="W350" s="14"/>
      <c r="X350" s="14"/>
      <c r="Y350" s="60"/>
      <c r="Z350" s="60"/>
      <c r="AA350" s="60"/>
      <c r="AB350" s="60"/>
      <c r="AC350" s="60"/>
      <c r="AD350" s="60"/>
      <c r="AE350" s="60"/>
      <c r="AF350" s="14"/>
      <c r="AG350" s="14"/>
      <c r="AH350" s="14"/>
      <c r="AI350" s="14"/>
      <c r="AJ350" s="14"/>
      <c r="AK350" s="14"/>
      <c r="AL350" s="14"/>
      <c r="AM350" s="14"/>
      <c r="AN350" s="61"/>
    </row>
    <row r="351">
      <c r="A351" s="14"/>
      <c r="B351" s="14"/>
      <c r="C351" s="14"/>
      <c r="D351" s="14"/>
      <c r="E351" s="14"/>
      <c r="F351" s="14"/>
      <c r="G351" s="14"/>
      <c r="H351" s="14"/>
      <c r="I351" s="14"/>
      <c r="J351" s="14"/>
      <c r="K351" s="14"/>
      <c r="L351" s="14"/>
      <c r="M351" s="14"/>
      <c r="N351" s="14"/>
      <c r="O351" s="14"/>
      <c r="P351" s="14"/>
      <c r="Q351" s="58"/>
      <c r="R351" s="58"/>
      <c r="S351" s="14"/>
      <c r="T351" s="14"/>
      <c r="U351" s="59"/>
      <c r="V351" s="59"/>
      <c r="W351" s="14"/>
      <c r="X351" s="14"/>
      <c r="Y351" s="60"/>
      <c r="Z351" s="60"/>
      <c r="AA351" s="60"/>
      <c r="AB351" s="60"/>
      <c r="AC351" s="60"/>
      <c r="AD351" s="60"/>
      <c r="AE351" s="60"/>
      <c r="AF351" s="14"/>
      <c r="AG351" s="14"/>
      <c r="AH351" s="14"/>
      <c r="AI351" s="14"/>
      <c r="AJ351" s="14"/>
      <c r="AK351" s="14"/>
      <c r="AL351" s="14"/>
      <c r="AM351" s="14"/>
      <c r="AN351" s="61"/>
    </row>
    <row r="352">
      <c r="A352" s="14"/>
      <c r="B352" s="14"/>
      <c r="C352" s="14"/>
      <c r="D352" s="14"/>
      <c r="E352" s="14"/>
      <c r="F352" s="14"/>
      <c r="G352" s="14"/>
      <c r="H352" s="14"/>
      <c r="I352" s="14"/>
      <c r="J352" s="14"/>
      <c r="K352" s="14"/>
      <c r="L352" s="14"/>
      <c r="M352" s="14"/>
      <c r="N352" s="14"/>
      <c r="O352" s="14"/>
      <c r="P352" s="14"/>
      <c r="Q352" s="58"/>
      <c r="R352" s="58"/>
      <c r="S352" s="14"/>
      <c r="T352" s="14"/>
      <c r="U352" s="59"/>
      <c r="V352" s="59"/>
      <c r="W352" s="14"/>
      <c r="X352" s="14"/>
      <c r="Y352" s="60"/>
      <c r="Z352" s="60"/>
      <c r="AA352" s="60"/>
      <c r="AB352" s="60"/>
      <c r="AC352" s="60"/>
      <c r="AD352" s="60"/>
      <c r="AE352" s="60"/>
      <c r="AF352" s="14"/>
      <c r="AG352" s="14"/>
      <c r="AH352" s="14"/>
      <c r="AI352" s="14"/>
      <c r="AJ352" s="14"/>
      <c r="AK352" s="14"/>
      <c r="AL352" s="14"/>
      <c r="AM352" s="14"/>
      <c r="AN352" s="61"/>
    </row>
    <row r="353">
      <c r="A353" s="14"/>
      <c r="B353" s="14"/>
      <c r="C353" s="14"/>
      <c r="D353" s="14"/>
      <c r="E353" s="14"/>
      <c r="F353" s="14"/>
      <c r="G353" s="14"/>
      <c r="H353" s="14"/>
      <c r="I353" s="14"/>
      <c r="J353" s="14"/>
      <c r="K353" s="14"/>
      <c r="L353" s="14"/>
      <c r="M353" s="14"/>
      <c r="N353" s="14"/>
      <c r="O353" s="14"/>
      <c r="P353" s="14"/>
      <c r="Q353" s="58"/>
      <c r="R353" s="58"/>
      <c r="S353" s="14"/>
      <c r="T353" s="14"/>
      <c r="U353" s="59"/>
      <c r="V353" s="59"/>
      <c r="W353" s="14"/>
      <c r="X353" s="14"/>
      <c r="Y353" s="60"/>
      <c r="Z353" s="60"/>
      <c r="AA353" s="60"/>
      <c r="AB353" s="60"/>
      <c r="AC353" s="60"/>
      <c r="AD353" s="60"/>
      <c r="AE353" s="60"/>
      <c r="AF353" s="14"/>
      <c r="AG353" s="14"/>
      <c r="AH353" s="14"/>
      <c r="AI353" s="14"/>
      <c r="AJ353" s="14"/>
      <c r="AK353" s="14"/>
      <c r="AL353" s="14"/>
      <c r="AM353" s="14"/>
      <c r="AN353" s="61"/>
    </row>
    <row r="354">
      <c r="A354" s="14"/>
      <c r="B354" s="14"/>
      <c r="C354" s="14"/>
      <c r="D354" s="14"/>
      <c r="E354" s="14"/>
      <c r="F354" s="14"/>
      <c r="G354" s="14"/>
      <c r="H354" s="14"/>
      <c r="I354" s="14"/>
      <c r="J354" s="14"/>
      <c r="K354" s="14"/>
      <c r="L354" s="14"/>
      <c r="M354" s="14"/>
      <c r="N354" s="14"/>
      <c r="O354" s="14"/>
      <c r="P354" s="14"/>
      <c r="Q354" s="58"/>
      <c r="R354" s="58"/>
      <c r="S354" s="14"/>
      <c r="T354" s="14"/>
      <c r="U354" s="59"/>
      <c r="V354" s="59"/>
      <c r="W354" s="14"/>
      <c r="X354" s="14"/>
      <c r="Y354" s="60"/>
      <c r="Z354" s="60"/>
      <c r="AA354" s="60"/>
      <c r="AB354" s="60"/>
      <c r="AC354" s="60"/>
      <c r="AD354" s="60"/>
      <c r="AE354" s="60"/>
      <c r="AF354" s="14"/>
      <c r="AG354" s="14"/>
      <c r="AH354" s="14"/>
      <c r="AI354" s="14"/>
      <c r="AJ354" s="14"/>
      <c r="AK354" s="14"/>
      <c r="AL354" s="14"/>
      <c r="AM354" s="14"/>
      <c r="AN354" s="61"/>
    </row>
    <row r="355">
      <c r="A355" s="14"/>
      <c r="B355" s="14"/>
      <c r="C355" s="14"/>
      <c r="D355" s="14"/>
      <c r="E355" s="14"/>
      <c r="F355" s="14"/>
      <c r="G355" s="14"/>
      <c r="H355" s="14"/>
      <c r="I355" s="14"/>
      <c r="J355" s="14"/>
      <c r="K355" s="14"/>
      <c r="L355" s="14"/>
      <c r="M355" s="14"/>
      <c r="N355" s="14"/>
      <c r="O355" s="14"/>
      <c r="P355" s="14"/>
      <c r="Q355" s="58"/>
      <c r="R355" s="58"/>
      <c r="S355" s="14"/>
      <c r="T355" s="14"/>
      <c r="U355" s="59"/>
      <c r="V355" s="59"/>
      <c r="W355" s="14"/>
      <c r="X355" s="14"/>
      <c r="Y355" s="60"/>
      <c r="Z355" s="60"/>
      <c r="AA355" s="60"/>
      <c r="AB355" s="60"/>
      <c r="AC355" s="60"/>
      <c r="AD355" s="60"/>
      <c r="AE355" s="60"/>
      <c r="AF355" s="14"/>
      <c r="AG355" s="14"/>
      <c r="AH355" s="14"/>
      <c r="AI355" s="14"/>
      <c r="AJ355" s="14"/>
      <c r="AK355" s="14"/>
      <c r="AL355" s="14"/>
      <c r="AM355" s="14"/>
      <c r="AN355" s="61"/>
    </row>
    <row r="356">
      <c r="A356" s="14"/>
      <c r="B356" s="14"/>
      <c r="C356" s="14"/>
      <c r="D356" s="14"/>
      <c r="E356" s="14"/>
      <c r="F356" s="14"/>
      <c r="G356" s="14"/>
      <c r="H356" s="14"/>
      <c r="I356" s="14"/>
      <c r="J356" s="14"/>
      <c r="K356" s="14"/>
      <c r="L356" s="14"/>
      <c r="M356" s="14"/>
      <c r="N356" s="14"/>
      <c r="O356" s="14"/>
      <c r="P356" s="14"/>
      <c r="Q356" s="58"/>
      <c r="R356" s="58"/>
      <c r="S356" s="14"/>
      <c r="T356" s="14"/>
      <c r="U356" s="59"/>
      <c r="V356" s="59"/>
      <c r="W356" s="14"/>
      <c r="X356" s="14"/>
      <c r="Y356" s="60"/>
      <c r="Z356" s="60"/>
      <c r="AA356" s="60"/>
      <c r="AB356" s="60"/>
      <c r="AC356" s="60"/>
      <c r="AD356" s="60"/>
      <c r="AE356" s="60"/>
      <c r="AF356" s="14"/>
      <c r="AG356" s="14"/>
      <c r="AH356" s="14"/>
      <c r="AI356" s="14"/>
      <c r="AJ356" s="14"/>
      <c r="AK356" s="14"/>
      <c r="AL356" s="14"/>
      <c r="AM356" s="14"/>
      <c r="AN356" s="61"/>
    </row>
    <row r="357">
      <c r="A357" s="14"/>
      <c r="B357" s="14"/>
      <c r="C357" s="14"/>
      <c r="D357" s="14"/>
      <c r="E357" s="14"/>
      <c r="F357" s="14"/>
      <c r="G357" s="14"/>
      <c r="H357" s="14"/>
      <c r="I357" s="14"/>
      <c r="J357" s="14"/>
      <c r="K357" s="14"/>
      <c r="L357" s="14"/>
      <c r="M357" s="14"/>
      <c r="N357" s="14"/>
      <c r="O357" s="14"/>
      <c r="P357" s="14"/>
      <c r="Q357" s="58"/>
      <c r="R357" s="58"/>
      <c r="S357" s="14"/>
      <c r="T357" s="14"/>
      <c r="U357" s="59"/>
      <c r="V357" s="59"/>
      <c r="W357" s="14"/>
      <c r="X357" s="14"/>
      <c r="Y357" s="60"/>
      <c r="Z357" s="60"/>
      <c r="AA357" s="60"/>
      <c r="AB357" s="60"/>
      <c r="AC357" s="60"/>
      <c r="AD357" s="60"/>
      <c r="AE357" s="60"/>
      <c r="AF357" s="14"/>
      <c r="AG357" s="14"/>
      <c r="AH357" s="14"/>
      <c r="AI357" s="14"/>
      <c r="AJ357" s="14"/>
      <c r="AK357" s="14"/>
      <c r="AL357" s="14"/>
      <c r="AM357" s="14"/>
      <c r="AN357" s="61"/>
    </row>
    <row r="358">
      <c r="A358" s="14"/>
      <c r="B358" s="14"/>
      <c r="C358" s="14"/>
      <c r="D358" s="14"/>
      <c r="E358" s="14"/>
      <c r="F358" s="14"/>
      <c r="G358" s="14"/>
      <c r="H358" s="14"/>
      <c r="I358" s="14"/>
      <c r="J358" s="14"/>
      <c r="K358" s="14"/>
      <c r="L358" s="14"/>
      <c r="M358" s="14"/>
      <c r="N358" s="14"/>
      <c r="O358" s="14"/>
      <c r="P358" s="14"/>
      <c r="Q358" s="58"/>
      <c r="R358" s="58"/>
      <c r="S358" s="14"/>
      <c r="T358" s="14"/>
      <c r="U358" s="59"/>
      <c r="V358" s="59"/>
      <c r="W358" s="14"/>
      <c r="X358" s="14"/>
      <c r="Y358" s="60"/>
      <c r="Z358" s="60"/>
      <c r="AA358" s="60"/>
      <c r="AB358" s="60"/>
      <c r="AC358" s="60"/>
      <c r="AD358" s="60"/>
      <c r="AE358" s="60"/>
      <c r="AF358" s="14"/>
      <c r="AG358" s="14"/>
      <c r="AH358" s="14"/>
      <c r="AI358" s="14"/>
      <c r="AJ358" s="14"/>
      <c r="AK358" s="14"/>
      <c r="AL358" s="14"/>
      <c r="AM358" s="14"/>
      <c r="AN358" s="61"/>
    </row>
    <row r="359">
      <c r="A359" s="14"/>
      <c r="B359" s="14"/>
      <c r="C359" s="14"/>
      <c r="D359" s="14"/>
      <c r="E359" s="14"/>
      <c r="F359" s="14"/>
      <c r="G359" s="14"/>
      <c r="H359" s="14"/>
      <c r="I359" s="14"/>
      <c r="J359" s="14"/>
      <c r="K359" s="14"/>
      <c r="L359" s="14"/>
      <c r="M359" s="14"/>
      <c r="N359" s="14"/>
      <c r="O359" s="14"/>
      <c r="P359" s="14"/>
      <c r="Q359" s="58"/>
      <c r="R359" s="58"/>
      <c r="S359" s="14"/>
      <c r="T359" s="14"/>
      <c r="U359" s="59"/>
      <c r="V359" s="59"/>
      <c r="W359" s="14"/>
      <c r="X359" s="14"/>
      <c r="Y359" s="60"/>
      <c r="Z359" s="60"/>
      <c r="AA359" s="60"/>
      <c r="AB359" s="60"/>
      <c r="AC359" s="60"/>
      <c r="AD359" s="60"/>
      <c r="AE359" s="60"/>
      <c r="AF359" s="14"/>
      <c r="AG359" s="14"/>
      <c r="AH359" s="14"/>
      <c r="AI359" s="14"/>
      <c r="AJ359" s="14"/>
      <c r="AK359" s="14"/>
      <c r="AL359" s="14"/>
      <c r="AM359" s="14"/>
      <c r="AN359" s="61"/>
    </row>
    <row r="360">
      <c r="A360" s="14"/>
      <c r="B360" s="14"/>
      <c r="C360" s="14"/>
      <c r="D360" s="14"/>
      <c r="E360" s="14"/>
      <c r="F360" s="14"/>
      <c r="G360" s="14"/>
      <c r="H360" s="14"/>
      <c r="I360" s="14"/>
      <c r="J360" s="14"/>
      <c r="K360" s="14"/>
      <c r="L360" s="14"/>
      <c r="M360" s="14"/>
      <c r="N360" s="14"/>
      <c r="O360" s="14"/>
      <c r="P360" s="14"/>
      <c r="Q360" s="58"/>
      <c r="R360" s="58"/>
      <c r="S360" s="14"/>
      <c r="T360" s="14"/>
      <c r="U360" s="59"/>
      <c r="V360" s="59"/>
      <c r="W360" s="14"/>
      <c r="X360" s="14"/>
      <c r="Y360" s="60"/>
      <c r="Z360" s="60"/>
      <c r="AA360" s="60"/>
      <c r="AB360" s="60"/>
      <c r="AC360" s="60"/>
      <c r="AD360" s="60"/>
      <c r="AE360" s="60"/>
      <c r="AF360" s="14"/>
      <c r="AG360" s="14"/>
      <c r="AH360" s="14"/>
      <c r="AI360" s="14"/>
      <c r="AJ360" s="14"/>
      <c r="AK360" s="14"/>
      <c r="AL360" s="14"/>
      <c r="AM360" s="14"/>
      <c r="AN360" s="61"/>
    </row>
    <row r="361">
      <c r="A361" s="14"/>
      <c r="B361" s="14"/>
      <c r="C361" s="14"/>
      <c r="D361" s="14"/>
      <c r="E361" s="14"/>
      <c r="F361" s="14"/>
      <c r="G361" s="14"/>
      <c r="H361" s="14"/>
      <c r="I361" s="14"/>
      <c r="J361" s="14"/>
      <c r="K361" s="14"/>
      <c r="L361" s="14"/>
      <c r="M361" s="14"/>
      <c r="N361" s="14"/>
      <c r="O361" s="14"/>
      <c r="P361" s="14"/>
      <c r="Q361" s="58"/>
      <c r="R361" s="58"/>
      <c r="S361" s="14"/>
      <c r="T361" s="14"/>
      <c r="U361" s="59"/>
      <c r="V361" s="59"/>
      <c r="W361" s="14"/>
      <c r="X361" s="14"/>
      <c r="Y361" s="60"/>
      <c r="Z361" s="60"/>
      <c r="AA361" s="60"/>
      <c r="AB361" s="60"/>
      <c r="AC361" s="60"/>
      <c r="AD361" s="60"/>
      <c r="AE361" s="60"/>
      <c r="AF361" s="14"/>
      <c r="AG361" s="14"/>
      <c r="AH361" s="14"/>
      <c r="AI361" s="14"/>
      <c r="AJ361" s="14"/>
      <c r="AK361" s="14"/>
      <c r="AL361" s="14"/>
      <c r="AM361" s="14"/>
      <c r="AN361" s="61"/>
    </row>
    <row r="362">
      <c r="A362" s="14"/>
      <c r="B362" s="14"/>
      <c r="C362" s="14"/>
      <c r="D362" s="14"/>
      <c r="E362" s="14"/>
      <c r="F362" s="14"/>
      <c r="G362" s="14"/>
      <c r="H362" s="14"/>
      <c r="I362" s="14"/>
      <c r="J362" s="14"/>
      <c r="K362" s="14"/>
      <c r="L362" s="14"/>
      <c r="M362" s="14"/>
      <c r="N362" s="14"/>
      <c r="O362" s="14"/>
      <c r="P362" s="14"/>
      <c r="Q362" s="58"/>
      <c r="R362" s="58"/>
      <c r="S362" s="14"/>
      <c r="T362" s="14"/>
      <c r="U362" s="59"/>
      <c r="V362" s="59"/>
      <c r="W362" s="14"/>
      <c r="X362" s="14"/>
      <c r="Y362" s="60"/>
      <c r="Z362" s="60"/>
      <c r="AA362" s="60"/>
      <c r="AB362" s="60"/>
      <c r="AC362" s="60"/>
      <c r="AD362" s="60"/>
      <c r="AE362" s="60"/>
      <c r="AF362" s="14"/>
      <c r="AG362" s="14"/>
      <c r="AH362" s="14"/>
      <c r="AI362" s="14"/>
      <c r="AJ362" s="14"/>
      <c r="AK362" s="14"/>
      <c r="AL362" s="14"/>
      <c r="AM362" s="14"/>
      <c r="AN362" s="61"/>
    </row>
    <row r="363">
      <c r="A363" s="14"/>
      <c r="B363" s="14"/>
      <c r="C363" s="14"/>
      <c r="D363" s="14"/>
      <c r="E363" s="14"/>
      <c r="F363" s="14"/>
      <c r="G363" s="14"/>
      <c r="H363" s="14"/>
      <c r="I363" s="14"/>
      <c r="J363" s="14"/>
      <c r="K363" s="14"/>
      <c r="L363" s="14"/>
      <c r="M363" s="14"/>
      <c r="N363" s="14"/>
      <c r="O363" s="14"/>
      <c r="P363" s="14"/>
      <c r="Q363" s="58"/>
      <c r="R363" s="58"/>
      <c r="S363" s="14"/>
      <c r="T363" s="14"/>
      <c r="U363" s="59"/>
      <c r="V363" s="59"/>
      <c r="W363" s="14"/>
      <c r="X363" s="14"/>
      <c r="Y363" s="60"/>
      <c r="Z363" s="60"/>
      <c r="AA363" s="60"/>
      <c r="AB363" s="60"/>
      <c r="AC363" s="60"/>
      <c r="AD363" s="60"/>
      <c r="AE363" s="60"/>
      <c r="AF363" s="14"/>
      <c r="AG363" s="14"/>
      <c r="AH363" s="14"/>
      <c r="AI363" s="14"/>
      <c r="AJ363" s="14"/>
      <c r="AK363" s="14"/>
      <c r="AL363" s="14"/>
      <c r="AM363" s="14"/>
      <c r="AN363" s="61"/>
    </row>
    <row r="364">
      <c r="A364" s="14"/>
      <c r="B364" s="14"/>
      <c r="C364" s="14"/>
      <c r="D364" s="14"/>
      <c r="E364" s="14"/>
      <c r="F364" s="14"/>
      <c r="G364" s="14"/>
      <c r="H364" s="14"/>
      <c r="I364" s="14"/>
      <c r="J364" s="14"/>
      <c r="K364" s="14"/>
      <c r="L364" s="14"/>
      <c r="M364" s="14"/>
      <c r="N364" s="14"/>
      <c r="O364" s="14"/>
      <c r="P364" s="14"/>
      <c r="Q364" s="58"/>
      <c r="R364" s="58"/>
      <c r="S364" s="14"/>
      <c r="T364" s="14"/>
      <c r="U364" s="59"/>
      <c r="V364" s="59"/>
      <c r="W364" s="14"/>
      <c r="X364" s="14"/>
      <c r="Y364" s="60"/>
      <c r="Z364" s="60"/>
      <c r="AA364" s="60"/>
      <c r="AB364" s="60"/>
      <c r="AC364" s="60"/>
      <c r="AD364" s="60"/>
      <c r="AE364" s="60"/>
      <c r="AF364" s="14"/>
      <c r="AG364" s="14"/>
      <c r="AH364" s="14"/>
      <c r="AI364" s="14"/>
      <c r="AJ364" s="14"/>
      <c r="AK364" s="14"/>
      <c r="AL364" s="14"/>
      <c r="AM364" s="14"/>
      <c r="AN364" s="61"/>
    </row>
    <row r="365">
      <c r="A365" s="14"/>
      <c r="B365" s="14"/>
      <c r="C365" s="14"/>
      <c r="D365" s="14"/>
      <c r="E365" s="14"/>
      <c r="F365" s="14"/>
      <c r="G365" s="14"/>
      <c r="H365" s="14"/>
      <c r="I365" s="14"/>
      <c r="J365" s="14"/>
      <c r="K365" s="14"/>
      <c r="L365" s="14"/>
      <c r="M365" s="14"/>
      <c r="N365" s="14"/>
      <c r="O365" s="14"/>
      <c r="P365" s="14"/>
      <c r="Q365" s="58"/>
      <c r="R365" s="58"/>
      <c r="S365" s="14"/>
      <c r="T365" s="14"/>
      <c r="U365" s="59"/>
      <c r="V365" s="59"/>
      <c r="W365" s="14"/>
      <c r="X365" s="14"/>
      <c r="Y365" s="60"/>
      <c r="Z365" s="60"/>
      <c r="AA365" s="60"/>
      <c r="AB365" s="60"/>
      <c r="AC365" s="60"/>
      <c r="AD365" s="60"/>
      <c r="AE365" s="60"/>
      <c r="AF365" s="14"/>
      <c r="AG365" s="14"/>
      <c r="AH365" s="14"/>
      <c r="AI365" s="14"/>
      <c r="AJ365" s="14"/>
      <c r="AK365" s="14"/>
      <c r="AL365" s="14"/>
      <c r="AM365" s="14"/>
      <c r="AN365" s="61"/>
    </row>
    <row r="366">
      <c r="A366" s="14"/>
      <c r="B366" s="14"/>
      <c r="C366" s="14"/>
      <c r="D366" s="14"/>
      <c r="E366" s="14"/>
      <c r="F366" s="14"/>
      <c r="G366" s="14"/>
      <c r="H366" s="14"/>
      <c r="I366" s="14"/>
      <c r="J366" s="14"/>
      <c r="K366" s="14"/>
      <c r="L366" s="14"/>
      <c r="M366" s="14"/>
      <c r="N366" s="14"/>
      <c r="O366" s="14"/>
      <c r="P366" s="14"/>
      <c r="Q366" s="58"/>
      <c r="R366" s="58"/>
      <c r="S366" s="14"/>
      <c r="T366" s="14"/>
      <c r="U366" s="59"/>
      <c r="V366" s="59"/>
      <c r="W366" s="14"/>
      <c r="X366" s="14"/>
      <c r="Y366" s="60"/>
      <c r="Z366" s="60"/>
      <c r="AA366" s="60"/>
      <c r="AB366" s="60"/>
      <c r="AC366" s="60"/>
      <c r="AD366" s="60"/>
      <c r="AE366" s="60"/>
      <c r="AF366" s="14"/>
      <c r="AG366" s="14"/>
      <c r="AH366" s="14"/>
      <c r="AI366" s="14"/>
      <c r="AJ366" s="14"/>
      <c r="AK366" s="14"/>
      <c r="AL366" s="14"/>
      <c r="AM366" s="14"/>
      <c r="AN366" s="61"/>
    </row>
    <row r="367">
      <c r="A367" s="14"/>
      <c r="B367" s="14"/>
      <c r="C367" s="14"/>
      <c r="D367" s="14"/>
      <c r="E367" s="14"/>
      <c r="F367" s="14"/>
      <c r="G367" s="14"/>
      <c r="H367" s="14"/>
      <c r="I367" s="14"/>
      <c r="J367" s="14"/>
      <c r="K367" s="14"/>
      <c r="L367" s="14"/>
      <c r="M367" s="14"/>
      <c r="N367" s="14"/>
      <c r="O367" s="14"/>
      <c r="P367" s="14"/>
      <c r="Q367" s="58"/>
      <c r="R367" s="58"/>
      <c r="S367" s="14"/>
      <c r="T367" s="14"/>
      <c r="U367" s="59"/>
      <c r="V367" s="59"/>
      <c r="W367" s="14"/>
      <c r="X367" s="14"/>
      <c r="Y367" s="60"/>
      <c r="Z367" s="60"/>
      <c r="AA367" s="60"/>
      <c r="AB367" s="60"/>
      <c r="AC367" s="60"/>
      <c r="AD367" s="60"/>
      <c r="AE367" s="60"/>
      <c r="AF367" s="14"/>
      <c r="AG367" s="14"/>
      <c r="AH367" s="14"/>
      <c r="AI367" s="14"/>
      <c r="AJ367" s="14"/>
      <c r="AK367" s="14"/>
      <c r="AL367" s="14"/>
      <c r="AM367" s="14"/>
      <c r="AN367" s="61"/>
    </row>
    <row r="368">
      <c r="A368" s="14"/>
      <c r="B368" s="14"/>
      <c r="C368" s="14"/>
      <c r="D368" s="14"/>
      <c r="E368" s="14"/>
      <c r="F368" s="14"/>
      <c r="G368" s="14"/>
      <c r="H368" s="14"/>
      <c r="I368" s="14"/>
      <c r="J368" s="14"/>
      <c r="K368" s="14"/>
      <c r="L368" s="14"/>
      <c r="M368" s="14"/>
      <c r="N368" s="14"/>
      <c r="O368" s="14"/>
      <c r="P368" s="14"/>
      <c r="Q368" s="58"/>
      <c r="R368" s="58"/>
      <c r="S368" s="14"/>
      <c r="T368" s="14"/>
      <c r="U368" s="59"/>
      <c r="V368" s="59"/>
      <c r="W368" s="14"/>
      <c r="X368" s="14"/>
      <c r="Y368" s="60"/>
      <c r="Z368" s="60"/>
      <c r="AA368" s="60"/>
      <c r="AB368" s="60"/>
      <c r="AC368" s="60"/>
      <c r="AD368" s="60"/>
      <c r="AE368" s="60"/>
      <c r="AF368" s="14"/>
      <c r="AG368" s="14"/>
      <c r="AH368" s="14"/>
      <c r="AI368" s="14"/>
      <c r="AJ368" s="14"/>
      <c r="AK368" s="14"/>
      <c r="AL368" s="14"/>
      <c r="AM368" s="14"/>
      <c r="AN368" s="61"/>
    </row>
    <row r="369">
      <c r="A369" s="14"/>
      <c r="B369" s="14"/>
      <c r="C369" s="14"/>
      <c r="D369" s="14"/>
      <c r="E369" s="14"/>
      <c r="F369" s="14"/>
      <c r="G369" s="14"/>
      <c r="H369" s="14"/>
      <c r="I369" s="14"/>
      <c r="J369" s="14"/>
      <c r="K369" s="14"/>
      <c r="L369" s="14"/>
      <c r="M369" s="14"/>
      <c r="N369" s="14"/>
      <c r="O369" s="14"/>
      <c r="P369" s="14"/>
      <c r="Q369" s="58"/>
      <c r="R369" s="58"/>
      <c r="S369" s="14"/>
      <c r="T369" s="14"/>
      <c r="U369" s="59"/>
      <c r="V369" s="59"/>
      <c r="W369" s="14"/>
      <c r="X369" s="14"/>
      <c r="Y369" s="60"/>
      <c r="Z369" s="60"/>
      <c r="AA369" s="60"/>
      <c r="AB369" s="60"/>
      <c r="AC369" s="60"/>
      <c r="AD369" s="60"/>
      <c r="AE369" s="60"/>
      <c r="AF369" s="14"/>
      <c r="AG369" s="14"/>
      <c r="AH369" s="14"/>
      <c r="AI369" s="14"/>
      <c r="AJ369" s="14"/>
      <c r="AK369" s="14"/>
      <c r="AL369" s="14"/>
      <c r="AM369" s="14"/>
      <c r="AN369" s="61"/>
    </row>
    <row r="370">
      <c r="A370" s="14"/>
      <c r="B370" s="14"/>
      <c r="C370" s="14"/>
      <c r="D370" s="14"/>
      <c r="E370" s="14"/>
      <c r="F370" s="14"/>
      <c r="G370" s="14"/>
      <c r="H370" s="14"/>
      <c r="I370" s="14"/>
      <c r="J370" s="14"/>
      <c r="K370" s="14"/>
      <c r="L370" s="14"/>
      <c r="M370" s="14"/>
      <c r="N370" s="14"/>
      <c r="O370" s="14"/>
      <c r="P370" s="14"/>
      <c r="Q370" s="58"/>
      <c r="R370" s="58"/>
      <c r="S370" s="14"/>
      <c r="T370" s="14"/>
      <c r="U370" s="59"/>
      <c r="V370" s="59"/>
      <c r="W370" s="14"/>
      <c r="X370" s="14"/>
      <c r="Y370" s="60"/>
      <c r="Z370" s="60"/>
      <c r="AA370" s="60"/>
      <c r="AB370" s="60"/>
      <c r="AC370" s="60"/>
      <c r="AD370" s="60"/>
      <c r="AE370" s="60"/>
      <c r="AF370" s="14"/>
      <c r="AG370" s="14"/>
      <c r="AH370" s="14"/>
      <c r="AI370" s="14"/>
      <c r="AJ370" s="14"/>
      <c r="AK370" s="14"/>
      <c r="AL370" s="14"/>
      <c r="AM370" s="14"/>
      <c r="AN370" s="61"/>
    </row>
    <row r="371">
      <c r="A371" s="14"/>
      <c r="B371" s="14"/>
      <c r="C371" s="14"/>
      <c r="D371" s="14"/>
      <c r="E371" s="14"/>
      <c r="F371" s="14"/>
      <c r="G371" s="14"/>
      <c r="H371" s="14"/>
      <c r="I371" s="14"/>
      <c r="J371" s="14"/>
      <c r="K371" s="14"/>
      <c r="L371" s="14"/>
      <c r="M371" s="14"/>
      <c r="N371" s="14"/>
      <c r="O371" s="14"/>
      <c r="P371" s="14"/>
      <c r="Q371" s="58"/>
      <c r="R371" s="58"/>
      <c r="S371" s="14"/>
      <c r="T371" s="14"/>
      <c r="U371" s="59"/>
      <c r="V371" s="59"/>
      <c r="W371" s="14"/>
      <c r="X371" s="14"/>
      <c r="Y371" s="60"/>
      <c r="Z371" s="60"/>
      <c r="AA371" s="60"/>
      <c r="AB371" s="60"/>
      <c r="AC371" s="60"/>
      <c r="AD371" s="60"/>
      <c r="AE371" s="60"/>
      <c r="AF371" s="14"/>
      <c r="AG371" s="14"/>
      <c r="AH371" s="14"/>
      <c r="AI371" s="14"/>
      <c r="AJ371" s="14"/>
      <c r="AK371" s="14"/>
      <c r="AL371" s="14"/>
      <c r="AM371" s="14"/>
      <c r="AN371" s="61"/>
    </row>
    <row r="372">
      <c r="A372" s="14"/>
      <c r="B372" s="14"/>
      <c r="C372" s="14"/>
      <c r="D372" s="14"/>
      <c r="E372" s="14"/>
      <c r="F372" s="14"/>
      <c r="G372" s="14"/>
      <c r="H372" s="14"/>
      <c r="I372" s="14"/>
      <c r="J372" s="14"/>
      <c r="K372" s="14"/>
      <c r="L372" s="14"/>
      <c r="M372" s="14"/>
      <c r="N372" s="14"/>
      <c r="O372" s="14"/>
      <c r="P372" s="14"/>
      <c r="Q372" s="58"/>
      <c r="R372" s="58"/>
      <c r="S372" s="14"/>
      <c r="T372" s="14"/>
      <c r="U372" s="59"/>
      <c r="V372" s="59"/>
      <c r="W372" s="14"/>
      <c r="X372" s="14"/>
      <c r="Y372" s="60"/>
      <c r="Z372" s="60"/>
      <c r="AA372" s="60"/>
      <c r="AB372" s="60"/>
      <c r="AC372" s="60"/>
      <c r="AD372" s="60"/>
      <c r="AE372" s="60"/>
      <c r="AF372" s="14"/>
      <c r="AG372" s="14"/>
      <c r="AH372" s="14"/>
      <c r="AI372" s="14"/>
      <c r="AJ372" s="14"/>
      <c r="AK372" s="14"/>
      <c r="AL372" s="14"/>
      <c r="AM372" s="14"/>
      <c r="AN372" s="61"/>
    </row>
    <row r="373">
      <c r="A373" s="14"/>
      <c r="B373" s="14"/>
      <c r="C373" s="14"/>
      <c r="D373" s="14"/>
      <c r="E373" s="14"/>
      <c r="F373" s="14"/>
      <c r="G373" s="14"/>
      <c r="H373" s="14"/>
      <c r="I373" s="14"/>
      <c r="J373" s="14"/>
      <c r="K373" s="14"/>
      <c r="L373" s="14"/>
      <c r="M373" s="14"/>
      <c r="N373" s="14"/>
      <c r="O373" s="14"/>
      <c r="P373" s="14"/>
      <c r="Q373" s="58"/>
      <c r="R373" s="58"/>
      <c r="S373" s="14"/>
      <c r="T373" s="14"/>
      <c r="U373" s="59"/>
      <c r="V373" s="59"/>
      <c r="W373" s="14"/>
      <c r="X373" s="14"/>
      <c r="Y373" s="60"/>
      <c r="Z373" s="60"/>
      <c r="AA373" s="60"/>
      <c r="AB373" s="60"/>
      <c r="AC373" s="60"/>
      <c r="AD373" s="60"/>
      <c r="AE373" s="60"/>
      <c r="AF373" s="14"/>
      <c r="AG373" s="14"/>
      <c r="AH373" s="14"/>
      <c r="AI373" s="14"/>
      <c r="AJ373" s="14"/>
      <c r="AK373" s="14"/>
      <c r="AL373" s="14"/>
      <c r="AM373" s="14"/>
      <c r="AN373" s="61"/>
    </row>
    <row r="374">
      <c r="A374" s="14"/>
      <c r="B374" s="14"/>
      <c r="C374" s="14"/>
      <c r="D374" s="14"/>
      <c r="E374" s="14"/>
      <c r="F374" s="14"/>
      <c r="G374" s="14"/>
      <c r="H374" s="14"/>
      <c r="I374" s="14"/>
      <c r="J374" s="14"/>
      <c r="K374" s="14"/>
      <c r="L374" s="14"/>
      <c r="M374" s="14"/>
      <c r="N374" s="14"/>
      <c r="O374" s="14"/>
      <c r="P374" s="14"/>
      <c r="Q374" s="58"/>
      <c r="R374" s="58"/>
      <c r="S374" s="14"/>
      <c r="T374" s="14"/>
      <c r="U374" s="59"/>
      <c r="V374" s="59"/>
      <c r="W374" s="14"/>
      <c r="X374" s="14"/>
      <c r="Y374" s="60"/>
      <c r="Z374" s="60"/>
      <c r="AA374" s="60"/>
      <c r="AB374" s="60"/>
      <c r="AC374" s="60"/>
      <c r="AD374" s="60"/>
      <c r="AE374" s="60"/>
      <c r="AF374" s="14"/>
      <c r="AG374" s="14"/>
      <c r="AH374" s="14"/>
      <c r="AI374" s="14"/>
      <c r="AJ374" s="14"/>
      <c r="AK374" s="14"/>
      <c r="AL374" s="14"/>
      <c r="AM374" s="14"/>
      <c r="AN374" s="61"/>
    </row>
    <row r="375">
      <c r="A375" s="14"/>
      <c r="B375" s="14"/>
      <c r="C375" s="14"/>
      <c r="D375" s="14"/>
      <c r="E375" s="14"/>
      <c r="F375" s="14"/>
      <c r="G375" s="14"/>
      <c r="H375" s="14"/>
      <c r="I375" s="14"/>
      <c r="J375" s="14"/>
      <c r="K375" s="14"/>
      <c r="L375" s="14"/>
      <c r="M375" s="14"/>
      <c r="N375" s="14"/>
      <c r="O375" s="14"/>
      <c r="P375" s="14"/>
      <c r="Q375" s="58"/>
      <c r="R375" s="58"/>
      <c r="S375" s="14"/>
      <c r="T375" s="14"/>
      <c r="U375" s="59"/>
      <c r="V375" s="59"/>
      <c r="W375" s="14"/>
      <c r="X375" s="14"/>
      <c r="Y375" s="60"/>
      <c r="Z375" s="60"/>
      <c r="AA375" s="60"/>
      <c r="AB375" s="60"/>
      <c r="AC375" s="60"/>
      <c r="AD375" s="60"/>
      <c r="AE375" s="60"/>
      <c r="AF375" s="14"/>
      <c r="AG375" s="14"/>
      <c r="AH375" s="14"/>
      <c r="AI375" s="14"/>
      <c r="AJ375" s="14"/>
      <c r="AK375" s="14"/>
      <c r="AL375" s="14"/>
      <c r="AM375" s="14"/>
      <c r="AN375" s="61"/>
    </row>
    <row r="376">
      <c r="A376" s="14"/>
      <c r="B376" s="14"/>
      <c r="C376" s="14"/>
      <c r="D376" s="14"/>
      <c r="E376" s="14"/>
      <c r="F376" s="14"/>
      <c r="G376" s="14"/>
      <c r="H376" s="14"/>
      <c r="I376" s="14"/>
      <c r="J376" s="14"/>
      <c r="K376" s="14"/>
      <c r="L376" s="14"/>
      <c r="M376" s="14"/>
      <c r="N376" s="14"/>
      <c r="O376" s="14"/>
      <c r="P376" s="14"/>
      <c r="Q376" s="58"/>
      <c r="R376" s="58"/>
      <c r="S376" s="14"/>
      <c r="T376" s="14"/>
      <c r="U376" s="59"/>
      <c r="V376" s="59"/>
      <c r="W376" s="14"/>
      <c r="X376" s="14"/>
      <c r="Y376" s="60"/>
      <c r="Z376" s="60"/>
      <c r="AA376" s="60"/>
      <c r="AB376" s="60"/>
      <c r="AC376" s="60"/>
      <c r="AD376" s="60"/>
      <c r="AE376" s="60"/>
      <c r="AF376" s="14"/>
      <c r="AG376" s="14"/>
      <c r="AH376" s="14"/>
      <c r="AI376" s="14"/>
      <c r="AJ376" s="14"/>
      <c r="AK376" s="14"/>
      <c r="AL376" s="14"/>
      <c r="AM376" s="14"/>
      <c r="AN376" s="61"/>
    </row>
    <row r="377">
      <c r="A377" s="14"/>
      <c r="B377" s="14"/>
      <c r="C377" s="14"/>
      <c r="D377" s="14"/>
      <c r="E377" s="14"/>
      <c r="F377" s="14"/>
      <c r="G377" s="14"/>
      <c r="H377" s="14"/>
      <c r="I377" s="14"/>
      <c r="J377" s="14"/>
      <c r="K377" s="14"/>
      <c r="L377" s="14"/>
      <c r="M377" s="14"/>
      <c r="N377" s="14"/>
      <c r="O377" s="14"/>
      <c r="P377" s="14"/>
      <c r="Q377" s="58"/>
      <c r="R377" s="58"/>
      <c r="S377" s="14"/>
      <c r="T377" s="14"/>
      <c r="U377" s="59"/>
      <c r="V377" s="59"/>
      <c r="W377" s="14"/>
      <c r="X377" s="14"/>
      <c r="Y377" s="60"/>
      <c r="Z377" s="60"/>
      <c r="AA377" s="60"/>
      <c r="AB377" s="60"/>
      <c r="AC377" s="60"/>
      <c r="AD377" s="60"/>
      <c r="AE377" s="60"/>
      <c r="AF377" s="14"/>
      <c r="AG377" s="14"/>
      <c r="AH377" s="14"/>
      <c r="AI377" s="14"/>
      <c r="AJ377" s="14"/>
      <c r="AK377" s="14"/>
      <c r="AL377" s="14"/>
      <c r="AM377" s="14"/>
      <c r="AN377" s="61"/>
    </row>
    <row r="378">
      <c r="A378" s="14"/>
      <c r="B378" s="14"/>
      <c r="C378" s="14"/>
      <c r="D378" s="14"/>
      <c r="E378" s="14"/>
      <c r="F378" s="14"/>
      <c r="G378" s="14"/>
      <c r="H378" s="14"/>
      <c r="I378" s="14"/>
      <c r="J378" s="14"/>
      <c r="K378" s="14"/>
      <c r="L378" s="14"/>
      <c r="M378" s="14"/>
      <c r="N378" s="14"/>
      <c r="O378" s="14"/>
      <c r="P378" s="14"/>
      <c r="Q378" s="58"/>
      <c r="R378" s="58"/>
      <c r="S378" s="14"/>
      <c r="T378" s="14"/>
      <c r="U378" s="59"/>
      <c r="V378" s="59"/>
      <c r="W378" s="14"/>
      <c r="X378" s="14"/>
      <c r="Y378" s="60"/>
      <c r="Z378" s="60"/>
      <c r="AA378" s="60"/>
      <c r="AB378" s="60"/>
      <c r="AC378" s="60"/>
      <c r="AD378" s="60"/>
      <c r="AE378" s="60"/>
      <c r="AF378" s="14"/>
      <c r="AG378" s="14"/>
      <c r="AH378" s="14"/>
      <c r="AI378" s="14"/>
      <c r="AJ378" s="14"/>
      <c r="AK378" s="14"/>
      <c r="AL378" s="14"/>
      <c r="AM378" s="14"/>
      <c r="AN378" s="61"/>
    </row>
    <row r="379">
      <c r="A379" s="14"/>
      <c r="B379" s="14"/>
      <c r="C379" s="14"/>
      <c r="D379" s="14"/>
      <c r="E379" s="14"/>
      <c r="F379" s="14"/>
      <c r="G379" s="14"/>
      <c r="H379" s="14"/>
      <c r="I379" s="14"/>
      <c r="J379" s="14"/>
      <c r="K379" s="14"/>
      <c r="L379" s="14"/>
      <c r="M379" s="14"/>
      <c r="N379" s="14"/>
      <c r="O379" s="14"/>
      <c r="P379" s="14"/>
      <c r="Q379" s="58"/>
      <c r="R379" s="58"/>
      <c r="S379" s="14"/>
      <c r="T379" s="14"/>
      <c r="U379" s="59"/>
      <c r="V379" s="59"/>
      <c r="W379" s="14"/>
      <c r="X379" s="14"/>
      <c r="Y379" s="60"/>
      <c r="Z379" s="60"/>
      <c r="AA379" s="60"/>
      <c r="AB379" s="60"/>
      <c r="AC379" s="60"/>
      <c r="AD379" s="60"/>
      <c r="AE379" s="60"/>
      <c r="AF379" s="14"/>
      <c r="AG379" s="14"/>
      <c r="AH379" s="14"/>
      <c r="AI379" s="14"/>
      <c r="AJ379" s="14"/>
      <c r="AK379" s="14"/>
      <c r="AL379" s="14"/>
      <c r="AM379" s="14"/>
      <c r="AN379" s="61"/>
    </row>
    <row r="380">
      <c r="A380" s="14"/>
      <c r="B380" s="14"/>
      <c r="C380" s="14"/>
      <c r="D380" s="14"/>
      <c r="E380" s="14"/>
      <c r="F380" s="14"/>
      <c r="G380" s="14"/>
      <c r="H380" s="14"/>
      <c r="I380" s="14"/>
      <c r="J380" s="14"/>
      <c r="K380" s="14"/>
      <c r="L380" s="14"/>
      <c r="M380" s="14"/>
      <c r="N380" s="14"/>
      <c r="O380" s="14"/>
      <c r="P380" s="14"/>
      <c r="Q380" s="58"/>
      <c r="R380" s="58"/>
      <c r="S380" s="14"/>
      <c r="T380" s="14"/>
      <c r="U380" s="59"/>
      <c r="V380" s="59"/>
      <c r="W380" s="14"/>
      <c r="X380" s="14"/>
      <c r="Y380" s="60"/>
      <c r="Z380" s="60"/>
      <c r="AA380" s="60"/>
      <c r="AB380" s="60"/>
      <c r="AC380" s="60"/>
      <c r="AD380" s="60"/>
      <c r="AE380" s="60"/>
      <c r="AF380" s="14"/>
      <c r="AG380" s="14"/>
      <c r="AH380" s="14"/>
      <c r="AI380" s="14"/>
      <c r="AJ380" s="14"/>
      <c r="AK380" s="14"/>
      <c r="AL380" s="14"/>
      <c r="AM380" s="14"/>
      <c r="AN380" s="61"/>
    </row>
    <row r="381">
      <c r="A381" s="14"/>
      <c r="B381" s="14"/>
      <c r="C381" s="14"/>
      <c r="D381" s="14"/>
      <c r="E381" s="14"/>
      <c r="F381" s="14"/>
      <c r="G381" s="14"/>
      <c r="H381" s="14"/>
      <c r="I381" s="14"/>
      <c r="J381" s="14"/>
      <c r="K381" s="14"/>
      <c r="L381" s="14"/>
      <c r="M381" s="14"/>
      <c r="N381" s="14"/>
      <c r="O381" s="14"/>
      <c r="P381" s="14"/>
      <c r="Q381" s="58"/>
      <c r="R381" s="58"/>
      <c r="S381" s="14"/>
      <c r="T381" s="14"/>
      <c r="U381" s="59"/>
      <c r="V381" s="59"/>
      <c r="W381" s="14"/>
      <c r="X381" s="14"/>
      <c r="Y381" s="60"/>
      <c r="Z381" s="60"/>
      <c r="AA381" s="60"/>
      <c r="AB381" s="60"/>
      <c r="AC381" s="60"/>
      <c r="AD381" s="60"/>
      <c r="AE381" s="60"/>
      <c r="AF381" s="14"/>
      <c r="AG381" s="14"/>
      <c r="AH381" s="14"/>
      <c r="AI381" s="14"/>
      <c r="AJ381" s="14"/>
      <c r="AK381" s="14"/>
      <c r="AL381" s="14"/>
      <c r="AM381" s="14"/>
      <c r="AN381" s="61"/>
    </row>
    <row r="382">
      <c r="A382" s="14"/>
      <c r="B382" s="14"/>
      <c r="C382" s="14"/>
      <c r="D382" s="14"/>
      <c r="E382" s="14"/>
      <c r="F382" s="14"/>
      <c r="G382" s="14"/>
      <c r="H382" s="14"/>
      <c r="I382" s="14"/>
      <c r="J382" s="14"/>
      <c r="K382" s="14"/>
      <c r="L382" s="14"/>
      <c r="M382" s="14"/>
      <c r="N382" s="14"/>
      <c r="O382" s="14"/>
      <c r="P382" s="14"/>
      <c r="Q382" s="58"/>
      <c r="R382" s="58"/>
      <c r="S382" s="14"/>
      <c r="T382" s="14"/>
      <c r="U382" s="59"/>
      <c r="V382" s="59"/>
      <c r="W382" s="14"/>
      <c r="X382" s="14"/>
      <c r="Y382" s="60"/>
      <c r="Z382" s="60"/>
      <c r="AA382" s="60"/>
      <c r="AB382" s="60"/>
      <c r="AC382" s="60"/>
      <c r="AD382" s="60"/>
      <c r="AE382" s="60"/>
      <c r="AF382" s="14"/>
      <c r="AG382" s="14"/>
      <c r="AH382" s="14"/>
      <c r="AI382" s="14"/>
      <c r="AJ382" s="14"/>
      <c r="AK382" s="14"/>
      <c r="AL382" s="14"/>
      <c r="AM382" s="14"/>
      <c r="AN382" s="61"/>
    </row>
    <row r="383">
      <c r="A383" s="14"/>
      <c r="B383" s="14"/>
      <c r="C383" s="14"/>
      <c r="D383" s="14"/>
      <c r="E383" s="14"/>
      <c r="F383" s="14"/>
      <c r="G383" s="14"/>
      <c r="H383" s="14"/>
      <c r="I383" s="14"/>
      <c r="J383" s="14"/>
      <c r="K383" s="14"/>
      <c r="L383" s="14"/>
      <c r="M383" s="14"/>
      <c r="N383" s="14"/>
      <c r="O383" s="14"/>
      <c r="P383" s="14"/>
      <c r="Q383" s="58"/>
      <c r="R383" s="58"/>
      <c r="S383" s="14"/>
      <c r="T383" s="14"/>
      <c r="U383" s="59"/>
      <c r="V383" s="59"/>
      <c r="W383" s="14"/>
      <c r="X383" s="14"/>
      <c r="Y383" s="60"/>
      <c r="Z383" s="60"/>
      <c r="AA383" s="60"/>
      <c r="AB383" s="60"/>
      <c r="AC383" s="60"/>
      <c r="AD383" s="60"/>
      <c r="AE383" s="60"/>
      <c r="AF383" s="14"/>
      <c r="AG383" s="14"/>
      <c r="AH383" s="14"/>
      <c r="AI383" s="14"/>
      <c r="AJ383" s="14"/>
      <c r="AK383" s="14"/>
      <c r="AL383" s="14"/>
      <c r="AM383" s="14"/>
      <c r="AN383" s="61"/>
    </row>
    <row r="384">
      <c r="A384" s="14"/>
      <c r="B384" s="14"/>
      <c r="C384" s="14"/>
      <c r="D384" s="14"/>
      <c r="E384" s="14"/>
      <c r="F384" s="14"/>
      <c r="G384" s="14"/>
      <c r="H384" s="14"/>
      <c r="I384" s="14"/>
      <c r="J384" s="14"/>
      <c r="K384" s="14"/>
      <c r="L384" s="14"/>
      <c r="M384" s="14"/>
      <c r="N384" s="14"/>
      <c r="O384" s="14"/>
      <c r="P384" s="14"/>
      <c r="Q384" s="58"/>
      <c r="R384" s="58"/>
      <c r="S384" s="14"/>
      <c r="T384" s="14"/>
      <c r="U384" s="59"/>
      <c r="V384" s="59"/>
      <c r="W384" s="14"/>
      <c r="X384" s="14"/>
      <c r="Y384" s="60"/>
      <c r="Z384" s="60"/>
      <c r="AA384" s="60"/>
      <c r="AB384" s="60"/>
      <c r="AC384" s="60"/>
      <c r="AD384" s="60"/>
      <c r="AE384" s="60"/>
      <c r="AF384" s="14"/>
      <c r="AG384" s="14"/>
      <c r="AH384" s="14"/>
      <c r="AI384" s="14"/>
      <c r="AJ384" s="14"/>
      <c r="AK384" s="14"/>
      <c r="AL384" s="14"/>
      <c r="AM384" s="14"/>
      <c r="AN384" s="61"/>
    </row>
    <row r="385">
      <c r="A385" s="14"/>
      <c r="B385" s="14"/>
      <c r="C385" s="14"/>
      <c r="D385" s="14"/>
      <c r="E385" s="14"/>
      <c r="F385" s="14"/>
      <c r="G385" s="14"/>
      <c r="H385" s="14"/>
      <c r="I385" s="14"/>
      <c r="J385" s="14"/>
      <c r="K385" s="14"/>
      <c r="L385" s="14"/>
      <c r="M385" s="14"/>
      <c r="N385" s="14"/>
      <c r="O385" s="14"/>
      <c r="P385" s="14"/>
      <c r="Q385" s="58"/>
      <c r="R385" s="58"/>
      <c r="S385" s="14"/>
      <c r="T385" s="14"/>
      <c r="U385" s="59"/>
      <c r="V385" s="59"/>
      <c r="W385" s="14"/>
      <c r="X385" s="14"/>
      <c r="Y385" s="60"/>
      <c r="Z385" s="60"/>
      <c r="AA385" s="60"/>
      <c r="AB385" s="60"/>
      <c r="AC385" s="60"/>
      <c r="AD385" s="60"/>
      <c r="AE385" s="60"/>
      <c r="AF385" s="14"/>
      <c r="AG385" s="14"/>
      <c r="AH385" s="14"/>
      <c r="AI385" s="14"/>
      <c r="AJ385" s="14"/>
      <c r="AK385" s="14"/>
      <c r="AL385" s="14"/>
      <c r="AM385" s="14"/>
      <c r="AN385" s="61"/>
    </row>
    <row r="386">
      <c r="A386" s="14"/>
      <c r="B386" s="14"/>
      <c r="C386" s="14"/>
      <c r="D386" s="14"/>
      <c r="E386" s="14"/>
      <c r="F386" s="14"/>
      <c r="G386" s="14"/>
      <c r="H386" s="14"/>
      <c r="I386" s="14"/>
      <c r="J386" s="14"/>
      <c r="K386" s="14"/>
      <c r="L386" s="14"/>
      <c r="M386" s="14"/>
      <c r="N386" s="14"/>
      <c r="O386" s="14"/>
      <c r="P386" s="14"/>
      <c r="Q386" s="58"/>
      <c r="R386" s="58"/>
      <c r="S386" s="14"/>
      <c r="T386" s="14"/>
      <c r="U386" s="59"/>
      <c r="V386" s="59"/>
      <c r="W386" s="14"/>
      <c r="X386" s="14"/>
      <c r="Y386" s="60"/>
      <c r="Z386" s="60"/>
      <c r="AA386" s="60"/>
      <c r="AB386" s="60"/>
      <c r="AC386" s="60"/>
      <c r="AD386" s="60"/>
      <c r="AE386" s="60"/>
      <c r="AF386" s="14"/>
      <c r="AG386" s="14"/>
      <c r="AH386" s="14"/>
      <c r="AI386" s="14"/>
      <c r="AJ386" s="14"/>
      <c r="AK386" s="14"/>
      <c r="AL386" s="14"/>
      <c r="AM386" s="14"/>
      <c r="AN386" s="61"/>
    </row>
    <row r="387">
      <c r="A387" s="14"/>
      <c r="B387" s="14"/>
      <c r="C387" s="14"/>
      <c r="D387" s="14"/>
      <c r="E387" s="14"/>
      <c r="F387" s="14"/>
      <c r="G387" s="14"/>
      <c r="H387" s="14"/>
      <c r="I387" s="14"/>
      <c r="J387" s="14"/>
      <c r="K387" s="14"/>
      <c r="L387" s="14"/>
      <c r="M387" s="14"/>
      <c r="N387" s="14"/>
      <c r="O387" s="14"/>
      <c r="P387" s="14"/>
      <c r="Q387" s="58"/>
      <c r="R387" s="58"/>
      <c r="S387" s="14"/>
      <c r="T387" s="14"/>
      <c r="U387" s="59"/>
      <c r="V387" s="59"/>
      <c r="W387" s="14"/>
      <c r="X387" s="14"/>
      <c r="Y387" s="60"/>
      <c r="Z387" s="60"/>
      <c r="AA387" s="60"/>
      <c r="AB387" s="60"/>
      <c r="AC387" s="60"/>
      <c r="AD387" s="60"/>
      <c r="AE387" s="60"/>
      <c r="AF387" s="14"/>
      <c r="AG387" s="14"/>
      <c r="AH387" s="14"/>
      <c r="AI387" s="14"/>
      <c r="AJ387" s="14"/>
      <c r="AK387" s="14"/>
      <c r="AL387" s="14"/>
      <c r="AM387" s="14"/>
      <c r="AN387" s="61"/>
    </row>
    <row r="388">
      <c r="A388" s="14"/>
      <c r="B388" s="14"/>
      <c r="C388" s="14"/>
      <c r="D388" s="14"/>
      <c r="E388" s="14"/>
      <c r="F388" s="14"/>
      <c r="G388" s="14"/>
      <c r="H388" s="14"/>
      <c r="I388" s="14"/>
      <c r="J388" s="14"/>
      <c r="K388" s="14"/>
      <c r="L388" s="14"/>
      <c r="M388" s="14"/>
      <c r="N388" s="14"/>
      <c r="O388" s="14"/>
      <c r="P388" s="14"/>
      <c r="Q388" s="58"/>
      <c r="R388" s="58"/>
      <c r="S388" s="14"/>
      <c r="T388" s="14"/>
      <c r="U388" s="59"/>
      <c r="V388" s="59"/>
      <c r="W388" s="14"/>
      <c r="X388" s="14"/>
      <c r="Y388" s="60"/>
      <c r="Z388" s="60"/>
      <c r="AA388" s="60"/>
      <c r="AB388" s="60"/>
      <c r="AC388" s="60"/>
      <c r="AD388" s="60"/>
      <c r="AE388" s="60"/>
      <c r="AF388" s="14"/>
      <c r="AG388" s="14"/>
      <c r="AH388" s="14"/>
      <c r="AI388" s="14"/>
      <c r="AJ388" s="14"/>
      <c r="AK388" s="14"/>
      <c r="AL388" s="14"/>
      <c r="AM388" s="14"/>
      <c r="AN388" s="61"/>
    </row>
    <row r="389">
      <c r="A389" s="14"/>
      <c r="B389" s="14"/>
      <c r="C389" s="14"/>
      <c r="D389" s="14"/>
      <c r="E389" s="14"/>
      <c r="F389" s="14"/>
      <c r="G389" s="14"/>
      <c r="H389" s="14"/>
      <c r="I389" s="14"/>
      <c r="J389" s="14"/>
      <c r="K389" s="14"/>
      <c r="L389" s="14"/>
      <c r="M389" s="14"/>
      <c r="N389" s="14"/>
      <c r="O389" s="14"/>
      <c r="P389" s="14"/>
      <c r="Q389" s="58"/>
      <c r="R389" s="58"/>
      <c r="S389" s="14"/>
      <c r="T389" s="14"/>
      <c r="U389" s="59"/>
      <c r="V389" s="59"/>
      <c r="W389" s="14"/>
      <c r="X389" s="14"/>
      <c r="Y389" s="60"/>
      <c r="Z389" s="60"/>
      <c r="AA389" s="60"/>
      <c r="AB389" s="60"/>
      <c r="AC389" s="60"/>
      <c r="AD389" s="60"/>
      <c r="AE389" s="60"/>
      <c r="AF389" s="14"/>
      <c r="AG389" s="14"/>
      <c r="AH389" s="14"/>
      <c r="AI389" s="14"/>
      <c r="AJ389" s="14"/>
      <c r="AK389" s="14"/>
      <c r="AL389" s="14"/>
      <c r="AM389" s="14"/>
      <c r="AN389" s="61"/>
    </row>
    <row r="390">
      <c r="A390" s="14"/>
      <c r="B390" s="14"/>
      <c r="C390" s="14"/>
      <c r="D390" s="14"/>
      <c r="E390" s="14"/>
      <c r="F390" s="14"/>
      <c r="G390" s="14"/>
      <c r="H390" s="14"/>
      <c r="I390" s="14"/>
      <c r="J390" s="14"/>
      <c r="K390" s="14"/>
      <c r="L390" s="14"/>
      <c r="M390" s="14"/>
      <c r="N390" s="14"/>
      <c r="O390" s="14"/>
      <c r="P390" s="14"/>
      <c r="Q390" s="58"/>
      <c r="R390" s="58"/>
      <c r="S390" s="14"/>
      <c r="T390" s="14"/>
      <c r="U390" s="59"/>
      <c r="V390" s="59"/>
      <c r="W390" s="14"/>
      <c r="X390" s="14"/>
      <c r="Y390" s="60"/>
      <c r="Z390" s="60"/>
      <c r="AA390" s="60"/>
      <c r="AB390" s="60"/>
      <c r="AC390" s="60"/>
      <c r="AD390" s="60"/>
      <c r="AE390" s="60"/>
      <c r="AF390" s="14"/>
      <c r="AG390" s="14"/>
      <c r="AH390" s="14"/>
      <c r="AI390" s="14"/>
      <c r="AJ390" s="14"/>
      <c r="AK390" s="14"/>
      <c r="AL390" s="14"/>
      <c r="AM390" s="14"/>
      <c r="AN390" s="61"/>
    </row>
    <row r="391">
      <c r="A391" s="14"/>
      <c r="B391" s="14"/>
      <c r="C391" s="14"/>
      <c r="D391" s="14"/>
      <c r="E391" s="14"/>
      <c r="F391" s="14"/>
      <c r="G391" s="14"/>
      <c r="H391" s="14"/>
      <c r="I391" s="14"/>
      <c r="J391" s="14"/>
      <c r="K391" s="14"/>
      <c r="L391" s="14"/>
      <c r="M391" s="14"/>
      <c r="N391" s="14"/>
      <c r="O391" s="14"/>
      <c r="P391" s="14"/>
      <c r="Q391" s="58"/>
      <c r="R391" s="58"/>
      <c r="S391" s="14"/>
      <c r="T391" s="14"/>
      <c r="U391" s="59"/>
      <c r="V391" s="59"/>
      <c r="W391" s="14"/>
      <c r="X391" s="14"/>
      <c r="Y391" s="60"/>
      <c r="Z391" s="60"/>
      <c r="AA391" s="60"/>
      <c r="AB391" s="60"/>
      <c r="AC391" s="60"/>
      <c r="AD391" s="60"/>
      <c r="AE391" s="60"/>
      <c r="AF391" s="14"/>
      <c r="AG391" s="14"/>
      <c r="AH391" s="14"/>
      <c r="AI391" s="14"/>
      <c r="AJ391" s="14"/>
      <c r="AK391" s="14"/>
      <c r="AL391" s="14"/>
      <c r="AM391" s="14"/>
      <c r="AN391" s="61"/>
    </row>
    <row r="392">
      <c r="A392" s="14"/>
      <c r="B392" s="14"/>
      <c r="C392" s="14"/>
      <c r="D392" s="14"/>
      <c r="E392" s="14"/>
      <c r="F392" s="14"/>
      <c r="G392" s="14"/>
      <c r="H392" s="14"/>
      <c r="I392" s="14"/>
      <c r="J392" s="14"/>
      <c r="K392" s="14"/>
      <c r="L392" s="14"/>
      <c r="M392" s="14"/>
      <c r="N392" s="14"/>
      <c r="O392" s="14"/>
      <c r="P392" s="14"/>
      <c r="Q392" s="58"/>
      <c r="R392" s="58"/>
      <c r="S392" s="14"/>
      <c r="T392" s="14"/>
      <c r="U392" s="59"/>
      <c r="V392" s="59"/>
      <c r="W392" s="14"/>
      <c r="X392" s="14"/>
      <c r="Y392" s="60"/>
      <c r="Z392" s="60"/>
      <c r="AA392" s="60"/>
      <c r="AB392" s="60"/>
      <c r="AC392" s="60"/>
      <c r="AD392" s="60"/>
      <c r="AE392" s="60"/>
      <c r="AF392" s="14"/>
      <c r="AG392" s="14"/>
      <c r="AH392" s="14"/>
      <c r="AI392" s="14"/>
      <c r="AJ392" s="14"/>
      <c r="AK392" s="14"/>
      <c r="AL392" s="14"/>
      <c r="AM392" s="14"/>
      <c r="AN392" s="61"/>
    </row>
    <row r="393">
      <c r="A393" s="14"/>
      <c r="B393" s="14"/>
      <c r="C393" s="14"/>
      <c r="D393" s="14"/>
      <c r="E393" s="14"/>
      <c r="F393" s="14"/>
      <c r="G393" s="14"/>
      <c r="H393" s="14"/>
      <c r="I393" s="14"/>
      <c r="J393" s="14"/>
      <c r="K393" s="14"/>
      <c r="L393" s="14"/>
      <c r="M393" s="14"/>
      <c r="N393" s="14"/>
      <c r="O393" s="14"/>
      <c r="P393" s="14"/>
      <c r="Q393" s="58"/>
      <c r="R393" s="58"/>
      <c r="S393" s="14"/>
      <c r="T393" s="14"/>
      <c r="U393" s="59"/>
      <c r="V393" s="59"/>
      <c r="W393" s="14"/>
      <c r="X393" s="14"/>
      <c r="Y393" s="60"/>
      <c r="Z393" s="60"/>
      <c r="AA393" s="60"/>
      <c r="AB393" s="60"/>
      <c r="AC393" s="60"/>
      <c r="AD393" s="60"/>
      <c r="AE393" s="60"/>
      <c r="AF393" s="14"/>
      <c r="AG393" s="14"/>
      <c r="AH393" s="14"/>
      <c r="AI393" s="14"/>
      <c r="AJ393" s="14"/>
      <c r="AK393" s="14"/>
      <c r="AL393" s="14"/>
      <c r="AM393" s="14"/>
      <c r="AN393" s="61"/>
    </row>
    <row r="394">
      <c r="A394" s="14"/>
      <c r="B394" s="14"/>
      <c r="C394" s="14"/>
      <c r="D394" s="14"/>
      <c r="E394" s="14"/>
      <c r="F394" s="14"/>
      <c r="G394" s="14"/>
      <c r="H394" s="14"/>
      <c r="I394" s="14"/>
      <c r="J394" s="14"/>
      <c r="K394" s="14"/>
      <c r="L394" s="14"/>
      <c r="M394" s="14"/>
      <c r="N394" s="14"/>
      <c r="O394" s="14"/>
      <c r="P394" s="14"/>
      <c r="Q394" s="58"/>
      <c r="R394" s="58"/>
      <c r="S394" s="14"/>
      <c r="T394" s="14"/>
      <c r="U394" s="59"/>
      <c r="V394" s="59"/>
      <c r="W394" s="14"/>
      <c r="X394" s="14"/>
      <c r="Y394" s="60"/>
      <c r="Z394" s="60"/>
      <c r="AA394" s="60"/>
      <c r="AB394" s="60"/>
      <c r="AC394" s="60"/>
      <c r="AD394" s="60"/>
      <c r="AE394" s="60"/>
      <c r="AF394" s="14"/>
      <c r="AG394" s="14"/>
      <c r="AH394" s="14"/>
      <c r="AI394" s="14"/>
      <c r="AJ394" s="14"/>
      <c r="AK394" s="14"/>
      <c r="AL394" s="14"/>
      <c r="AM394" s="14"/>
      <c r="AN394" s="61"/>
    </row>
    <row r="395">
      <c r="A395" s="14"/>
      <c r="B395" s="14"/>
      <c r="C395" s="14"/>
      <c r="D395" s="14"/>
      <c r="E395" s="14"/>
      <c r="F395" s="14"/>
      <c r="G395" s="14"/>
      <c r="H395" s="14"/>
      <c r="I395" s="14"/>
      <c r="J395" s="14"/>
      <c r="K395" s="14"/>
      <c r="L395" s="14"/>
      <c r="M395" s="14"/>
      <c r="N395" s="14"/>
      <c r="O395" s="14"/>
      <c r="P395" s="14"/>
      <c r="Q395" s="58"/>
      <c r="R395" s="58"/>
      <c r="S395" s="14"/>
      <c r="T395" s="14"/>
      <c r="U395" s="59"/>
      <c r="V395" s="59"/>
      <c r="W395" s="14"/>
      <c r="X395" s="14"/>
      <c r="Y395" s="60"/>
      <c r="Z395" s="60"/>
      <c r="AA395" s="60"/>
      <c r="AB395" s="60"/>
      <c r="AC395" s="60"/>
      <c r="AD395" s="60"/>
      <c r="AE395" s="60"/>
      <c r="AF395" s="14"/>
      <c r="AG395" s="14"/>
      <c r="AH395" s="14"/>
      <c r="AI395" s="14"/>
      <c r="AJ395" s="14"/>
      <c r="AK395" s="14"/>
      <c r="AL395" s="14"/>
      <c r="AM395" s="14"/>
      <c r="AN395" s="61"/>
    </row>
    <row r="396">
      <c r="A396" s="14"/>
      <c r="B396" s="14"/>
      <c r="C396" s="14"/>
      <c r="D396" s="14"/>
      <c r="E396" s="14"/>
      <c r="F396" s="14"/>
      <c r="G396" s="14"/>
      <c r="H396" s="14"/>
      <c r="I396" s="14"/>
      <c r="J396" s="14"/>
      <c r="K396" s="14"/>
      <c r="L396" s="14"/>
      <c r="M396" s="14"/>
      <c r="N396" s="14"/>
      <c r="O396" s="14"/>
      <c r="P396" s="14"/>
      <c r="Q396" s="58"/>
      <c r="R396" s="58"/>
      <c r="S396" s="14"/>
      <c r="T396" s="14"/>
      <c r="U396" s="59"/>
      <c r="V396" s="59"/>
      <c r="W396" s="14"/>
      <c r="X396" s="14"/>
      <c r="Y396" s="60"/>
      <c r="Z396" s="60"/>
      <c r="AA396" s="60"/>
      <c r="AB396" s="60"/>
      <c r="AC396" s="60"/>
      <c r="AD396" s="60"/>
      <c r="AE396" s="60"/>
      <c r="AF396" s="14"/>
      <c r="AG396" s="14"/>
      <c r="AH396" s="14"/>
      <c r="AI396" s="14"/>
      <c r="AJ396" s="14"/>
      <c r="AK396" s="14"/>
      <c r="AL396" s="14"/>
      <c r="AM396" s="14"/>
      <c r="AN396" s="61"/>
    </row>
    <row r="397">
      <c r="A397" s="14"/>
      <c r="B397" s="14"/>
      <c r="C397" s="14"/>
      <c r="D397" s="14"/>
      <c r="E397" s="14"/>
      <c r="F397" s="14"/>
      <c r="G397" s="14"/>
      <c r="H397" s="14"/>
      <c r="I397" s="14"/>
      <c r="J397" s="14"/>
      <c r="K397" s="14"/>
      <c r="L397" s="14"/>
      <c r="M397" s="14"/>
      <c r="N397" s="14"/>
      <c r="O397" s="14"/>
      <c r="P397" s="14"/>
      <c r="Q397" s="58"/>
      <c r="R397" s="58"/>
      <c r="S397" s="14"/>
      <c r="T397" s="14"/>
      <c r="U397" s="59"/>
      <c r="V397" s="59"/>
      <c r="W397" s="14"/>
      <c r="X397" s="14"/>
      <c r="Y397" s="60"/>
      <c r="Z397" s="60"/>
      <c r="AA397" s="60"/>
      <c r="AB397" s="60"/>
      <c r="AC397" s="60"/>
      <c r="AD397" s="60"/>
      <c r="AE397" s="60"/>
      <c r="AF397" s="14"/>
      <c r="AG397" s="14"/>
      <c r="AH397" s="14"/>
      <c r="AI397" s="14"/>
      <c r="AJ397" s="14"/>
      <c r="AK397" s="14"/>
      <c r="AL397" s="14"/>
      <c r="AM397" s="14"/>
      <c r="AN397" s="61"/>
    </row>
    <row r="398">
      <c r="A398" s="14"/>
      <c r="B398" s="14"/>
      <c r="C398" s="14"/>
      <c r="D398" s="14"/>
      <c r="E398" s="14"/>
      <c r="F398" s="14"/>
      <c r="G398" s="14"/>
      <c r="H398" s="14"/>
      <c r="I398" s="14"/>
      <c r="J398" s="14"/>
      <c r="K398" s="14"/>
      <c r="L398" s="14"/>
      <c r="M398" s="14"/>
      <c r="N398" s="14"/>
      <c r="O398" s="14"/>
      <c r="P398" s="14"/>
      <c r="Q398" s="58"/>
      <c r="R398" s="58"/>
      <c r="S398" s="14"/>
      <c r="T398" s="14"/>
      <c r="U398" s="59"/>
      <c r="V398" s="59"/>
      <c r="W398" s="14"/>
      <c r="X398" s="14"/>
      <c r="Y398" s="60"/>
      <c r="Z398" s="60"/>
      <c r="AA398" s="60"/>
      <c r="AB398" s="60"/>
      <c r="AC398" s="60"/>
      <c r="AD398" s="60"/>
      <c r="AE398" s="60"/>
      <c r="AF398" s="14"/>
      <c r="AG398" s="14"/>
      <c r="AH398" s="14"/>
      <c r="AI398" s="14"/>
      <c r="AJ398" s="14"/>
      <c r="AK398" s="14"/>
      <c r="AL398" s="14"/>
      <c r="AM398" s="14"/>
      <c r="AN398" s="61"/>
    </row>
    <row r="399">
      <c r="A399" s="14"/>
      <c r="B399" s="14"/>
      <c r="C399" s="14"/>
      <c r="D399" s="14"/>
      <c r="E399" s="14"/>
      <c r="F399" s="14"/>
      <c r="G399" s="14"/>
      <c r="H399" s="14"/>
      <c r="I399" s="14"/>
      <c r="J399" s="14"/>
      <c r="K399" s="14"/>
      <c r="L399" s="14"/>
      <c r="M399" s="14"/>
      <c r="N399" s="14"/>
      <c r="O399" s="14"/>
      <c r="P399" s="14"/>
      <c r="Q399" s="58"/>
      <c r="R399" s="58"/>
      <c r="S399" s="14"/>
      <c r="T399" s="14"/>
      <c r="U399" s="59"/>
      <c r="V399" s="59"/>
      <c r="W399" s="14"/>
      <c r="X399" s="14"/>
      <c r="Y399" s="60"/>
      <c r="Z399" s="60"/>
      <c r="AA399" s="60"/>
      <c r="AB399" s="60"/>
      <c r="AC399" s="60"/>
      <c r="AD399" s="60"/>
      <c r="AE399" s="60"/>
      <c r="AF399" s="14"/>
      <c r="AG399" s="14"/>
      <c r="AH399" s="14"/>
      <c r="AI399" s="14"/>
      <c r="AJ399" s="14"/>
      <c r="AK399" s="14"/>
      <c r="AL399" s="14"/>
      <c r="AM399" s="14"/>
      <c r="AN399" s="61"/>
    </row>
    <row r="400">
      <c r="A400" s="14"/>
      <c r="B400" s="14"/>
      <c r="C400" s="14"/>
      <c r="D400" s="14"/>
      <c r="E400" s="14"/>
      <c r="F400" s="14"/>
      <c r="G400" s="14"/>
      <c r="H400" s="14"/>
      <c r="I400" s="14"/>
      <c r="J400" s="14"/>
      <c r="K400" s="14"/>
      <c r="L400" s="14"/>
      <c r="M400" s="14"/>
      <c r="N400" s="14"/>
      <c r="O400" s="14"/>
      <c r="P400" s="14"/>
      <c r="Q400" s="58"/>
      <c r="R400" s="58"/>
      <c r="S400" s="14"/>
      <c r="T400" s="14"/>
      <c r="U400" s="59"/>
      <c r="V400" s="59"/>
      <c r="W400" s="14"/>
      <c r="X400" s="14"/>
      <c r="Y400" s="60"/>
      <c r="Z400" s="60"/>
      <c r="AA400" s="60"/>
      <c r="AB400" s="60"/>
      <c r="AC400" s="60"/>
      <c r="AD400" s="60"/>
      <c r="AE400" s="60"/>
      <c r="AF400" s="14"/>
      <c r="AG400" s="14"/>
      <c r="AH400" s="14"/>
      <c r="AI400" s="14"/>
      <c r="AJ400" s="14"/>
      <c r="AK400" s="14"/>
      <c r="AL400" s="14"/>
      <c r="AM400" s="14"/>
      <c r="AN400" s="61"/>
    </row>
    <row r="401">
      <c r="A401" s="14"/>
      <c r="B401" s="14"/>
      <c r="C401" s="14"/>
      <c r="D401" s="14"/>
      <c r="E401" s="14"/>
      <c r="F401" s="14"/>
      <c r="G401" s="14"/>
      <c r="H401" s="14"/>
      <c r="I401" s="14"/>
      <c r="J401" s="14"/>
      <c r="K401" s="14"/>
      <c r="L401" s="14"/>
      <c r="M401" s="14"/>
      <c r="N401" s="14"/>
      <c r="O401" s="14"/>
      <c r="P401" s="14"/>
      <c r="Q401" s="58"/>
      <c r="R401" s="58"/>
      <c r="S401" s="14"/>
      <c r="T401" s="14"/>
      <c r="U401" s="59"/>
      <c r="V401" s="59"/>
      <c r="W401" s="14"/>
      <c r="X401" s="14"/>
      <c r="Y401" s="60"/>
      <c r="Z401" s="60"/>
      <c r="AA401" s="60"/>
      <c r="AB401" s="60"/>
      <c r="AC401" s="60"/>
      <c r="AD401" s="60"/>
      <c r="AE401" s="60"/>
      <c r="AF401" s="14"/>
      <c r="AG401" s="14"/>
      <c r="AH401" s="14"/>
      <c r="AI401" s="14"/>
      <c r="AJ401" s="14"/>
      <c r="AK401" s="14"/>
      <c r="AL401" s="14"/>
      <c r="AM401" s="14"/>
      <c r="AN401" s="61"/>
    </row>
    <row r="402">
      <c r="A402" s="14"/>
      <c r="B402" s="14"/>
      <c r="C402" s="14"/>
      <c r="D402" s="14"/>
      <c r="E402" s="14"/>
      <c r="F402" s="14"/>
      <c r="G402" s="14"/>
      <c r="H402" s="14"/>
      <c r="I402" s="14"/>
      <c r="J402" s="14"/>
      <c r="K402" s="14"/>
      <c r="L402" s="14"/>
      <c r="M402" s="14"/>
      <c r="N402" s="14"/>
      <c r="O402" s="14"/>
      <c r="P402" s="14"/>
      <c r="Q402" s="58"/>
      <c r="R402" s="58"/>
      <c r="S402" s="14"/>
      <c r="T402" s="14"/>
      <c r="U402" s="59"/>
      <c r="V402" s="59"/>
      <c r="W402" s="14"/>
      <c r="X402" s="14"/>
      <c r="Y402" s="60"/>
      <c r="Z402" s="60"/>
      <c r="AA402" s="60"/>
      <c r="AB402" s="60"/>
      <c r="AC402" s="60"/>
      <c r="AD402" s="60"/>
      <c r="AE402" s="60"/>
      <c r="AF402" s="14"/>
      <c r="AG402" s="14"/>
      <c r="AH402" s="14"/>
      <c r="AI402" s="14"/>
      <c r="AJ402" s="14"/>
      <c r="AK402" s="14"/>
      <c r="AL402" s="14"/>
      <c r="AM402" s="14"/>
      <c r="AN402" s="61"/>
    </row>
    <row r="403">
      <c r="A403" s="14"/>
      <c r="B403" s="14"/>
      <c r="C403" s="14"/>
      <c r="D403" s="14"/>
      <c r="E403" s="14"/>
      <c r="F403" s="14"/>
      <c r="G403" s="14"/>
      <c r="H403" s="14"/>
      <c r="I403" s="14"/>
      <c r="J403" s="14"/>
      <c r="K403" s="14"/>
      <c r="L403" s="14"/>
      <c r="M403" s="14"/>
      <c r="N403" s="14"/>
      <c r="O403" s="14"/>
      <c r="P403" s="14"/>
      <c r="Q403" s="58"/>
      <c r="R403" s="58"/>
      <c r="S403" s="14"/>
      <c r="T403" s="14"/>
      <c r="U403" s="59"/>
      <c r="V403" s="59"/>
      <c r="W403" s="14"/>
      <c r="X403" s="14"/>
      <c r="Y403" s="60"/>
      <c r="Z403" s="60"/>
      <c r="AA403" s="60"/>
      <c r="AB403" s="60"/>
      <c r="AC403" s="60"/>
      <c r="AD403" s="60"/>
      <c r="AE403" s="60"/>
      <c r="AF403" s="14"/>
      <c r="AG403" s="14"/>
      <c r="AH403" s="14"/>
      <c r="AI403" s="14"/>
      <c r="AJ403" s="14"/>
      <c r="AK403" s="14"/>
      <c r="AL403" s="14"/>
      <c r="AM403" s="14"/>
      <c r="AN403" s="61"/>
    </row>
    <row r="404">
      <c r="A404" s="14"/>
      <c r="B404" s="14"/>
      <c r="C404" s="14"/>
      <c r="D404" s="14"/>
      <c r="E404" s="14"/>
      <c r="F404" s="14"/>
      <c r="G404" s="14"/>
      <c r="H404" s="14"/>
      <c r="I404" s="14"/>
      <c r="J404" s="14"/>
      <c r="K404" s="14"/>
      <c r="L404" s="14"/>
      <c r="M404" s="14"/>
      <c r="N404" s="14"/>
      <c r="O404" s="14"/>
      <c r="P404" s="14"/>
      <c r="Q404" s="58"/>
      <c r="R404" s="58"/>
      <c r="S404" s="14"/>
      <c r="T404" s="14"/>
      <c r="U404" s="59"/>
      <c r="V404" s="59"/>
      <c r="W404" s="14"/>
      <c r="X404" s="14"/>
      <c r="Y404" s="60"/>
      <c r="Z404" s="60"/>
      <c r="AA404" s="60"/>
      <c r="AB404" s="60"/>
      <c r="AC404" s="60"/>
      <c r="AD404" s="60"/>
      <c r="AE404" s="60"/>
      <c r="AF404" s="14"/>
      <c r="AG404" s="14"/>
      <c r="AH404" s="14"/>
      <c r="AI404" s="14"/>
      <c r="AJ404" s="14"/>
      <c r="AK404" s="14"/>
      <c r="AL404" s="14"/>
      <c r="AM404" s="14"/>
      <c r="AN404" s="61"/>
    </row>
    <row r="405">
      <c r="A405" s="14"/>
      <c r="B405" s="14"/>
      <c r="C405" s="14"/>
      <c r="D405" s="14"/>
      <c r="E405" s="14"/>
      <c r="F405" s="14"/>
      <c r="G405" s="14"/>
      <c r="H405" s="14"/>
      <c r="I405" s="14"/>
      <c r="J405" s="14"/>
      <c r="K405" s="14"/>
      <c r="L405" s="14"/>
      <c r="M405" s="14"/>
      <c r="N405" s="14"/>
      <c r="O405" s="14"/>
      <c r="P405" s="14"/>
      <c r="Q405" s="58"/>
      <c r="R405" s="58"/>
      <c r="S405" s="14"/>
      <c r="T405" s="14"/>
      <c r="U405" s="59"/>
      <c r="V405" s="59"/>
      <c r="W405" s="14"/>
      <c r="X405" s="14"/>
      <c r="Y405" s="60"/>
      <c r="Z405" s="60"/>
      <c r="AA405" s="60"/>
      <c r="AB405" s="60"/>
      <c r="AC405" s="60"/>
      <c r="AD405" s="60"/>
      <c r="AE405" s="60"/>
      <c r="AF405" s="14"/>
      <c r="AG405" s="14"/>
      <c r="AH405" s="14"/>
      <c r="AI405" s="14"/>
      <c r="AJ405" s="14"/>
      <c r="AK405" s="14"/>
      <c r="AL405" s="14"/>
      <c r="AM405" s="14"/>
      <c r="AN405" s="61"/>
    </row>
    <row r="406">
      <c r="A406" s="14"/>
      <c r="B406" s="14"/>
      <c r="C406" s="14"/>
      <c r="D406" s="14"/>
      <c r="E406" s="14"/>
      <c r="F406" s="14"/>
      <c r="G406" s="14"/>
      <c r="H406" s="14"/>
      <c r="I406" s="14"/>
      <c r="J406" s="14"/>
      <c r="K406" s="14"/>
      <c r="L406" s="14"/>
      <c r="M406" s="14"/>
      <c r="N406" s="14"/>
      <c r="O406" s="14"/>
      <c r="P406" s="14"/>
      <c r="Q406" s="58"/>
      <c r="R406" s="58"/>
      <c r="S406" s="14"/>
      <c r="T406" s="14"/>
      <c r="U406" s="59"/>
      <c r="V406" s="59"/>
      <c r="W406" s="14"/>
      <c r="X406" s="14"/>
      <c r="Y406" s="60"/>
      <c r="Z406" s="60"/>
      <c r="AA406" s="60"/>
      <c r="AB406" s="60"/>
      <c r="AC406" s="60"/>
      <c r="AD406" s="60"/>
      <c r="AE406" s="60"/>
      <c r="AF406" s="14"/>
      <c r="AG406" s="14"/>
      <c r="AH406" s="14"/>
      <c r="AI406" s="14"/>
      <c r="AJ406" s="14"/>
      <c r="AK406" s="14"/>
      <c r="AL406" s="14"/>
      <c r="AM406" s="14"/>
      <c r="AN406" s="61"/>
    </row>
    <row r="407">
      <c r="A407" s="14"/>
      <c r="B407" s="14"/>
      <c r="C407" s="14"/>
      <c r="D407" s="14"/>
      <c r="E407" s="14"/>
      <c r="F407" s="14"/>
      <c r="G407" s="14"/>
      <c r="H407" s="14"/>
      <c r="I407" s="14"/>
      <c r="J407" s="14"/>
      <c r="K407" s="14"/>
      <c r="L407" s="14"/>
      <c r="M407" s="14"/>
      <c r="N407" s="14"/>
      <c r="O407" s="14"/>
      <c r="P407" s="14"/>
      <c r="Q407" s="58"/>
      <c r="R407" s="58"/>
      <c r="S407" s="14"/>
      <c r="T407" s="14"/>
      <c r="U407" s="59"/>
      <c r="V407" s="59"/>
      <c r="W407" s="14"/>
      <c r="X407" s="14"/>
      <c r="Y407" s="60"/>
      <c r="Z407" s="60"/>
      <c r="AA407" s="60"/>
      <c r="AB407" s="60"/>
      <c r="AC407" s="60"/>
      <c r="AD407" s="60"/>
      <c r="AE407" s="60"/>
      <c r="AF407" s="14"/>
      <c r="AG407" s="14"/>
      <c r="AH407" s="14"/>
      <c r="AI407" s="14"/>
      <c r="AJ407" s="14"/>
      <c r="AK407" s="14"/>
      <c r="AL407" s="14"/>
      <c r="AM407" s="14"/>
      <c r="AN407" s="61"/>
    </row>
    <row r="408">
      <c r="A408" s="14"/>
      <c r="B408" s="14"/>
      <c r="C408" s="14"/>
      <c r="D408" s="14"/>
      <c r="E408" s="14"/>
      <c r="F408" s="14"/>
      <c r="G408" s="14"/>
      <c r="H408" s="14"/>
      <c r="I408" s="14"/>
      <c r="J408" s="14"/>
      <c r="K408" s="14"/>
      <c r="L408" s="14"/>
      <c r="M408" s="14"/>
      <c r="N408" s="14"/>
      <c r="O408" s="14"/>
      <c r="P408" s="14"/>
      <c r="Q408" s="58"/>
      <c r="R408" s="58"/>
      <c r="S408" s="14"/>
      <c r="T408" s="14"/>
      <c r="U408" s="59"/>
      <c r="V408" s="59"/>
      <c r="W408" s="14"/>
      <c r="X408" s="14"/>
      <c r="Y408" s="60"/>
      <c r="Z408" s="60"/>
      <c r="AA408" s="60"/>
      <c r="AB408" s="60"/>
      <c r="AC408" s="60"/>
      <c r="AD408" s="60"/>
      <c r="AE408" s="60"/>
      <c r="AF408" s="14"/>
      <c r="AG408" s="14"/>
      <c r="AH408" s="14"/>
      <c r="AI408" s="14"/>
      <c r="AJ408" s="14"/>
      <c r="AK408" s="14"/>
      <c r="AL408" s="14"/>
      <c r="AM408" s="14"/>
      <c r="AN408" s="61"/>
    </row>
    <row r="409">
      <c r="A409" s="14"/>
      <c r="B409" s="14"/>
      <c r="C409" s="14"/>
      <c r="D409" s="14"/>
      <c r="E409" s="14"/>
      <c r="F409" s="14"/>
      <c r="G409" s="14"/>
      <c r="H409" s="14"/>
      <c r="I409" s="14"/>
      <c r="J409" s="14"/>
      <c r="K409" s="14"/>
      <c r="L409" s="14"/>
      <c r="M409" s="14"/>
      <c r="N409" s="14"/>
      <c r="O409" s="14"/>
      <c r="P409" s="14"/>
      <c r="Q409" s="58"/>
      <c r="R409" s="58"/>
      <c r="S409" s="14"/>
      <c r="T409" s="14"/>
      <c r="U409" s="59"/>
      <c r="V409" s="59"/>
      <c r="W409" s="14"/>
      <c r="X409" s="14"/>
      <c r="Y409" s="60"/>
      <c r="Z409" s="60"/>
      <c r="AA409" s="60"/>
      <c r="AB409" s="60"/>
      <c r="AC409" s="60"/>
      <c r="AD409" s="60"/>
      <c r="AE409" s="60"/>
      <c r="AF409" s="14"/>
      <c r="AG409" s="14"/>
      <c r="AH409" s="14"/>
      <c r="AI409" s="14"/>
      <c r="AJ409" s="14"/>
      <c r="AK409" s="14"/>
      <c r="AL409" s="14"/>
      <c r="AM409" s="14"/>
      <c r="AN409" s="61"/>
    </row>
    <row r="410">
      <c r="A410" s="14"/>
      <c r="B410" s="14"/>
      <c r="C410" s="14"/>
      <c r="D410" s="14"/>
      <c r="E410" s="14"/>
      <c r="F410" s="14"/>
      <c r="G410" s="14"/>
      <c r="H410" s="14"/>
      <c r="I410" s="14"/>
      <c r="J410" s="14"/>
      <c r="K410" s="14"/>
      <c r="L410" s="14"/>
      <c r="M410" s="14"/>
      <c r="N410" s="14"/>
      <c r="O410" s="14"/>
      <c r="P410" s="14"/>
      <c r="Q410" s="58"/>
      <c r="R410" s="58"/>
      <c r="S410" s="14"/>
      <c r="T410" s="14"/>
      <c r="U410" s="59"/>
      <c r="V410" s="59"/>
      <c r="W410" s="14"/>
      <c r="X410" s="14"/>
      <c r="Y410" s="60"/>
      <c r="Z410" s="60"/>
      <c r="AA410" s="60"/>
      <c r="AB410" s="60"/>
      <c r="AC410" s="60"/>
      <c r="AD410" s="60"/>
      <c r="AE410" s="60"/>
      <c r="AF410" s="14"/>
      <c r="AG410" s="14"/>
      <c r="AH410" s="14"/>
      <c r="AI410" s="14"/>
      <c r="AJ410" s="14"/>
      <c r="AK410" s="14"/>
      <c r="AL410" s="14"/>
      <c r="AM410" s="14"/>
      <c r="AN410" s="61"/>
    </row>
    <row r="411">
      <c r="A411" s="14"/>
      <c r="B411" s="14"/>
      <c r="C411" s="14"/>
      <c r="D411" s="14"/>
      <c r="E411" s="14"/>
      <c r="F411" s="14"/>
      <c r="G411" s="14"/>
      <c r="H411" s="14"/>
      <c r="I411" s="14"/>
      <c r="J411" s="14"/>
      <c r="K411" s="14"/>
      <c r="L411" s="14"/>
      <c r="M411" s="14"/>
      <c r="N411" s="14"/>
      <c r="O411" s="14"/>
      <c r="P411" s="14"/>
      <c r="Q411" s="58"/>
      <c r="R411" s="58"/>
      <c r="S411" s="14"/>
      <c r="T411" s="14"/>
      <c r="U411" s="59"/>
      <c r="V411" s="59"/>
      <c r="W411" s="14"/>
      <c r="X411" s="14"/>
      <c r="Y411" s="60"/>
      <c r="Z411" s="60"/>
      <c r="AA411" s="60"/>
      <c r="AB411" s="60"/>
      <c r="AC411" s="60"/>
      <c r="AD411" s="60"/>
      <c r="AE411" s="60"/>
      <c r="AF411" s="14"/>
      <c r="AG411" s="14"/>
      <c r="AH411" s="14"/>
      <c r="AI411" s="14"/>
      <c r="AJ411" s="14"/>
      <c r="AK411" s="14"/>
      <c r="AL411" s="14"/>
      <c r="AM411" s="14"/>
      <c r="AN411" s="61"/>
    </row>
    <row r="412">
      <c r="A412" s="14"/>
      <c r="B412" s="14"/>
      <c r="C412" s="14"/>
      <c r="D412" s="14"/>
      <c r="E412" s="14"/>
      <c r="F412" s="14"/>
      <c r="G412" s="14"/>
      <c r="H412" s="14"/>
      <c r="I412" s="14"/>
      <c r="J412" s="14"/>
      <c r="K412" s="14"/>
      <c r="L412" s="14"/>
      <c r="M412" s="14"/>
      <c r="N412" s="14"/>
      <c r="O412" s="14"/>
      <c r="P412" s="14"/>
      <c r="Q412" s="58"/>
      <c r="R412" s="58"/>
      <c r="S412" s="14"/>
      <c r="T412" s="14"/>
      <c r="U412" s="59"/>
      <c r="V412" s="59"/>
      <c r="W412" s="14"/>
      <c r="X412" s="14"/>
      <c r="Y412" s="60"/>
      <c r="Z412" s="60"/>
      <c r="AA412" s="60"/>
      <c r="AB412" s="60"/>
      <c r="AC412" s="60"/>
      <c r="AD412" s="60"/>
      <c r="AE412" s="60"/>
      <c r="AF412" s="14"/>
      <c r="AG412" s="14"/>
      <c r="AH412" s="14"/>
      <c r="AI412" s="14"/>
      <c r="AJ412" s="14"/>
      <c r="AK412" s="14"/>
      <c r="AL412" s="14"/>
      <c r="AM412" s="14"/>
      <c r="AN412" s="61"/>
    </row>
    <row r="413">
      <c r="A413" s="14"/>
      <c r="B413" s="14"/>
      <c r="C413" s="14"/>
      <c r="D413" s="14"/>
      <c r="E413" s="14"/>
      <c r="F413" s="14"/>
      <c r="G413" s="14"/>
      <c r="H413" s="14"/>
      <c r="I413" s="14"/>
      <c r="J413" s="14"/>
      <c r="K413" s="14"/>
      <c r="L413" s="14"/>
      <c r="M413" s="14"/>
      <c r="N413" s="14"/>
      <c r="O413" s="14"/>
      <c r="P413" s="14"/>
      <c r="Q413" s="58"/>
      <c r="R413" s="58"/>
      <c r="S413" s="14"/>
      <c r="T413" s="14"/>
      <c r="U413" s="59"/>
      <c r="V413" s="59"/>
      <c r="W413" s="14"/>
      <c r="X413" s="14"/>
      <c r="Y413" s="60"/>
      <c r="Z413" s="60"/>
      <c r="AA413" s="60"/>
      <c r="AB413" s="60"/>
      <c r="AC413" s="60"/>
      <c r="AD413" s="60"/>
      <c r="AE413" s="60"/>
      <c r="AF413" s="14"/>
      <c r="AG413" s="14"/>
      <c r="AH413" s="14"/>
      <c r="AI413" s="14"/>
      <c r="AJ413" s="14"/>
      <c r="AK413" s="14"/>
      <c r="AL413" s="14"/>
      <c r="AM413" s="14"/>
      <c r="AN413" s="61"/>
    </row>
    <row r="414">
      <c r="A414" s="14"/>
      <c r="B414" s="14"/>
      <c r="C414" s="14"/>
      <c r="D414" s="14"/>
      <c r="E414" s="14"/>
      <c r="F414" s="14"/>
      <c r="G414" s="14"/>
      <c r="H414" s="14"/>
      <c r="I414" s="14"/>
      <c r="J414" s="14"/>
      <c r="K414" s="14"/>
      <c r="L414" s="14"/>
      <c r="M414" s="14"/>
      <c r="N414" s="14"/>
      <c r="O414" s="14"/>
      <c r="P414" s="14"/>
      <c r="Q414" s="58"/>
      <c r="R414" s="58"/>
      <c r="S414" s="14"/>
      <c r="T414" s="14"/>
      <c r="U414" s="59"/>
      <c r="V414" s="59"/>
      <c r="W414" s="14"/>
      <c r="X414" s="14"/>
      <c r="Y414" s="60"/>
      <c r="Z414" s="60"/>
      <c r="AA414" s="60"/>
      <c r="AB414" s="60"/>
      <c r="AC414" s="60"/>
      <c r="AD414" s="60"/>
      <c r="AE414" s="60"/>
      <c r="AF414" s="14"/>
      <c r="AG414" s="14"/>
      <c r="AH414" s="14"/>
      <c r="AI414" s="14"/>
      <c r="AJ414" s="14"/>
      <c r="AK414" s="14"/>
      <c r="AL414" s="14"/>
      <c r="AM414" s="14"/>
      <c r="AN414" s="61"/>
    </row>
    <row r="415">
      <c r="A415" s="14"/>
      <c r="B415" s="14"/>
      <c r="C415" s="14"/>
      <c r="D415" s="14"/>
      <c r="E415" s="14"/>
      <c r="F415" s="14"/>
      <c r="G415" s="14"/>
      <c r="H415" s="14"/>
      <c r="I415" s="14"/>
      <c r="J415" s="14"/>
      <c r="K415" s="14"/>
      <c r="L415" s="14"/>
      <c r="M415" s="14"/>
      <c r="N415" s="14"/>
      <c r="O415" s="14"/>
      <c r="P415" s="14"/>
      <c r="Q415" s="58"/>
      <c r="R415" s="58"/>
      <c r="S415" s="14"/>
      <c r="T415" s="14"/>
      <c r="U415" s="59"/>
      <c r="V415" s="59"/>
      <c r="W415" s="14"/>
      <c r="X415" s="14"/>
      <c r="Y415" s="60"/>
      <c r="Z415" s="60"/>
      <c r="AA415" s="60"/>
      <c r="AB415" s="60"/>
      <c r="AC415" s="60"/>
      <c r="AD415" s="60"/>
      <c r="AE415" s="60"/>
      <c r="AF415" s="14"/>
      <c r="AG415" s="14"/>
      <c r="AH415" s="14"/>
      <c r="AI415" s="14"/>
      <c r="AJ415" s="14"/>
      <c r="AK415" s="14"/>
      <c r="AL415" s="14"/>
      <c r="AM415" s="14"/>
      <c r="AN415" s="61"/>
    </row>
    <row r="416">
      <c r="A416" s="14"/>
      <c r="B416" s="14"/>
      <c r="C416" s="14"/>
      <c r="D416" s="14"/>
      <c r="E416" s="14"/>
      <c r="F416" s="14"/>
      <c r="G416" s="14"/>
      <c r="H416" s="14"/>
      <c r="I416" s="14"/>
      <c r="J416" s="14"/>
      <c r="K416" s="14"/>
      <c r="L416" s="14"/>
      <c r="M416" s="14"/>
      <c r="N416" s="14"/>
      <c r="O416" s="14"/>
      <c r="P416" s="14"/>
      <c r="Q416" s="58"/>
      <c r="R416" s="58"/>
      <c r="S416" s="14"/>
      <c r="T416" s="14"/>
      <c r="U416" s="59"/>
      <c r="V416" s="59"/>
      <c r="W416" s="14"/>
      <c r="X416" s="14"/>
      <c r="Y416" s="60"/>
      <c r="Z416" s="60"/>
      <c r="AA416" s="60"/>
      <c r="AB416" s="60"/>
      <c r="AC416" s="60"/>
      <c r="AD416" s="60"/>
      <c r="AE416" s="60"/>
      <c r="AF416" s="14"/>
      <c r="AG416" s="14"/>
      <c r="AH416" s="14"/>
      <c r="AI416" s="14"/>
      <c r="AJ416" s="14"/>
      <c r="AK416" s="14"/>
      <c r="AL416" s="14"/>
      <c r="AM416" s="14"/>
      <c r="AN416" s="61"/>
    </row>
    <row r="417">
      <c r="A417" s="14"/>
      <c r="B417" s="14"/>
      <c r="C417" s="14"/>
      <c r="D417" s="14"/>
      <c r="E417" s="14"/>
      <c r="F417" s="14"/>
      <c r="G417" s="14"/>
      <c r="H417" s="14"/>
      <c r="I417" s="14"/>
      <c r="J417" s="14"/>
      <c r="K417" s="14"/>
      <c r="L417" s="14"/>
      <c r="M417" s="14"/>
      <c r="N417" s="14"/>
      <c r="O417" s="14"/>
      <c r="P417" s="14"/>
      <c r="Q417" s="58"/>
      <c r="R417" s="58"/>
      <c r="S417" s="14"/>
      <c r="T417" s="14"/>
      <c r="U417" s="59"/>
      <c r="V417" s="59"/>
      <c r="W417" s="14"/>
      <c r="X417" s="14"/>
      <c r="Y417" s="60"/>
      <c r="Z417" s="60"/>
      <c r="AA417" s="60"/>
      <c r="AB417" s="60"/>
      <c r="AC417" s="60"/>
      <c r="AD417" s="60"/>
      <c r="AE417" s="60"/>
      <c r="AF417" s="14"/>
      <c r="AG417" s="14"/>
      <c r="AH417" s="14"/>
      <c r="AI417" s="14"/>
      <c r="AJ417" s="14"/>
      <c r="AK417" s="14"/>
      <c r="AL417" s="14"/>
      <c r="AM417" s="14"/>
      <c r="AN417" s="61"/>
    </row>
    <row r="418">
      <c r="A418" s="14"/>
      <c r="B418" s="14"/>
      <c r="C418" s="14"/>
      <c r="D418" s="14"/>
      <c r="E418" s="14"/>
      <c r="F418" s="14"/>
      <c r="G418" s="14"/>
      <c r="H418" s="14"/>
      <c r="I418" s="14"/>
      <c r="J418" s="14"/>
      <c r="K418" s="14"/>
      <c r="L418" s="14"/>
      <c r="M418" s="14"/>
      <c r="N418" s="14"/>
      <c r="O418" s="14"/>
      <c r="P418" s="14"/>
      <c r="Q418" s="58"/>
      <c r="R418" s="58"/>
      <c r="S418" s="14"/>
      <c r="T418" s="14"/>
      <c r="U418" s="59"/>
      <c r="V418" s="59"/>
      <c r="W418" s="14"/>
      <c r="X418" s="14"/>
      <c r="Y418" s="60"/>
      <c r="Z418" s="60"/>
      <c r="AA418" s="60"/>
      <c r="AB418" s="60"/>
      <c r="AC418" s="60"/>
      <c r="AD418" s="60"/>
      <c r="AE418" s="60"/>
      <c r="AF418" s="14"/>
      <c r="AG418" s="14"/>
      <c r="AH418" s="14"/>
      <c r="AI418" s="14"/>
      <c r="AJ418" s="14"/>
      <c r="AK418" s="14"/>
      <c r="AL418" s="14"/>
      <c r="AM418" s="14"/>
      <c r="AN418" s="61"/>
    </row>
    <row r="419">
      <c r="A419" s="14"/>
      <c r="B419" s="14"/>
      <c r="C419" s="14"/>
      <c r="D419" s="14"/>
      <c r="E419" s="14"/>
      <c r="F419" s="14"/>
      <c r="G419" s="14"/>
      <c r="H419" s="14"/>
      <c r="I419" s="14"/>
      <c r="J419" s="14"/>
      <c r="K419" s="14"/>
      <c r="L419" s="14"/>
      <c r="M419" s="14"/>
      <c r="N419" s="14"/>
      <c r="O419" s="14"/>
      <c r="P419" s="14"/>
      <c r="Q419" s="58"/>
      <c r="R419" s="58"/>
      <c r="S419" s="14"/>
      <c r="T419" s="14"/>
      <c r="U419" s="59"/>
      <c r="V419" s="59"/>
      <c r="W419" s="14"/>
      <c r="X419" s="14"/>
      <c r="Y419" s="60"/>
      <c r="Z419" s="60"/>
      <c r="AA419" s="60"/>
      <c r="AB419" s="60"/>
      <c r="AC419" s="60"/>
      <c r="AD419" s="60"/>
      <c r="AE419" s="60"/>
      <c r="AF419" s="14"/>
      <c r="AG419" s="14"/>
      <c r="AH419" s="14"/>
      <c r="AI419" s="14"/>
      <c r="AJ419" s="14"/>
      <c r="AK419" s="14"/>
      <c r="AL419" s="14"/>
      <c r="AM419" s="14"/>
      <c r="AN419" s="61"/>
    </row>
    <row r="420">
      <c r="A420" s="14"/>
      <c r="B420" s="14"/>
      <c r="C420" s="14"/>
      <c r="D420" s="14"/>
      <c r="E420" s="14"/>
      <c r="F420" s="14"/>
      <c r="G420" s="14"/>
      <c r="H420" s="14"/>
      <c r="I420" s="14"/>
      <c r="J420" s="14"/>
      <c r="K420" s="14"/>
      <c r="L420" s="14"/>
      <c r="M420" s="14"/>
      <c r="N420" s="14"/>
      <c r="O420" s="14"/>
      <c r="P420" s="14"/>
      <c r="Q420" s="58"/>
      <c r="R420" s="58"/>
      <c r="S420" s="14"/>
      <c r="T420" s="14"/>
      <c r="U420" s="59"/>
      <c r="V420" s="59"/>
      <c r="W420" s="14"/>
      <c r="X420" s="14"/>
      <c r="Y420" s="60"/>
      <c r="Z420" s="60"/>
      <c r="AA420" s="60"/>
      <c r="AB420" s="60"/>
      <c r="AC420" s="60"/>
      <c r="AD420" s="60"/>
      <c r="AE420" s="60"/>
      <c r="AF420" s="14"/>
      <c r="AG420" s="14"/>
      <c r="AH420" s="14"/>
      <c r="AI420" s="14"/>
      <c r="AJ420" s="14"/>
      <c r="AK420" s="14"/>
      <c r="AL420" s="14"/>
      <c r="AM420" s="14"/>
      <c r="AN420" s="61"/>
    </row>
    <row r="421">
      <c r="A421" s="14"/>
      <c r="B421" s="14"/>
      <c r="C421" s="14"/>
      <c r="D421" s="14"/>
      <c r="E421" s="14"/>
      <c r="F421" s="14"/>
      <c r="G421" s="14"/>
      <c r="H421" s="14"/>
      <c r="I421" s="14"/>
      <c r="J421" s="14"/>
      <c r="K421" s="14"/>
      <c r="L421" s="14"/>
      <c r="M421" s="14"/>
      <c r="N421" s="14"/>
      <c r="O421" s="14"/>
      <c r="P421" s="14"/>
      <c r="Q421" s="58"/>
      <c r="R421" s="58"/>
      <c r="S421" s="14"/>
      <c r="T421" s="14"/>
      <c r="U421" s="59"/>
      <c r="V421" s="59"/>
      <c r="W421" s="14"/>
      <c r="X421" s="14"/>
      <c r="Y421" s="60"/>
      <c r="Z421" s="60"/>
      <c r="AA421" s="60"/>
      <c r="AB421" s="60"/>
      <c r="AC421" s="60"/>
      <c r="AD421" s="60"/>
      <c r="AE421" s="60"/>
      <c r="AF421" s="14"/>
      <c r="AG421" s="14"/>
      <c r="AH421" s="14"/>
      <c r="AI421" s="14"/>
      <c r="AJ421" s="14"/>
      <c r="AK421" s="14"/>
      <c r="AL421" s="14"/>
      <c r="AM421" s="14"/>
      <c r="AN421" s="61"/>
    </row>
    <row r="422">
      <c r="A422" s="14"/>
      <c r="B422" s="14"/>
      <c r="C422" s="14"/>
      <c r="D422" s="14"/>
      <c r="E422" s="14"/>
      <c r="F422" s="14"/>
      <c r="G422" s="14"/>
      <c r="H422" s="14"/>
      <c r="I422" s="14"/>
      <c r="J422" s="14"/>
      <c r="K422" s="14"/>
      <c r="L422" s="14"/>
      <c r="M422" s="14"/>
      <c r="N422" s="14"/>
      <c r="O422" s="14"/>
      <c r="P422" s="14"/>
      <c r="Q422" s="58"/>
      <c r="R422" s="58"/>
      <c r="S422" s="14"/>
      <c r="T422" s="14"/>
      <c r="U422" s="59"/>
      <c r="V422" s="59"/>
      <c r="W422" s="14"/>
      <c r="X422" s="14"/>
      <c r="Y422" s="60"/>
      <c r="Z422" s="60"/>
      <c r="AA422" s="60"/>
      <c r="AB422" s="60"/>
      <c r="AC422" s="60"/>
      <c r="AD422" s="60"/>
      <c r="AE422" s="60"/>
      <c r="AF422" s="14"/>
      <c r="AG422" s="14"/>
      <c r="AH422" s="14"/>
      <c r="AI422" s="14"/>
      <c r="AJ422" s="14"/>
      <c r="AK422" s="14"/>
      <c r="AL422" s="14"/>
      <c r="AM422" s="14"/>
      <c r="AN422" s="61"/>
    </row>
    <row r="423">
      <c r="A423" s="14"/>
      <c r="B423" s="14"/>
      <c r="C423" s="14"/>
      <c r="D423" s="14"/>
      <c r="E423" s="14"/>
      <c r="F423" s="14"/>
      <c r="G423" s="14"/>
      <c r="H423" s="14"/>
      <c r="I423" s="14"/>
      <c r="J423" s="14"/>
      <c r="K423" s="14"/>
      <c r="L423" s="14"/>
      <c r="M423" s="14"/>
      <c r="N423" s="14"/>
      <c r="O423" s="14"/>
      <c r="P423" s="14"/>
      <c r="Q423" s="58"/>
      <c r="R423" s="58"/>
      <c r="S423" s="14"/>
      <c r="T423" s="14"/>
      <c r="U423" s="59"/>
      <c r="V423" s="59"/>
      <c r="W423" s="14"/>
      <c r="X423" s="14"/>
      <c r="Y423" s="60"/>
      <c r="Z423" s="60"/>
      <c r="AA423" s="60"/>
      <c r="AB423" s="60"/>
      <c r="AC423" s="60"/>
      <c r="AD423" s="60"/>
      <c r="AE423" s="60"/>
      <c r="AF423" s="14"/>
      <c r="AG423" s="14"/>
      <c r="AH423" s="14"/>
      <c r="AI423" s="14"/>
      <c r="AJ423" s="14"/>
      <c r="AK423" s="14"/>
      <c r="AL423" s="14"/>
      <c r="AM423" s="14"/>
      <c r="AN423" s="61"/>
    </row>
    <row r="424">
      <c r="A424" s="14"/>
      <c r="B424" s="14"/>
      <c r="C424" s="14"/>
      <c r="D424" s="14"/>
      <c r="E424" s="14"/>
      <c r="F424" s="14"/>
      <c r="G424" s="14"/>
      <c r="H424" s="14"/>
      <c r="I424" s="14"/>
      <c r="J424" s="14"/>
      <c r="K424" s="14"/>
      <c r="L424" s="14"/>
      <c r="M424" s="14"/>
      <c r="N424" s="14"/>
      <c r="O424" s="14"/>
      <c r="P424" s="14"/>
      <c r="Q424" s="58"/>
      <c r="R424" s="58"/>
      <c r="S424" s="14"/>
      <c r="T424" s="14"/>
      <c r="U424" s="59"/>
      <c r="V424" s="59"/>
      <c r="W424" s="14"/>
      <c r="X424" s="14"/>
      <c r="Y424" s="60"/>
      <c r="Z424" s="60"/>
      <c r="AA424" s="60"/>
      <c r="AB424" s="60"/>
      <c r="AC424" s="60"/>
      <c r="AD424" s="60"/>
      <c r="AE424" s="60"/>
      <c r="AF424" s="14"/>
      <c r="AG424" s="14"/>
      <c r="AH424" s="14"/>
      <c r="AI424" s="14"/>
      <c r="AJ424" s="14"/>
      <c r="AK424" s="14"/>
      <c r="AL424" s="14"/>
      <c r="AM424" s="14"/>
      <c r="AN424" s="61"/>
    </row>
    <row r="425">
      <c r="A425" s="14"/>
      <c r="B425" s="14"/>
      <c r="C425" s="14"/>
      <c r="D425" s="14"/>
      <c r="E425" s="14"/>
      <c r="F425" s="14"/>
      <c r="G425" s="14"/>
      <c r="H425" s="14"/>
      <c r="I425" s="14"/>
      <c r="J425" s="14"/>
      <c r="K425" s="14"/>
      <c r="L425" s="14"/>
      <c r="M425" s="14"/>
      <c r="N425" s="14"/>
      <c r="O425" s="14"/>
      <c r="P425" s="14"/>
      <c r="Q425" s="58"/>
      <c r="R425" s="58"/>
      <c r="S425" s="14"/>
      <c r="T425" s="14"/>
      <c r="U425" s="59"/>
      <c r="V425" s="59"/>
      <c r="W425" s="14"/>
      <c r="X425" s="14"/>
      <c r="Y425" s="60"/>
      <c r="Z425" s="60"/>
      <c r="AA425" s="60"/>
      <c r="AB425" s="60"/>
      <c r="AC425" s="60"/>
      <c r="AD425" s="60"/>
      <c r="AE425" s="60"/>
      <c r="AF425" s="14"/>
      <c r="AG425" s="14"/>
      <c r="AH425" s="14"/>
      <c r="AI425" s="14"/>
      <c r="AJ425" s="14"/>
      <c r="AK425" s="14"/>
      <c r="AL425" s="14"/>
      <c r="AM425" s="14"/>
      <c r="AN425" s="61"/>
    </row>
    <row r="426">
      <c r="A426" s="14"/>
      <c r="B426" s="14"/>
      <c r="C426" s="14"/>
      <c r="D426" s="14"/>
      <c r="E426" s="14"/>
      <c r="F426" s="14"/>
      <c r="G426" s="14"/>
      <c r="H426" s="14"/>
      <c r="I426" s="14"/>
      <c r="J426" s="14"/>
      <c r="K426" s="14"/>
      <c r="L426" s="14"/>
      <c r="M426" s="14"/>
      <c r="N426" s="14"/>
      <c r="O426" s="14"/>
      <c r="P426" s="14"/>
      <c r="Q426" s="58"/>
      <c r="R426" s="58"/>
      <c r="S426" s="14"/>
      <c r="T426" s="14"/>
      <c r="U426" s="59"/>
      <c r="V426" s="59"/>
      <c r="W426" s="14"/>
      <c r="X426" s="14"/>
      <c r="Y426" s="60"/>
      <c r="Z426" s="60"/>
      <c r="AA426" s="60"/>
      <c r="AB426" s="60"/>
      <c r="AC426" s="60"/>
      <c r="AD426" s="60"/>
      <c r="AE426" s="60"/>
      <c r="AF426" s="14"/>
      <c r="AG426" s="14"/>
      <c r="AH426" s="14"/>
      <c r="AI426" s="14"/>
      <c r="AJ426" s="14"/>
      <c r="AK426" s="14"/>
      <c r="AL426" s="14"/>
      <c r="AM426" s="14"/>
      <c r="AN426" s="61"/>
    </row>
    <row r="427">
      <c r="A427" s="14"/>
      <c r="B427" s="14"/>
      <c r="C427" s="14"/>
      <c r="D427" s="14"/>
      <c r="E427" s="14"/>
      <c r="F427" s="14"/>
      <c r="G427" s="14"/>
      <c r="H427" s="14"/>
      <c r="I427" s="14"/>
      <c r="J427" s="14"/>
      <c r="K427" s="14"/>
      <c r="L427" s="14"/>
      <c r="M427" s="14"/>
      <c r="N427" s="14"/>
      <c r="O427" s="14"/>
      <c r="P427" s="14"/>
      <c r="Q427" s="58"/>
      <c r="R427" s="58"/>
      <c r="S427" s="14"/>
      <c r="T427" s="14"/>
      <c r="U427" s="59"/>
      <c r="V427" s="59"/>
      <c r="W427" s="14"/>
      <c r="X427" s="14"/>
      <c r="Y427" s="60"/>
      <c r="Z427" s="60"/>
      <c r="AA427" s="60"/>
      <c r="AB427" s="60"/>
      <c r="AC427" s="60"/>
      <c r="AD427" s="60"/>
      <c r="AE427" s="60"/>
      <c r="AF427" s="14"/>
      <c r="AG427" s="14"/>
      <c r="AH427" s="14"/>
      <c r="AI427" s="14"/>
      <c r="AJ427" s="14"/>
      <c r="AK427" s="14"/>
      <c r="AL427" s="14"/>
      <c r="AM427" s="14"/>
      <c r="AN427" s="61"/>
    </row>
    <row r="428">
      <c r="A428" s="14"/>
      <c r="B428" s="14"/>
      <c r="C428" s="14"/>
      <c r="D428" s="14"/>
      <c r="E428" s="14"/>
      <c r="F428" s="14"/>
      <c r="G428" s="14"/>
      <c r="H428" s="14"/>
      <c r="I428" s="14"/>
      <c r="J428" s="14"/>
      <c r="K428" s="14"/>
      <c r="L428" s="14"/>
      <c r="M428" s="14"/>
      <c r="N428" s="14"/>
      <c r="O428" s="14"/>
      <c r="P428" s="14"/>
      <c r="Q428" s="58"/>
      <c r="R428" s="58"/>
      <c r="S428" s="14"/>
      <c r="T428" s="14"/>
      <c r="U428" s="59"/>
      <c r="V428" s="59"/>
      <c r="W428" s="14"/>
      <c r="X428" s="14"/>
      <c r="Y428" s="60"/>
      <c r="Z428" s="60"/>
      <c r="AA428" s="60"/>
      <c r="AB428" s="60"/>
      <c r="AC428" s="60"/>
      <c r="AD428" s="60"/>
      <c r="AE428" s="60"/>
      <c r="AF428" s="14"/>
      <c r="AG428" s="14"/>
      <c r="AH428" s="14"/>
      <c r="AI428" s="14"/>
      <c r="AJ428" s="14"/>
      <c r="AK428" s="14"/>
      <c r="AL428" s="14"/>
      <c r="AM428" s="14"/>
      <c r="AN428" s="61"/>
    </row>
    <row r="429">
      <c r="A429" s="14"/>
      <c r="B429" s="14"/>
      <c r="C429" s="14"/>
      <c r="D429" s="14"/>
      <c r="E429" s="14"/>
      <c r="F429" s="14"/>
      <c r="G429" s="14"/>
      <c r="H429" s="14"/>
      <c r="I429" s="14"/>
      <c r="J429" s="14"/>
      <c r="K429" s="14"/>
      <c r="L429" s="14"/>
      <c r="M429" s="14"/>
      <c r="N429" s="14"/>
      <c r="O429" s="14"/>
      <c r="P429" s="14"/>
      <c r="Q429" s="58"/>
      <c r="R429" s="58"/>
      <c r="S429" s="14"/>
      <c r="T429" s="14"/>
      <c r="U429" s="59"/>
      <c r="V429" s="59"/>
      <c r="W429" s="14"/>
      <c r="X429" s="14"/>
      <c r="Y429" s="60"/>
      <c r="Z429" s="60"/>
      <c r="AA429" s="60"/>
      <c r="AB429" s="60"/>
      <c r="AC429" s="60"/>
      <c r="AD429" s="60"/>
      <c r="AE429" s="60"/>
      <c r="AF429" s="14"/>
      <c r="AG429" s="14"/>
      <c r="AH429" s="14"/>
      <c r="AI429" s="14"/>
      <c r="AJ429" s="14"/>
      <c r="AK429" s="14"/>
      <c r="AL429" s="14"/>
      <c r="AM429" s="14"/>
      <c r="AN429" s="61"/>
    </row>
    <row r="430">
      <c r="A430" s="14"/>
      <c r="B430" s="14"/>
      <c r="C430" s="14"/>
      <c r="D430" s="14"/>
      <c r="E430" s="14"/>
      <c r="F430" s="14"/>
      <c r="G430" s="14"/>
      <c r="H430" s="14"/>
      <c r="I430" s="14"/>
      <c r="J430" s="14"/>
      <c r="K430" s="14"/>
      <c r="L430" s="14"/>
      <c r="M430" s="14"/>
      <c r="N430" s="14"/>
      <c r="O430" s="14"/>
      <c r="P430" s="14"/>
      <c r="Q430" s="58"/>
      <c r="R430" s="58"/>
      <c r="S430" s="14"/>
      <c r="T430" s="14"/>
      <c r="U430" s="59"/>
      <c r="V430" s="59"/>
      <c r="W430" s="14"/>
      <c r="X430" s="14"/>
      <c r="Y430" s="60"/>
      <c r="Z430" s="60"/>
      <c r="AA430" s="60"/>
      <c r="AB430" s="60"/>
      <c r="AC430" s="60"/>
      <c r="AD430" s="60"/>
      <c r="AE430" s="60"/>
      <c r="AF430" s="14"/>
      <c r="AG430" s="14"/>
      <c r="AH430" s="14"/>
      <c r="AI430" s="14"/>
      <c r="AJ430" s="14"/>
      <c r="AK430" s="14"/>
      <c r="AL430" s="14"/>
      <c r="AM430" s="14"/>
      <c r="AN430" s="61"/>
    </row>
    <row r="431">
      <c r="A431" s="14"/>
      <c r="B431" s="14"/>
      <c r="C431" s="14"/>
      <c r="D431" s="14"/>
      <c r="E431" s="14"/>
      <c r="F431" s="14"/>
      <c r="G431" s="14"/>
      <c r="H431" s="14"/>
      <c r="I431" s="14"/>
      <c r="J431" s="14"/>
      <c r="K431" s="14"/>
      <c r="L431" s="14"/>
      <c r="M431" s="14"/>
      <c r="N431" s="14"/>
      <c r="O431" s="14"/>
      <c r="P431" s="14"/>
      <c r="Q431" s="58"/>
      <c r="R431" s="58"/>
      <c r="S431" s="14"/>
      <c r="T431" s="14"/>
      <c r="U431" s="59"/>
      <c r="V431" s="59"/>
      <c r="W431" s="14"/>
      <c r="X431" s="14"/>
      <c r="Y431" s="60"/>
      <c r="Z431" s="60"/>
      <c r="AA431" s="60"/>
      <c r="AB431" s="60"/>
      <c r="AC431" s="60"/>
      <c r="AD431" s="60"/>
      <c r="AE431" s="60"/>
      <c r="AF431" s="14"/>
      <c r="AG431" s="14"/>
      <c r="AH431" s="14"/>
      <c r="AI431" s="14"/>
      <c r="AJ431" s="14"/>
      <c r="AK431" s="14"/>
      <c r="AL431" s="14"/>
      <c r="AM431" s="14"/>
      <c r="AN431" s="61"/>
    </row>
    <row r="432">
      <c r="A432" s="14"/>
      <c r="B432" s="14"/>
      <c r="C432" s="14"/>
      <c r="D432" s="14"/>
      <c r="E432" s="14"/>
      <c r="F432" s="14"/>
      <c r="G432" s="14"/>
      <c r="H432" s="14"/>
      <c r="I432" s="14"/>
      <c r="J432" s="14"/>
      <c r="K432" s="14"/>
      <c r="L432" s="14"/>
      <c r="M432" s="14"/>
      <c r="N432" s="14"/>
      <c r="O432" s="14"/>
      <c r="P432" s="14"/>
      <c r="Q432" s="58"/>
      <c r="R432" s="58"/>
      <c r="S432" s="14"/>
      <c r="T432" s="14"/>
      <c r="U432" s="59"/>
      <c r="V432" s="59"/>
      <c r="W432" s="14"/>
      <c r="X432" s="14"/>
      <c r="Y432" s="60"/>
      <c r="Z432" s="60"/>
      <c r="AA432" s="60"/>
      <c r="AB432" s="60"/>
      <c r="AC432" s="60"/>
      <c r="AD432" s="60"/>
      <c r="AE432" s="60"/>
      <c r="AF432" s="14"/>
      <c r="AG432" s="14"/>
      <c r="AH432" s="14"/>
      <c r="AI432" s="14"/>
      <c r="AJ432" s="14"/>
      <c r="AK432" s="14"/>
      <c r="AL432" s="14"/>
      <c r="AM432" s="14"/>
      <c r="AN432" s="61"/>
    </row>
    <row r="433">
      <c r="A433" s="14"/>
      <c r="B433" s="14"/>
      <c r="C433" s="14"/>
      <c r="D433" s="14"/>
      <c r="E433" s="14"/>
      <c r="F433" s="14"/>
      <c r="G433" s="14"/>
      <c r="H433" s="14"/>
      <c r="I433" s="14"/>
      <c r="J433" s="14"/>
      <c r="K433" s="14"/>
      <c r="L433" s="14"/>
      <c r="M433" s="14"/>
      <c r="N433" s="14"/>
      <c r="O433" s="14"/>
      <c r="P433" s="14"/>
      <c r="Q433" s="58"/>
      <c r="R433" s="58"/>
      <c r="S433" s="14"/>
      <c r="T433" s="14"/>
      <c r="U433" s="59"/>
      <c r="V433" s="59"/>
      <c r="W433" s="14"/>
      <c r="X433" s="14"/>
      <c r="Y433" s="60"/>
      <c r="Z433" s="60"/>
      <c r="AA433" s="60"/>
      <c r="AB433" s="60"/>
      <c r="AC433" s="60"/>
      <c r="AD433" s="60"/>
      <c r="AE433" s="60"/>
      <c r="AF433" s="14"/>
      <c r="AG433" s="14"/>
      <c r="AH433" s="14"/>
      <c r="AI433" s="14"/>
      <c r="AJ433" s="14"/>
      <c r="AK433" s="14"/>
      <c r="AL433" s="14"/>
      <c r="AM433" s="14"/>
      <c r="AN433" s="61"/>
    </row>
    <row r="434">
      <c r="A434" s="14"/>
      <c r="B434" s="14"/>
      <c r="C434" s="14"/>
      <c r="D434" s="14"/>
      <c r="E434" s="14"/>
      <c r="F434" s="14"/>
      <c r="G434" s="14"/>
      <c r="H434" s="14"/>
      <c r="I434" s="14"/>
      <c r="J434" s="14"/>
      <c r="K434" s="14"/>
      <c r="L434" s="14"/>
      <c r="M434" s="14"/>
      <c r="N434" s="14"/>
      <c r="O434" s="14"/>
      <c r="P434" s="14"/>
      <c r="Q434" s="58"/>
      <c r="R434" s="58"/>
      <c r="S434" s="14"/>
      <c r="T434" s="14"/>
      <c r="U434" s="59"/>
      <c r="V434" s="59"/>
      <c r="W434" s="14"/>
      <c r="X434" s="14"/>
      <c r="Y434" s="60"/>
      <c r="Z434" s="60"/>
      <c r="AA434" s="60"/>
      <c r="AB434" s="60"/>
      <c r="AC434" s="60"/>
      <c r="AD434" s="60"/>
      <c r="AE434" s="60"/>
      <c r="AF434" s="14"/>
      <c r="AG434" s="14"/>
      <c r="AH434" s="14"/>
      <c r="AI434" s="14"/>
      <c r="AJ434" s="14"/>
      <c r="AK434" s="14"/>
      <c r="AL434" s="14"/>
      <c r="AM434" s="14"/>
      <c r="AN434" s="61"/>
    </row>
    <row r="435">
      <c r="A435" s="14"/>
      <c r="B435" s="14"/>
      <c r="C435" s="14"/>
      <c r="D435" s="14"/>
      <c r="E435" s="14"/>
      <c r="F435" s="14"/>
      <c r="G435" s="14"/>
      <c r="H435" s="14"/>
      <c r="I435" s="14"/>
      <c r="J435" s="14"/>
      <c r="K435" s="14"/>
      <c r="L435" s="14"/>
      <c r="M435" s="14"/>
      <c r="N435" s="14"/>
      <c r="O435" s="14"/>
      <c r="P435" s="14"/>
      <c r="Q435" s="58"/>
      <c r="R435" s="58"/>
      <c r="S435" s="14"/>
      <c r="T435" s="14"/>
      <c r="U435" s="59"/>
      <c r="V435" s="59"/>
      <c r="W435" s="14"/>
      <c r="X435" s="14"/>
      <c r="Y435" s="60"/>
      <c r="Z435" s="60"/>
      <c r="AA435" s="60"/>
      <c r="AB435" s="60"/>
      <c r="AC435" s="60"/>
      <c r="AD435" s="60"/>
      <c r="AE435" s="60"/>
      <c r="AF435" s="14"/>
      <c r="AG435" s="14"/>
      <c r="AH435" s="14"/>
      <c r="AI435" s="14"/>
      <c r="AJ435" s="14"/>
      <c r="AK435" s="14"/>
      <c r="AL435" s="14"/>
      <c r="AM435" s="14"/>
      <c r="AN435" s="61"/>
    </row>
    <row r="436">
      <c r="A436" s="14"/>
      <c r="B436" s="14"/>
      <c r="C436" s="14"/>
      <c r="D436" s="14"/>
      <c r="E436" s="14"/>
      <c r="F436" s="14"/>
      <c r="G436" s="14"/>
      <c r="H436" s="14"/>
      <c r="I436" s="14"/>
      <c r="J436" s="14"/>
      <c r="K436" s="14"/>
      <c r="L436" s="14"/>
      <c r="M436" s="14"/>
      <c r="N436" s="14"/>
      <c r="O436" s="14"/>
      <c r="P436" s="14"/>
      <c r="Q436" s="58"/>
      <c r="R436" s="58"/>
      <c r="S436" s="14"/>
      <c r="T436" s="14"/>
      <c r="U436" s="59"/>
      <c r="V436" s="59"/>
      <c r="W436" s="14"/>
      <c r="X436" s="14"/>
      <c r="Y436" s="60"/>
      <c r="Z436" s="60"/>
      <c r="AA436" s="60"/>
      <c r="AB436" s="60"/>
      <c r="AC436" s="60"/>
      <c r="AD436" s="60"/>
      <c r="AE436" s="60"/>
      <c r="AF436" s="14"/>
      <c r="AG436" s="14"/>
      <c r="AH436" s="14"/>
      <c r="AI436" s="14"/>
      <c r="AJ436" s="14"/>
      <c r="AK436" s="14"/>
      <c r="AL436" s="14"/>
      <c r="AM436" s="14"/>
      <c r="AN436" s="61"/>
    </row>
    <row r="437">
      <c r="A437" s="14"/>
      <c r="B437" s="14"/>
      <c r="C437" s="14"/>
      <c r="D437" s="14"/>
      <c r="E437" s="14"/>
      <c r="F437" s="14"/>
      <c r="G437" s="14"/>
      <c r="H437" s="14"/>
      <c r="I437" s="14"/>
      <c r="J437" s="14"/>
      <c r="K437" s="14"/>
      <c r="L437" s="14"/>
      <c r="M437" s="14"/>
      <c r="N437" s="14"/>
      <c r="O437" s="14"/>
      <c r="P437" s="14"/>
      <c r="Q437" s="58"/>
      <c r="R437" s="58"/>
      <c r="S437" s="14"/>
      <c r="T437" s="14"/>
      <c r="U437" s="59"/>
      <c r="V437" s="59"/>
      <c r="W437" s="14"/>
      <c r="X437" s="14"/>
      <c r="Y437" s="60"/>
      <c r="Z437" s="60"/>
      <c r="AA437" s="60"/>
      <c r="AB437" s="60"/>
      <c r="AC437" s="60"/>
      <c r="AD437" s="60"/>
      <c r="AE437" s="60"/>
      <c r="AF437" s="14"/>
      <c r="AG437" s="14"/>
      <c r="AH437" s="14"/>
      <c r="AI437" s="14"/>
      <c r="AJ437" s="14"/>
      <c r="AK437" s="14"/>
      <c r="AL437" s="14"/>
      <c r="AM437" s="14"/>
      <c r="AN437" s="61"/>
    </row>
    <row r="438">
      <c r="A438" s="14"/>
      <c r="B438" s="14"/>
      <c r="C438" s="14"/>
      <c r="D438" s="14"/>
      <c r="E438" s="14"/>
      <c r="F438" s="14"/>
      <c r="G438" s="14"/>
      <c r="H438" s="14"/>
      <c r="I438" s="14"/>
      <c r="J438" s="14"/>
      <c r="K438" s="14"/>
      <c r="L438" s="14"/>
      <c r="M438" s="14"/>
      <c r="N438" s="14"/>
      <c r="O438" s="14"/>
      <c r="P438" s="14"/>
      <c r="Q438" s="58"/>
      <c r="R438" s="58"/>
      <c r="S438" s="14"/>
      <c r="T438" s="14"/>
      <c r="U438" s="59"/>
      <c r="V438" s="59"/>
      <c r="W438" s="14"/>
      <c r="X438" s="14"/>
      <c r="Y438" s="60"/>
      <c r="Z438" s="60"/>
      <c r="AA438" s="60"/>
      <c r="AB438" s="60"/>
      <c r="AC438" s="60"/>
      <c r="AD438" s="60"/>
      <c r="AE438" s="60"/>
      <c r="AF438" s="14"/>
      <c r="AG438" s="14"/>
      <c r="AH438" s="14"/>
      <c r="AI438" s="14"/>
      <c r="AJ438" s="14"/>
      <c r="AK438" s="14"/>
      <c r="AL438" s="14"/>
      <c r="AM438" s="14"/>
      <c r="AN438" s="61"/>
    </row>
    <row r="439">
      <c r="A439" s="14"/>
      <c r="B439" s="14"/>
      <c r="C439" s="14"/>
      <c r="D439" s="14"/>
      <c r="E439" s="14"/>
      <c r="F439" s="14"/>
      <c r="G439" s="14"/>
      <c r="H439" s="14"/>
      <c r="I439" s="14"/>
      <c r="J439" s="14"/>
      <c r="K439" s="14"/>
      <c r="L439" s="14"/>
      <c r="M439" s="14"/>
      <c r="N439" s="14"/>
      <c r="O439" s="14"/>
      <c r="P439" s="14"/>
      <c r="Q439" s="58"/>
      <c r="R439" s="58"/>
      <c r="S439" s="14"/>
      <c r="T439" s="14"/>
      <c r="U439" s="59"/>
      <c r="V439" s="59"/>
      <c r="W439" s="14"/>
      <c r="X439" s="14"/>
      <c r="Y439" s="60"/>
      <c r="Z439" s="60"/>
      <c r="AA439" s="60"/>
      <c r="AB439" s="60"/>
      <c r="AC439" s="60"/>
      <c r="AD439" s="60"/>
      <c r="AE439" s="60"/>
      <c r="AF439" s="14"/>
      <c r="AG439" s="14"/>
      <c r="AH439" s="14"/>
      <c r="AI439" s="14"/>
      <c r="AJ439" s="14"/>
      <c r="AK439" s="14"/>
      <c r="AL439" s="14"/>
      <c r="AM439" s="14"/>
      <c r="AN439" s="61"/>
    </row>
    <row r="440">
      <c r="A440" s="14"/>
      <c r="B440" s="14"/>
      <c r="C440" s="14"/>
      <c r="D440" s="14"/>
      <c r="E440" s="14"/>
      <c r="F440" s="14"/>
      <c r="G440" s="14"/>
      <c r="H440" s="14"/>
      <c r="I440" s="14"/>
      <c r="J440" s="14"/>
      <c r="K440" s="14"/>
      <c r="L440" s="14"/>
      <c r="M440" s="14"/>
      <c r="N440" s="14"/>
      <c r="O440" s="14"/>
      <c r="P440" s="14"/>
      <c r="Q440" s="58"/>
      <c r="R440" s="58"/>
      <c r="S440" s="14"/>
      <c r="T440" s="14"/>
      <c r="U440" s="59"/>
      <c r="V440" s="59"/>
      <c r="W440" s="14"/>
      <c r="X440" s="14"/>
      <c r="Y440" s="60"/>
      <c r="Z440" s="60"/>
      <c r="AA440" s="60"/>
      <c r="AB440" s="60"/>
      <c r="AC440" s="60"/>
      <c r="AD440" s="60"/>
      <c r="AE440" s="60"/>
      <c r="AF440" s="14"/>
      <c r="AG440" s="14"/>
      <c r="AH440" s="14"/>
      <c r="AI440" s="14"/>
      <c r="AJ440" s="14"/>
      <c r="AK440" s="14"/>
      <c r="AL440" s="14"/>
      <c r="AM440" s="14"/>
      <c r="AN440" s="61"/>
    </row>
    <row r="441">
      <c r="A441" s="14"/>
      <c r="B441" s="14"/>
      <c r="C441" s="14"/>
      <c r="D441" s="14"/>
      <c r="E441" s="14"/>
      <c r="F441" s="14"/>
      <c r="G441" s="14"/>
      <c r="H441" s="14"/>
      <c r="I441" s="14"/>
      <c r="J441" s="14"/>
      <c r="K441" s="14"/>
      <c r="L441" s="14"/>
      <c r="M441" s="14"/>
      <c r="N441" s="14"/>
      <c r="O441" s="14"/>
      <c r="P441" s="14"/>
      <c r="Q441" s="58"/>
      <c r="R441" s="58"/>
      <c r="S441" s="14"/>
      <c r="T441" s="14"/>
      <c r="U441" s="59"/>
      <c r="V441" s="59"/>
      <c r="W441" s="14"/>
      <c r="X441" s="14"/>
      <c r="Y441" s="60"/>
      <c r="Z441" s="60"/>
      <c r="AA441" s="60"/>
      <c r="AB441" s="60"/>
      <c r="AC441" s="60"/>
      <c r="AD441" s="60"/>
      <c r="AE441" s="60"/>
      <c r="AF441" s="14"/>
      <c r="AG441" s="14"/>
      <c r="AH441" s="14"/>
      <c r="AI441" s="14"/>
      <c r="AJ441" s="14"/>
      <c r="AK441" s="14"/>
      <c r="AL441" s="14"/>
      <c r="AM441" s="14"/>
      <c r="AN441" s="61"/>
    </row>
    <row r="442">
      <c r="A442" s="14"/>
      <c r="B442" s="14"/>
      <c r="C442" s="14"/>
      <c r="D442" s="14"/>
      <c r="E442" s="14"/>
      <c r="F442" s="14"/>
      <c r="G442" s="14"/>
      <c r="H442" s="14"/>
      <c r="I442" s="14"/>
      <c r="J442" s="14"/>
      <c r="K442" s="14"/>
      <c r="L442" s="14"/>
      <c r="M442" s="14"/>
      <c r="N442" s="14"/>
      <c r="O442" s="14"/>
      <c r="P442" s="14"/>
      <c r="Q442" s="58"/>
      <c r="R442" s="58"/>
      <c r="S442" s="14"/>
      <c r="T442" s="14"/>
      <c r="U442" s="59"/>
      <c r="V442" s="59"/>
      <c r="W442" s="14"/>
      <c r="X442" s="14"/>
      <c r="Y442" s="60"/>
      <c r="Z442" s="60"/>
      <c r="AA442" s="60"/>
      <c r="AB442" s="60"/>
      <c r="AC442" s="60"/>
      <c r="AD442" s="60"/>
      <c r="AE442" s="60"/>
      <c r="AF442" s="14"/>
      <c r="AG442" s="14"/>
      <c r="AH442" s="14"/>
      <c r="AI442" s="14"/>
      <c r="AJ442" s="14"/>
      <c r="AK442" s="14"/>
      <c r="AL442" s="14"/>
      <c r="AM442" s="14"/>
      <c r="AN442" s="61"/>
    </row>
    <row r="443">
      <c r="A443" s="14"/>
      <c r="B443" s="14"/>
      <c r="C443" s="14"/>
      <c r="D443" s="14"/>
      <c r="E443" s="14"/>
      <c r="F443" s="14"/>
      <c r="G443" s="14"/>
      <c r="H443" s="14"/>
      <c r="I443" s="14"/>
      <c r="J443" s="14"/>
      <c r="K443" s="14"/>
      <c r="L443" s="14"/>
      <c r="M443" s="14"/>
      <c r="N443" s="14"/>
      <c r="O443" s="14"/>
      <c r="P443" s="14"/>
      <c r="Q443" s="58"/>
      <c r="R443" s="58"/>
      <c r="S443" s="14"/>
      <c r="T443" s="14"/>
      <c r="U443" s="59"/>
      <c r="V443" s="59"/>
      <c r="W443" s="14"/>
      <c r="X443" s="14"/>
      <c r="Y443" s="60"/>
      <c r="Z443" s="60"/>
      <c r="AA443" s="60"/>
      <c r="AB443" s="60"/>
      <c r="AC443" s="60"/>
      <c r="AD443" s="60"/>
      <c r="AE443" s="60"/>
      <c r="AF443" s="14"/>
      <c r="AG443" s="14"/>
      <c r="AH443" s="14"/>
      <c r="AI443" s="14"/>
      <c r="AJ443" s="14"/>
      <c r="AK443" s="14"/>
      <c r="AL443" s="14"/>
      <c r="AM443" s="14"/>
      <c r="AN443" s="61"/>
    </row>
    <row r="444">
      <c r="A444" s="14"/>
      <c r="B444" s="14"/>
      <c r="C444" s="14"/>
      <c r="D444" s="14"/>
      <c r="E444" s="14"/>
      <c r="F444" s="14"/>
      <c r="G444" s="14"/>
      <c r="H444" s="14"/>
      <c r="I444" s="14"/>
      <c r="J444" s="14"/>
      <c r="K444" s="14"/>
      <c r="L444" s="14"/>
      <c r="M444" s="14"/>
      <c r="N444" s="14"/>
      <c r="O444" s="14"/>
      <c r="P444" s="14"/>
      <c r="Q444" s="58"/>
      <c r="R444" s="58"/>
      <c r="S444" s="14"/>
      <c r="T444" s="14"/>
      <c r="U444" s="59"/>
      <c r="V444" s="59"/>
      <c r="W444" s="14"/>
      <c r="X444" s="14"/>
      <c r="Y444" s="60"/>
      <c r="Z444" s="60"/>
      <c r="AA444" s="60"/>
      <c r="AB444" s="60"/>
      <c r="AC444" s="60"/>
      <c r="AD444" s="60"/>
      <c r="AE444" s="60"/>
      <c r="AF444" s="14"/>
      <c r="AG444" s="14"/>
      <c r="AH444" s="14"/>
      <c r="AI444" s="14"/>
      <c r="AJ444" s="14"/>
      <c r="AK444" s="14"/>
      <c r="AL444" s="14"/>
      <c r="AM444" s="14"/>
      <c r="AN444" s="61"/>
    </row>
    <row r="445">
      <c r="A445" s="14"/>
      <c r="B445" s="14"/>
      <c r="C445" s="14"/>
      <c r="D445" s="14"/>
      <c r="E445" s="14"/>
      <c r="F445" s="14"/>
      <c r="G445" s="14"/>
      <c r="H445" s="14"/>
      <c r="I445" s="14"/>
      <c r="J445" s="14"/>
      <c r="K445" s="14"/>
      <c r="L445" s="14"/>
      <c r="M445" s="14"/>
      <c r="N445" s="14"/>
      <c r="O445" s="14"/>
      <c r="P445" s="14"/>
      <c r="Q445" s="58"/>
      <c r="R445" s="58"/>
      <c r="S445" s="14"/>
      <c r="T445" s="14"/>
      <c r="U445" s="59"/>
      <c r="V445" s="59"/>
      <c r="W445" s="14"/>
      <c r="X445" s="14"/>
      <c r="Y445" s="60"/>
      <c r="Z445" s="60"/>
      <c r="AA445" s="60"/>
      <c r="AB445" s="60"/>
      <c r="AC445" s="60"/>
      <c r="AD445" s="60"/>
      <c r="AE445" s="60"/>
      <c r="AF445" s="14"/>
      <c r="AG445" s="14"/>
      <c r="AH445" s="14"/>
      <c r="AI445" s="14"/>
      <c r="AJ445" s="14"/>
      <c r="AK445" s="14"/>
      <c r="AL445" s="14"/>
      <c r="AM445" s="14"/>
      <c r="AN445" s="61"/>
    </row>
    <row r="446">
      <c r="A446" s="14"/>
      <c r="B446" s="14"/>
      <c r="C446" s="14"/>
      <c r="D446" s="14"/>
      <c r="E446" s="14"/>
      <c r="F446" s="14"/>
      <c r="G446" s="14"/>
      <c r="H446" s="14"/>
      <c r="I446" s="14"/>
      <c r="J446" s="14"/>
      <c r="K446" s="14"/>
      <c r="L446" s="14"/>
      <c r="M446" s="14"/>
      <c r="N446" s="14"/>
      <c r="O446" s="14"/>
      <c r="P446" s="14"/>
      <c r="Q446" s="58"/>
      <c r="R446" s="58"/>
      <c r="S446" s="14"/>
      <c r="T446" s="14"/>
      <c r="U446" s="59"/>
      <c r="V446" s="59"/>
      <c r="W446" s="14"/>
      <c r="X446" s="14"/>
      <c r="Y446" s="60"/>
      <c r="Z446" s="60"/>
      <c r="AA446" s="60"/>
      <c r="AB446" s="60"/>
      <c r="AC446" s="60"/>
      <c r="AD446" s="60"/>
      <c r="AE446" s="60"/>
      <c r="AF446" s="14"/>
      <c r="AG446" s="14"/>
      <c r="AH446" s="14"/>
      <c r="AI446" s="14"/>
      <c r="AJ446" s="14"/>
      <c r="AK446" s="14"/>
      <c r="AL446" s="14"/>
      <c r="AM446" s="14"/>
      <c r="AN446" s="61"/>
    </row>
    <row r="447">
      <c r="A447" s="14"/>
      <c r="B447" s="14"/>
      <c r="C447" s="14"/>
      <c r="D447" s="14"/>
      <c r="E447" s="14"/>
      <c r="F447" s="14"/>
      <c r="G447" s="14"/>
      <c r="H447" s="14"/>
      <c r="I447" s="14"/>
      <c r="J447" s="14"/>
      <c r="K447" s="14"/>
      <c r="L447" s="14"/>
      <c r="M447" s="14"/>
      <c r="N447" s="14"/>
      <c r="O447" s="14"/>
      <c r="P447" s="14"/>
      <c r="Q447" s="58"/>
      <c r="R447" s="58"/>
      <c r="S447" s="14"/>
      <c r="T447" s="14"/>
      <c r="U447" s="59"/>
      <c r="V447" s="59"/>
      <c r="W447" s="14"/>
      <c r="X447" s="14"/>
      <c r="Y447" s="60"/>
      <c r="Z447" s="60"/>
      <c r="AA447" s="60"/>
      <c r="AB447" s="60"/>
      <c r="AC447" s="60"/>
      <c r="AD447" s="60"/>
      <c r="AE447" s="60"/>
      <c r="AF447" s="14"/>
      <c r="AG447" s="14"/>
      <c r="AH447" s="14"/>
      <c r="AI447" s="14"/>
      <c r="AJ447" s="14"/>
      <c r="AK447" s="14"/>
      <c r="AL447" s="14"/>
      <c r="AM447" s="14"/>
      <c r="AN447" s="61"/>
    </row>
    <row r="448">
      <c r="A448" s="14"/>
      <c r="B448" s="14"/>
      <c r="C448" s="14"/>
      <c r="D448" s="14"/>
      <c r="E448" s="14"/>
      <c r="F448" s="14"/>
      <c r="G448" s="14"/>
      <c r="H448" s="14"/>
      <c r="I448" s="14"/>
      <c r="J448" s="14"/>
      <c r="K448" s="14"/>
      <c r="L448" s="14"/>
      <c r="M448" s="14"/>
      <c r="N448" s="14"/>
      <c r="O448" s="14"/>
      <c r="P448" s="14"/>
      <c r="Q448" s="58"/>
      <c r="R448" s="58"/>
      <c r="S448" s="14"/>
      <c r="T448" s="14"/>
      <c r="U448" s="59"/>
      <c r="V448" s="59"/>
      <c r="W448" s="14"/>
      <c r="X448" s="14"/>
      <c r="Y448" s="60"/>
      <c r="Z448" s="60"/>
      <c r="AA448" s="60"/>
      <c r="AB448" s="60"/>
      <c r="AC448" s="60"/>
      <c r="AD448" s="60"/>
      <c r="AE448" s="60"/>
      <c r="AF448" s="14"/>
      <c r="AG448" s="14"/>
      <c r="AH448" s="14"/>
      <c r="AI448" s="14"/>
      <c r="AJ448" s="14"/>
      <c r="AK448" s="14"/>
      <c r="AL448" s="14"/>
      <c r="AM448" s="14"/>
      <c r="AN448" s="61"/>
    </row>
    <row r="449">
      <c r="A449" s="14"/>
      <c r="B449" s="14"/>
      <c r="C449" s="14"/>
      <c r="D449" s="14"/>
      <c r="E449" s="14"/>
      <c r="F449" s="14"/>
      <c r="G449" s="14"/>
      <c r="H449" s="14"/>
      <c r="I449" s="14"/>
      <c r="J449" s="14"/>
      <c r="K449" s="14"/>
      <c r="L449" s="14"/>
      <c r="M449" s="14"/>
      <c r="N449" s="14"/>
      <c r="O449" s="14"/>
      <c r="P449" s="14"/>
      <c r="Q449" s="58"/>
      <c r="R449" s="58"/>
      <c r="S449" s="14"/>
      <c r="T449" s="14"/>
      <c r="U449" s="59"/>
      <c r="V449" s="59"/>
      <c r="W449" s="14"/>
      <c r="X449" s="14"/>
      <c r="Y449" s="60"/>
      <c r="Z449" s="60"/>
      <c r="AA449" s="60"/>
      <c r="AB449" s="60"/>
      <c r="AC449" s="60"/>
      <c r="AD449" s="60"/>
      <c r="AE449" s="60"/>
      <c r="AF449" s="14"/>
      <c r="AG449" s="14"/>
      <c r="AH449" s="14"/>
      <c r="AI449" s="14"/>
      <c r="AJ449" s="14"/>
      <c r="AK449" s="14"/>
      <c r="AL449" s="14"/>
      <c r="AM449" s="14"/>
      <c r="AN449" s="61"/>
    </row>
    <row r="450">
      <c r="A450" s="14"/>
      <c r="B450" s="14"/>
      <c r="C450" s="14"/>
      <c r="D450" s="14"/>
      <c r="E450" s="14"/>
      <c r="F450" s="14"/>
      <c r="G450" s="14"/>
      <c r="H450" s="14"/>
      <c r="I450" s="14"/>
      <c r="J450" s="14"/>
      <c r="K450" s="14"/>
      <c r="L450" s="14"/>
      <c r="M450" s="14"/>
      <c r="N450" s="14"/>
      <c r="O450" s="14"/>
      <c r="P450" s="14"/>
      <c r="Q450" s="58"/>
      <c r="R450" s="58"/>
      <c r="S450" s="14"/>
      <c r="T450" s="14"/>
      <c r="U450" s="59"/>
      <c r="V450" s="59"/>
      <c r="W450" s="14"/>
      <c r="X450" s="14"/>
      <c r="Y450" s="60"/>
      <c r="Z450" s="60"/>
      <c r="AA450" s="60"/>
      <c r="AB450" s="60"/>
      <c r="AC450" s="60"/>
      <c r="AD450" s="60"/>
      <c r="AE450" s="60"/>
      <c r="AF450" s="14"/>
      <c r="AG450" s="14"/>
      <c r="AH450" s="14"/>
      <c r="AI450" s="14"/>
      <c r="AJ450" s="14"/>
      <c r="AK450" s="14"/>
      <c r="AL450" s="14"/>
      <c r="AM450" s="14"/>
      <c r="AN450" s="61"/>
    </row>
    <row r="451">
      <c r="A451" s="14"/>
      <c r="B451" s="14"/>
      <c r="C451" s="14"/>
      <c r="D451" s="14"/>
      <c r="E451" s="14"/>
      <c r="F451" s="14"/>
      <c r="G451" s="14"/>
      <c r="H451" s="14"/>
      <c r="I451" s="14"/>
      <c r="J451" s="14"/>
      <c r="K451" s="14"/>
      <c r="L451" s="14"/>
      <c r="M451" s="14"/>
      <c r="N451" s="14"/>
      <c r="O451" s="14"/>
      <c r="P451" s="14"/>
      <c r="Q451" s="58"/>
      <c r="R451" s="58"/>
      <c r="S451" s="14"/>
      <c r="T451" s="14"/>
      <c r="U451" s="59"/>
      <c r="V451" s="59"/>
      <c r="W451" s="14"/>
      <c r="X451" s="14"/>
      <c r="Y451" s="60"/>
      <c r="Z451" s="60"/>
      <c r="AA451" s="60"/>
      <c r="AB451" s="60"/>
      <c r="AC451" s="60"/>
      <c r="AD451" s="60"/>
      <c r="AE451" s="60"/>
      <c r="AF451" s="14"/>
      <c r="AG451" s="14"/>
      <c r="AH451" s="14"/>
      <c r="AI451" s="14"/>
      <c r="AJ451" s="14"/>
      <c r="AK451" s="14"/>
      <c r="AL451" s="14"/>
      <c r="AM451" s="14"/>
      <c r="AN451" s="61"/>
    </row>
    <row r="452">
      <c r="A452" s="14"/>
      <c r="B452" s="14"/>
      <c r="C452" s="14"/>
      <c r="D452" s="14"/>
      <c r="E452" s="14"/>
      <c r="F452" s="14"/>
      <c r="G452" s="14"/>
      <c r="H452" s="14"/>
      <c r="I452" s="14"/>
      <c r="J452" s="14"/>
      <c r="K452" s="14"/>
      <c r="L452" s="14"/>
      <c r="M452" s="14"/>
      <c r="N452" s="14"/>
      <c r="O452" s="14"/>
      <c r="P452" s="14"/>
      <c r="Q452" s="58"/>
      <c r="R452" s="58"/>
      <c r="S452" s="14"/>
      <c r="T452" s="14"/>
      <c r="U452" s="59"/>
      <c r="V452" s="59"/>
      <c r="W452" s="14"/>
      <c r="X452" s="14"/>
      <c r="Y452" s="60"/>
      <c r="Z452" s="60"/>
      <c r="AA452" s="60"/>
      <c r="AB452" s="60"/>
      <c r="AC452" s="60"/>
      <c r="AD452" s="60"/>
      <c r="AE452" s="60"/>
      <c r="AF452" s="14"/>
      <c r="AG452" s="14"/>
      <c r="AH452" s="14"/>
      <c r="AI452" s="14"/>
      <c r="AJ452" s="14"/>
      <c r="AK452" s="14"/>
      <c r="AL452" s="14"/>
      <c r="AM452" s="14"/>
      <c r="AN452" s="61"/>
    </row>
    <row r="453">
      <c r="A453" s="14"/>
      <c r="B453" s="14"/>
      <c r="C453" s="14"/>
      <c r="D453" s="14"/>
      <c r="E453" s="14"/>
      <c r="F453" s="14"/>
      <c r="G453" s="14"/>
      <c r="H453" s="14"/>
      <c r="I453" s="14"/>
      <c r="J453" s="14"/>
      <c r="K453" s="14"/>
      <c r="L453" s="14"/>
      <c r="M453" s="14"/>
      <c r="N453" s="14"/>
      <c r="O453" s="14"/>
      <c r="P453" s="14"/>
      <c r="Q453" s="58"/>
      <c r="R453" s="58"/>
      <c r="S453" s="14"/>
      <c r="T453" s="14"/>
      <c r="U453" s="59"/>
      <c r="V453" s="59"/>
      <c r="W453" s="14"/>
      <c r="X453" s="14"/>
      <c r="Y453" s="60"/>
      <c r="Z453" s="60"/>
      <c r="AA453" s="60"/>
      <c r="AB453" s="60"/>
      <c r="AC453" s="60"/>
      <c r="AD453" s="60"/>
      <c r="AE453" s="60"/>
      <c r="AF453" s="14"/>
      <c r="AG453" s="14"/>
      <c r="AH453" s="14"/>
      <c r="AI453" s="14"/>
      <c r="AJ453" s="14"/>
      <c r="AK453" s="14"/>
      <c r="AL453" s="14"/>
      <c r="AM453" s="14"/>
      <c r="AN453" s="61"/>
    </row>
    <row r="454">
      <c r="A454" s="14"/>
      <c r="B454" s="14"/>
      <c r="C454" s="14"/>
      <c r="D454" s="14"/>
      <c r="E454" s="14"/>
      <c r="F454" s="14"/>
      <c r="G454" s="14"/>
      <c r="H454" s="14"/>
      <c r="I454" s="14"/>
      <c r="J454" s="14"/>
      <c r="K454" s="14"/>
      <c r="L454" s="14"/>
      <c r="M454" s="14"/>
      <c r="N454" s="14"/>
      <c r="O454" s="14"/>
      <c r="P454" s="14"/>
      <c r="Q454" s="58"/>
      <c r="R454" s="58"/>
      <c r="S454" s="14"/>
      <c r="T454" s="14"/>
      <c r="U454" s="59"/>
      <c r="V454" s="59"/>
      <c r="W454" s="14"/>
      <c r="X454" s="14"/>
      <c r="Y454" s="60"/>
      <c r="Z454" s="60"/>
      <c r="AA454" s="60"/>
      <c r="AB454" s="60"/>
      <c r="AC454" s="60"/>
      <c r="AD454" s="60"/>
      <c r="AE454" s="60"/>
      <c r="AF454" s="14"/>
      <c r="AG454" s="14"/>
      <c r="AH454" s="14"/>
      <c r="AI454" s="14"/>
      <c r="AJ454" s="14"/>
      <c r="AK454" s="14"/>
      <c r="AL454" s="14"/>
      <c r="AM454" s="14"/>
      <c r="AN454" s="61"/>
    </row>
    <row r="455">
      <c r="A455" s="14"/>
      <c r="B455" s="14"/>
      <c r="C455" s="14"/>
      <c r="D455" s="14"/>
      <c r="E455" s="14"/>
      <c r="F455" s="14"/>
      <c r="G455" s="14"/>
      <c r="H455" s="14"/>
      <c r="I455" s="14"/>
      <c r="J455" s="14"/>
      <c r="K455" s="14"/>
      <c r="L455" s="14"/>
      <c r="M455" s="14"/>
      <c r="N455" s="14"/>
      <c r="O455" s="14"/>
      <c r="P455" s="14"/>
      <c r="Q455" s="58"/>
      <c r="R455" s="58"/>
      <c r="S455" s="14"/>
      <c r="T455" s="14"/>
      <c r="U455" s="59"/>
      <c r="V455" s="59"/>
      <c r="W455" s="14"/>
      <c r="X455" s="14"/>
      <c r="Y455" s="60"/>
      <c r="Z455" s="60"/>
      <c r="AA455" s="60"/>
      <c r="AB455" s="60"/>
      <c r="AC455" s="60"/>
      <c r="AD455" s="60"/>
      <c r="AE455" s="60"/>
      <c r="AF455" s="14"/>
      <c r="AG455" s="14"/>
      <c r="AH455" s="14"/>
      <c r="AI455" s="14"/>
      <c r="AJ455" s="14"/>
      <c r="AK455" s="14"/>
      <c r="AL455" s="14"/>
      <c r="AM455" s="14"/>
      <c r="AN455" s="61"/>
    </row>
    <row r="456">
      <c r="A456" s="14"/>
      <c r="B456" s="14"/>
      <c r="C456" s="14"/>
      <c r="D456" s="14"/>
      <c r="E456" s="14"/>
      <c r="F456" s="14"/>
      <c r="G456" s="14"/>
      <c r="H456" s="14"/>
      <c r="I456" s="14"/>
      <c r="J456" s="14"/>
      <c r="K456" s="14"/>
      <c r="L456" s="14"/>
      <c r="M456" s="14"/>
      <c r="N456" s="14"/>
      <c r="O456" s="14"/>
      <c r="P456" s="14"/>
      <c r="Q456" s="58"/>
      <c r="R456" s="58"/>
      <c r="S456" s="14"/>
      <c r="T456" s="14"/>
      <c r="U456" s="59"/>
      <c r="V456" s="59"/>
      <c r="W456" s="14"/>
      <c r="X456" s="14"/>
      <c r="Y456" s="60"/>
      <c r="Z456" s="60"/>
      <c r="AA456" s="60"/>
      <c r="AB456" s="60"/>
      <c r="AC456" s="60"/>
      <c r="AD456" s="60"/>
      <c r="AE456" s="60"/>
      <c r="AF456" s="14"/>
      <c r="AG456" s="14"/>
      <c r="AH456" s="14"/>
      <c r="AI456" s="14"/>
      <c r="AJ456" s="14"/>
      <c r="AK456" s="14"/>
      <c r="AL456" s="14"/>
      <c r="AM456" s="14"/>
      <c r="AN456" s="61"/>
    </row>
    <row r="457">
      <c r="A457" s="14"/>
      <c r="B457" s="14"/>
      <c r="C457" s="14"/>
      <c r="D457" s="14"/>
      <c r="E457" s="14"/>
      <c r="F457" s="14"/>
      <c r="G457" s="14"/>
      <c r="H457" s="14"/>
      <c r="I457" s="14"/>
      <c r="J457" s="14"/>
      <c r="K457" s="14"/>
      <c r="L457" s="14"/>
      <c r="M457" s="14"/>
      <c r="N457" s="14"/>
      <c r="O457" s="14"/>
      <c r="P457" s="14"/>
      <c r="Q457" s="58"/>
      <c r="R457" s="58"/>
      <c r="S457" s="14"/>
      <c r="T457" s="14"/>
      <c r="U457" s="59"/>
      <c r="V457" s="59"/>
      <c r="W457" s="14"/>
      <c r="X457" s="14"/>
      <c r="Y457" s="60"/>
      <c r="Z457" s="60"/>
      <c r="AA457" s="60"/>
      <c r="AB457" s="60"/>
      <c r="AC457" s="60"/>
      <c r="AD457" s="60"/>
      <c r="AE457" s="60"/>
      <c r="AF457" s="14"/>
      <c r="AG457" s="14"/>
      <c r="AH457" s="14"/>
      <c r="AI457" s="14"/>
      <c r="AJ457" s="14"/>
      <c r="AK457" s="14"/>
      <c r="AL457" s="14"/>
      <c r="AM457" s="14"/>
      <c r="AN457" s="61"/>
    </row>
    <row r="458">
      <c r="A458" s="14"/>
      <c r="B458" s="14"/>
      <c r="C458" s="14"/>
      <c r="D458" s="14"/>
      <c r="E458" s="14"/>
      <c r="F458" s="14"/>
      <c r="G458" s="14"/>
      <c r="H458" s="14"/>
      <c r="I458" s="14"/>
      <c r="J458" s="14"/>
      <c r="K458" s="14"/>
      <c r="L458" s="14"/>
      <c r="M458" s="14"/>
      <c r="N458" s="14"/>
      <c r="O458" s="14"/>
      <c r="P458" s="14"/>
      <c r="Q458" s="58"/>
      <c r="R458" s="58"/>
      <c r="S458" s="14"/>
      <c r="T458" s="14"/>
      <c r="U458" s="59"/>
      <c r="V458" s="59"/>
      <c r="W458" s="14"/>
      <c r="X458" s="14"/>
      <c r="Y458" s="60"/>
      <c r="Z458" s="60"/>
      <c r="AA458" s="60"/>
      <c r="AB458" s="60"/>
      <c r="AC458" s="60"/>
      <c r="AD458" s="60"/>
      <c r="AE458" s="60"/>
      <c r="AF458" s="14"/>
      <c r="AG458" s="14"/>
      <c r="AH458" s="14"/>
      <c r="AI458" s="14"/>
      <c r="AJ458" s="14"/>
      <c r="AK458" s="14"/>
      <c r="AL458" s="14"/>
      <c r="AM458" s="14"/>
      <c r="AN458" s="61"/>
    </row>
    <row r="459">
      <c r="A459" s="14"/>
      <c r="B459" s="14"/>
      <c r="C459" s="14"/>
      <c r="D459" s="14"/>
      <c r="E459" s="14"/>
      <c r="F459" s="14"/>
      <c r="G459" s="14"/>
      <c r="H459" s="14"/>
      <c r="I459" s="14"/>
      <c r="J459" s="14"/>
      <c r="K459" s="14"/>
      <c r="L459" s="14"/>
      <c r="M459" s="14"/>
      <c r="N459" s="14"/>
      <c r="O459" s="14"/>
      <c r="P459" s="14"/>
      <c r="Q459" s="58"/>
      <c r="R459" s="58"/>
      <c r="S459" s="14"/>
      <c r="T459" s="14"/>
      <c r="U459" s="59"/>
      <c r="V459" s="59"/>
      <c r="W459" s="14"/>
      <c r="X459" s="14"/>
      <c r="Y459" s="60"/>
      <c r="Z459" s="60"/>
      <c r="AA459" s="60"/>
      <c r="AB459" s="60"/>
      <c r="AC459" s="60"/>
      <c r="AD459" s="60"/>
      <c r="AE459" s="60"/>
      <c r="AF459" s="14"/>
      <c r="AG459" s="14"/>
      <c r="AH459" s="14"/>
      <c r="AI459" s="14"/>
      <c r="AJ459" s="14"/>
      <c r="AK459" s="14"/>
      <c r="AL459" s="14"/>
      <c r="AM459" s="14"/>
      <c r="AN459" s="61"/>
    </row>
    <row r="460">
      <c r="A460" s="14"/>
      <c r="B460" s="14"/>
      <c r="C460" s="14"/>
      <c r="D460" s="14"/>
      <c r="E460" s="14"/>
      <c r="F460" s="14"/>
      <c r="G460" s="14"/>
      <c r="H460" s="14"/>
      <c r="I460" s="14"/>
      <c r="J460" s="14"/>
      <c r="K460" s="14"/>
      <c r="L460" s="14"/>
      <c r="M460" s="14"/>
      <c r="N460" s="14"/>
      <c r="O460" s="14"/>
      <c r="P460" s="14"/>
      <c r="Q460" s="58"/>
      <c r="R460" s="58"/>
      <c r="S460" s="14"/>
      <c r="T460" s="14"/>
      <c r="U460" s="59"/>
      <c r="V460" s="59"/>
      <c r="W460" s="14"/>
      <c r="X460" s="14"/>
      <c r="Y460" s="60"/>
      <c r="Z460" s="60"/>
      <c r="AA460" s="60"/>
      <c r="AB460" s="60"/>
      <c r="AC460" s="60"/>
      <c r="AD460" s="60"/>
      <c r="AE460" s="60"/>
      <c r="AF460" s="14"/>
      <c r="AG460" s="14"/>
      <c r="AH460" s="14"/>
      <c r="AI460" s="14"/>
      <c r="AJ460" s="14"/>
      <c r="AK460" s="14"/>
      <c r="AL460" s="14"/>
      <c r="AM460" s="14"/>
      <c r="AN460" s="61"/>
    </row>
    <row r="461">
      <c r="A461" s="14"/>
      <c r="B461" s="14"/>
      <c r="C461" s="14"/>
      <c r="D461" s="14"/>
      <c r="E461" s="14"/>
      <c r="F461" s="14"/>
      <c r="G461" s="14"/>
      <c r="H461" s="14"/>
      <c r="I461" s="14"/>
      <c r="J461" s="14"/>
      <c r="K461" s="14"/>
      <c r="L461" s="14"/>
      <c r="M461" s="14"/>
      <c r="N461" s="14"/>
      <c r="O461" s="14"/>
      <c r="P461" s="14"/>
      <c r="Q461" s="58"/>
      <c r="R461" s="58"/>
      <c r="S461" s="14"/>
      <c r="T461" s="14"/>
      <c r="U461" s="59"/>
      <c r="V461" s="59"/>
      <c r="W461" s="14"/>
      <c r="X461" s="14"/>
      <c r="Y461" s="60"/>
      <c r="Z461" s="60"/>
      <c r="AA461" s="60"/>
      <c r="AB461" s="60"/>
      <c r="AC461" s="60"/>
      <c r="AD461" s="60"/>
      <c r="AE461" s="60"/>
      <c r="AF461" s="14"/>
      <c r="AG461" s="14"/>
      <c r="AH461" s="14"/>
      <c r="AI461" s="14"/>
      <c r="AJ461" s="14"/>
      <c r="AK461" s="14"/>
      <c r="AL461" s="14"/>
      <c r="AM461" s="14"/>
      <c r="AN461" s="61"/>
    </row>
    <row r="462">
      <c r="A462" s="14"/>
      <c r="B462" s="14"/>
      <c r="C462" s="14"/>
      <c r="D462" s="14"/>
      <c r="E462" s="14"/>
      <c r="F462" s="14"/>
      <c r="G462" s="14"/>
      <c r="H462" s="14"/>
      <c r="I462" s="14"/>
      <c r="J462" s="14"/>
      <c r="K462" s="14"/>
      <c r="L462" s="14"/>
      <c r="M462" s="14"/>
      <c r="N462" s="14"/>
      <c r="O462" s="14"/>
      <c r="P462" s="14"/>
      <c r="Q462" s="58"/>
      <c r="R462" s="58"/>
      <c r="S462" s="14"/>
      <c r="T462" s="14"/>
      <c r="U462" s="59"/>
      <c r="V462" s="59"/>
      <c r="W462" s="14"/>
      <c r="X462" s="14"/>
      <c r="Y462" s="60"/>
      <c r="Z462" s="60"/>
      <c r="AA462" s="60"/>
      <c r="AB462" s="60"/>
      <c r="AC462" s="60"/>
      <c r="AD462" s="60"/>
      <c r="AE462" s="60"/>
      <c r="AF462" s="14"/>
      <c r="AG462" s="14"/>
      <c r="AH462" s="14"/>
      <c r="AI462" s="14"/>
      <c r="AJ462" s="14"/>
      <c r="AK462" s="14"/>
      <c r="AL462" s="14"/>
      <c r="AM462" s="14"/>
      <c r="AN462" s="61"/>
    </row>
    <row r="463">
      <c r="A463" s="14"/>
      <c r="B463" s="14"/>
      <c r="C463" s="14"/>
      <c r="D463" s="14"/>
      <c r="E463" s="14"/>
      <c r="F463" s="14"/>
      <c r="G463" s="14"/>
      <c r="H463" s="14"/>
      <c r="I463" s="14"/>
      <c r="J463" s="14"/>
      <c r="K463" s="14"/>
      <c r="L463" s="14"/>
      <c r="M463" s="14"/>
      <c r="N463" s="14"/>
      <c r="O463" s="14"/>
      <c r="P463" s="14"/>
      <c r="Q463" s="58"/>
      <c r="R463" s="58"/>
      <c r="S463" s="14"/>
      <c r="T463" s="14"/>
      <c r="U463" s="59"/>
      <c r="V463" s="59"/>
      <c r="W463" s="14"/>
      <c r="X463" s="14"/>
      <c r="Y463" s="60"/>
      <c r="Z463" s="60"/>
      <c r="AA463" s="60"/>
      <c r="AB463" s="60"/>
      <c r="AC463" s="60"/>
      <c r="AD463" s="60"/>
      <c r="AE463" s="60"/>
      <c r="AF463" s="14"/>
      <c r="AG463" s="14"/>
      <c r="AH463" s="14"/>
      <c r="AI463" s="14"/>
      <c r="AJ463" s="14"/>
      <c r="AK463" s="14"/>
      <c r="AL463" s="14"/>
      <c r="AM463" s="14"/>
      <c r="AN463" s="61"/>
    </row>
    <row r="464">
      <c r="A464" s="14"/>
      <c r="B464" s="14"/>
      <c r="C464" s="14"/>
      <c r="D464" s="14"/>
      <c r="E464" s="14"/>
      <c r="F464" s="14"/>
      <c r="G464" s="14"/>
      <c r="H464" s="14"/>
      <c r="I464" s="14"/>
      <c r="J464" s="14"/>
      <c r="K464" s="14"/>
      <c r="L464" s="14"/>
      <c r="M464" s="14"/>
      <c r="N464" s="14"/>
      <c r="O464" s="14"/>
      <c r="P464" s="14"/>
      <c r="Q464" s="58"/>
      <c r="R464" s="58"/>
      <c r="S464" s="14"/>
      <c r="T464" s="14"/>
      <c r="U464" s="59"/>
      <c r="V464" s="59"/>
      <c r="W464" s="14"/>
      <c r="X464" s="14"/>
      <c r="Y464" s="60"/>
      <c r="Z464" s="60"/>
      <c r="AA464" s="60"/>
      <c r="AB464" s="60"/>
      <c r="AC464" s="60"/>
      <c r="AD464" s="60"/>
      <c r="AE464" s="60"/>
      <c r="AF464" s="14"/>
      <c r="AG464" s="14"/>
      <c r="AH464" s="14"/>
      <c r="AI464" s="14"/>
      <c r="AJ464" s="14"/>
      <c r="AK464" s="14"/>
      <c r="AL464" s="14"/>
      <c r="AM464" s="14"/>
      <c r="AN464" s="61"/>
    </row>
    <row r="465">
      <c r="A465" s="14"/>
      <c r="B465" s="14"/>
      <c r="C465" s="14"/>
      <c r="D465" s="14"/>
      <c r="E465" s="14"/>
      <c r="F465" s="14"/>
      <c r="G465" s="14"/>
      <c r="H465" s="14"/>
      <c r="I465" s="14"/>
      <c r="J465" s="14"/>
      <c r="K465" s="14"/>
      <c r="L465" s="14"/>
      <c r="M465" s="14"/>
      <c r="N465" s="14"/>
      <c r="O465" s="14"/>
      <c r="P465" s="14"/>
      <c r="Q465" s="58"/>
      <c r="R465" s="58"/>
      <c r="S465" s="14"/>
      <c r="T465" s="14"/>
      <c r="U465" s="59"/>
      <c r="V465" s="59"/>
      <c r="W465" s="14"/>
      <c r="X465" s="14"/>
      <c r="Y465" s="60"/>
      <c r="Z465" s="60"/>
      <c r="AA465" s="60"/>
      <c r="AB465" s="60"/>
      <c r="AC465" s="60"/>
      <c r="AD465" s="60"/>
      <c r="AE465" s="60"/>
      <c r="AF465" s="14"/>
      <c r="AG465" s="14"/>
      <c r="AH465" s="14"/>
      <c r="AI465" s="14"/>
      <c r="AJ465" s="14"/>
      <c r="AK465" s="14"/>
      <c r="AL465" s="14"/>
      <c r="AM465" s="14"/>
      <c r="AN465" s="61"/>
    </row>
    <row r="466">
      <c r="A466" s="14"/>
      <c r="B466" s="14"/>
      <c r="C466" s="14"/>
      <c r="D466" s="14"/>
      <c r="E466" s="14"/>
      <c r="F466" s="14"/>
      <c r="G466" s="14"/>
      <c r="H466" s="14"/>
      <c r="I466" s="14"/>
      <c r="J466" s="14"/>
      <c r="K466" s="14"/>
      <c r="L466" s="14"/>
      <c r="M466" s="14"/>
      <c r="N466" s="14"/>
      <c r="O466" s="14"/>
      <c r="P466" s="14"/>
      <c r="Q466" s="58"/>
      <c r="R466" s="58"/>
      <c r="S466" s="14"/>
      <c r="T466" s="14"/>
      <c r="U466" s="59"/>
      <c r="V466" s="59"/>
      <c r="W466" s="14"/>
      <c r="X466" s="14"/>
      <c r="Y466" s="60"/>
      <c r="Z466" s="60"/>
      <c r="AA466" s="60"/>
      <c r="AB466" s="60"/>
      <c r="AC466" s="60"/>
      <c r="AD466" s="60"/>
      <c r="AE466" s="60"/>
      <c r="AF466" s="14"/>
      <c r="AG466" s="14"/>
      <c r="AH466" s="14"/>
      <c r="AI466" s="14"/>
      <c r="AJ466" s="14"/>
      <c r="AK466" s="14"/>
      <c r="AL466" s="14"/>
      <c r="AM466" s="14"/>
      <c r="AN466" s="61"/>
    </row>
    <row r="467">
      <c r="A467" s="14"/>
      <c r="B467" s="14"/>
      <c r="C467" s="14"/>
      <c r="D467" s="14"/>
      <c r="E467" s="14"/>
      <c r="F467" s="14"/>
      <c r="G467" s="14"/>
      <c r="H467" s="14"/>
      <c r="I467" s="14"/>
      <c r="J467" s="14"/>
      <c r="K467" s="14"/>
      <c r="L467" s="14"/>
      <c r="M467" s="14"/>
      <c r="N467" s="14"/>
      <c r="O467" s="14"/>
      <c r="P467" s="14"/>
      <c r="Q467" s="58"/>
      <c r="R467" s="58"/>
      <c r="S467" s="14"/>
      <c r="T467" s="14"/>
      <c r="U467" s="59"/>
      <c r="V467" s="59"/>
      <c r="W467" s="14"/>
      <c r="X467" s="14"/>
      <c r="Y467" s="60"/>
      <c r="Z467" s="60"/>
      <c r="AA467" s="60"/>
      <c r="AB467" s="60"/>
      <c r="AC467" s="60"/>
      <c r="AD467" s="60"/>
      <c r="AE467" s="60"/>
      <c r="AF467" s="14"/>
      <c r="AG467" s="14"/>
      <c r="AH467" s="14"/>
      <c r="AI467" s="14"/>
      <c r="AJ467" s="14"/>
      <c r="AK467" s="14"/>
      <c r="AL467" s="14"/>
      <c r="AM467" s="14"/>
      <c r="AN467" s="61"/>
    </row>
    <row r="468">
      <c r="A468" s="14"/>
      <c r="B468" s="14"/>
      <c r="C468" s="14"/>
      <c r="D468" s="14"/>
      <c r="E468" s="14"/>
      <c r="F468" s="14"/>
      <c r="G468" s="14"/>
      <c r="H468" s="14"/>
      <c r="I468" s="14"/>
      <c r="J468" s="14"/>
      <c r="K468" s="14"/>
      <c r="L468" s="14"/>
      <c r="M468" s="14"/>
      <c r="N468" s="14"/>
      <c r="O468" s="14"/>
      <c r="P468" s="14"/>
      <c r="Q468" s="58"/>
      <c r="R468" s="58"/>
      <c r="S468" s="14"/>
      <c r="T468" s="14"/>
      <c r="U468" s="59"/>
      <c r="V468" s="59"/>
      <c r="W468" s="14"/>
      <c r="X468" s="14"/>
      <c r="Y468" s="60"/>
      <c r="Z468" s="60"/>
      <c r="AA468" s="60"/>
      <c r="AB468" s="60"/>
      <c r="AC468" s="60"/>
      <c r="AD468" s="60"/>
      <c r="AE468" s="60"/>
      <c r="AF468" s="14"/>
      <c r="AG468" s="14"/>
      <c r="AH468" s="14"/>
      <c r="AI468" s="14"/>
      <c r="AJ468" s="14"/>
      <c r="AK468" s="14"/>
      <c r="AL468" s="14"/>
      <c r="AM468" s="14"/>
      <c r="AN468" s="61"/>
    </row>
    <row r="469">
      <c r="A469" s="14"/>
      <c r="B469" s="14"/>
      <c r="C469" s="14"/>
      <c r="D469" s="14"/>
      <c r="E469" s="14"/>
      <c r="F469" s="14"/>
      <c r="G469" s="14"/>
      <c r="H469" s="14"/>
      <c r="I469" s="14"/>
      <c r="J469" s="14"/>
      <c r="K469" s="14"/>
      <c r="L469" s="14"/>
      <c r="M469" s="14"/>
      <c r="N469" s="14"/>
      <c r="O469" s="14"/>
      <c r="P469" s="14"/>
      <c r="Q469" s="58"/>
      <c r="R469" s="58"/>
      <c r="S469" s="14"/>
      <c r="T469" s="14"/>
      <c r="U469" s="59"/>
      <c r="V469" s="59"/>
      <c r="W469" s="14"/>
      <c r="X469" s="14"/>
      <c r="Y469" s="60"/>
      <c r="Z469" s="60"/>
      <c r="AA469" s="60"/>
      <c r="AB469" s="60"/>
      <c r="AC469" s="60"/>
      <c r="AD469" s="60"/>
      <c r="AE469" s="60"/>
      <c r="AF469" s="14"/>
      <c r="AG469" s="14"/>
      <c r="AH469" s="14"/>
      <c r="AI469" s="14"/>
      <c r="AJ469" s="14"/>
      <c r="AK469" s="14"/>
      <c r="AL469" s="14"/>
      <c r="AM469" s="14"/>
      <c r="AN469" s="61"/>
    </row>
    <row r="470">
      <c r="A470" s="14"/>
      <c r="B470" s="14"/>
      <c r="C470" s="14"/>
      <c r="D470" s="14"/>
      <c r="E470" s="14"/>
      <c r="F470" s="14"/>
      <c r="G470" s="14"/>
      <c r="H470" s="14"/>
      <c r="I470" s="14"/>
      <c r="J470" s="14"/>
      <c r="K470" s="14"/>
      <c r="L470" s="14"/>
      <c r="M470" s="14"/>
      <c r="N470" s="14"/>
      <c r="O470" s="14"/>
      <c r="P470" s="14"/>
      <c r="Q470" s="58"/>
      <c r="R470" s="58"/>
      <c r="S470" s="14"/>
      <c r="T470" s="14"/>
      <c r="U470" s="59"/>
      <c r="V470" s="59"/>
      <c r="W470" s="14"/>
      <c r="X470" s="14"/>
      <c r="Y470" s="60"/>
      <c r="Z470" s="60"/>
      <c r="AA470" s="60"/>
      <c r="AB470" s="60"/>
      <c r="AC470" s="60"/>
      <c r="AD470" s="60"/>
      <c r="AE470" s="60"/>
      <c r="AF470" s="14"/>
      <c r="AG470" s="14"/>
      <c r="AH470" s="14"/>
      <c r="AI470" s="14"/>
      <c r="AJ470" s="14"/>
      <c r="AK470" s="14"/>
      <c r="AL470" s="14"/>
      <c r="AM470" s="14"/>
      <c r="AN470" s="61"/>
    </row>
    <row r="471">
      <c r="A471" s="14"/>
      <c r="B471" s="14"/>
      <c r="C471" s="14"/>
      <c r="D471" s="14"/>
      <c r="E471" s="14"/>
      <c r="F471" s="14"/>
      <c r="G471" s="14"/>
      <c r="H471" s="14"/>
      <c r="I471" s="14"/>
      <c r="J471" s="14"/>
      <c r="K471" s="14"/>
      <c r="L471" s="14"/>
      <c r="M471" s="14"/>
      <c r="N471" s="14"/>
      <c r="O471" s="14"/>
      <c r="P471" s="14"/>
      <c r="Q471" s="58"/>
      <c r="R471" s="58"/>
      <c r="S471" s="14"/>
      <c r="T471" s="14"/>
      <c r="U471" s="59"/>
      <c r="V471" s="59"/>
      <c r="W471" s="14"/>
      <c r="X471" s="14"/>
      <c r="Y471" s="60"/>
      <c r="Z471" s="60"/>
      <c r="AA471" s="60"/>
      <c r="AB471" s="60"/>
      <c r="AC471" s="60"/>
      <c r="AD471" s="60"/>
      <c r="AE471" s="60"/>
      <c r="AF471" s="14"/>
      <c r="AG471" s="14"/>
      <c r="AH471" s="14"/>
      <c r="AI471" s="14"/>
      <c r="AJ471" s="14"/>
      <c r="AK471" s="14"/>
      <c r="AL471" s="14"/>
      <c r="AM471" s="14"/>
      <c r="AN471" s="61"/>
    </row>
    <row r="472">
      <c r="A472" s="14"/>
      <c r="B472" s="14"/>
      <c r="C472" s="14"/>
      <c r="D472" s="14"/>
      <c r="E472" s="14"/>
      <c r="F472" s="14"/>
      <c r="G472" s="14"/>
      <c r="H472" s="14"/>
      <c r="I472" s="14"/>
      <c r="J472" s="14"/>
      <c r="K472" s="14"/>
      <c r="L472" s="14"/>
      <c r="M472" s="14"/>
      <c r="N472" s="14"/>
      <c r="O472" s="14"/>
      <c r="P472" s="14"/>
      <c r="Q472" s="58"/>
      <c r="R472" s="58"/>
      <c r="S472" s="14"/>
      <c r="T472" s="14"/>
      <c r="U472" s="59"/>
      <c r="V472" s="59"/>
      <c r="W472" s="14"/>
      <c r="X472" s="14"/>
      <c r="Y472" s="60"/>
      <c r="Z472" s="60"/>
      <c r="AA472" s="60"/>
      <c r="AB472" s="60"/>
      <c r="AC472" s="60"/>
      <c r="AD472" s="60"/>
      <c r="AE472" s="60"/>
      <c r="AF472" s="14"/>
      <c r="AG472" s="14"/>
      <c r="AH472" s="14"/>
      <c r="AI472" s="14"/>
      <c r="AJ472" s="14"/>
      <c r="AK472" s="14"/>
      <c r="AL472" s="14"/>
      <c r="AM472" s="14"/>
      <c r="AN472" s="61"/>
    </row>
    <row r="473">
      <c r="A473" s="14"/>
      <c r="B473" s="14"/>
      <c r="C473" s="14"/>
      <c r="D473" s="14"/>
      <c r="E473" s="14"/>
      <c r="F473" s="14"/>
      <c r="G473" s="14"/>
      <c r="H473" s="14"/>
      <c r="I473" s="14"/>
      <c r="J473" s="14"/>
      <c r="K473" s="14"/>
      <c r="L473" s="14"/>
      <c r="M473" s="14"/>
      <c r="N473" s="14"/>
      <c r="O473" s="14"/>
      <c r="P473" s="14"/>
      <c r="Q473" s="58"/>
      <c r="R473" s="58"/>
      <c r="S473" s="14"/>
      <c r="T473" s="14"/>
      <c r="U473" s="59"/>
      <c r="V473" s="59"/>
      <c r="W473" s="14"/>
      <c r="X473" s="14"/>
      <c r="Y473" s="60"/>
      <c r="Z473" s="60"/>
      <c r="AA473" s="60"/>
      <c r="AB473" s="60"/>
      <c r="AC473" s="60"/>
      <c r="AD473" s="60"/>
      <c r="AE473" s="60"/>
      <c r="AF473" s="14"/>
      <c r="AG473" s="14"/>
      <c r="AH473" s="14"/>
      <c r="AI473" s="14"/>
      <c r="AJ473" s="14"/>
      <c r="AK473" s="14"/>
      <c r="AL473" s="14"/>
      <c r="AM473" s="14"/>
      <c r="AN473" s="61"/>
    </row>
    <row r="474">
      <c r="A474" s="14"/>
      <c r="B474" s="14"/>
      <c r="C474" s="14"/>
      <c r="D474" s="14"/>
      <c r="E474" s="14"/>
      <c r="F474" s="14"/>
      <c r="G474" s="14"/>
      <c r="H474" s="14"/>
      <c r="I474" s="14"/>
      <c r="J474" s="14"/>
      <c r="K474" s="14"/>
      <c r="L474" s="14"/>
      <c r="M474" s="14"/>
      <c r="N474" s="14"/>
      <c r="O474" s="14"/>
      <c r="P474" s="14"/>
      <c r="Q474" s="58"/>
      <c r="R474" s="58"/>
      <c r="S474" s="14"/>
      <c r="T474" s="14"/>
      <c r="U474" s="59"/>
      <c r="V474" s="59"/>
      <c r="W474" s="14"/>
      <c r="X474" s="14"/>
      <c r="Y474" s="60"/>
      <c r="Z474" s="60"/>
      <c r="AA474" s="60"/>
      <c r="AB474" s="60"/>
      <c r="AC474" s="60"/>
      <c r="AD474" s="60"/>
      <c r="AE474" s="60"/>
      <c r="AF474" s="14"/>
      <c r="AG474" s="14"/>
      <c r="AH474" s="14"/>
      <c r="AI474" s="14"/>
      <c r="AJ474" s="14"/>
      <c r="AK474" s="14"/>
      <c r="AL474" s="14"/>
      <c r="AM474" s="14"/>
      <c r="AN474" s="61"/>
    </row>
    <row r="475">
      <c r="A475" s="14"/>
      <c r="B475" s="14"/>
      <c r="C475" s="14"/>
      <c r="D475" s="14"/>
      <c r="E475" s="14"/>
      <c r="F475" s="14"/>
      <c r="G475" s="14"/>
      <c r="H475" s="14"/>
      <c r="I475" s="14"/>
      <c r="J475" s="14"/>
      <c r="K475" s="14"/>
      <c r="L475" s="14"/>
      <c r="M475" s="14"/>
      <c r="N475" s="14"/>
      <c r="O475" s="14"/>
      <c r="P475" s="14"/>
      <c r="Q475" s="58"/>
      <c r="R475" s="58"/>
      <c r="S475" s="14"/>
      <c r="T475" s="14"/>
      <c r="U475" s="59"/>
      <c r="V475" s="59"/>
      <c r="W475" s="14"/>
      <c r="X475" s="14"/>
      <c r="Y475" s="60"/>
      <c r="Z475" s="60"/>
      <c r="AA475" s="60"/>
      <c r="AB475" s="60"/>
      <c r="AC475" s="60"/>
      <c r="AD475" s="60"/>
      <c r="AE475" s="60"/>
      <c r="AF475" s="14"/>
      <c r="AG475" s="14"/>
      <c r="AH475" s="14"/>
      <c r="AI475" s="14"/>
      <c r="AJ475" s="14"/>
      <c r="AK475" s="14"/>
      <c r="AL475" s="14"/>
      <c r="AM475" s="14"/>
      <c r="AN475" s="61"/>
    </row>
    <row r="476">
      <c r="A476" s="14"/>
      <c r="B476" s="14"/>
      <c r="C476" s="14"/>
      <c r="D476" s="14"/>
      <c r="E476" s="14"/>
      <c r="F476" s="14"/>
      <c r="G476" s="14"/>
      <c r="H476" s="14"/>
      <c r="I476" s="14"/>
      <c r="J476" s="14"/>
      <c r="K476" s="14"/>
      <c r="L476" s="14"/>
      <c r="M476" s="14"/>
      <c r="N476" s="14"/>
      <c r="O476" s="14"/>
      <c r="P476" s="14"/>
      <c r="Q476" s="58"/>
      <c r="R476" s="58"/>
      <c r="S476" s="14"/>
      <c r="T476" s="14"/>
      <c r="U476" s="59"/>
      <c r="V476" s="59"/>
      <c r="W476" s="14"/>
      <c r="X476" s="14"/>
      <c r="Y476" s="60"/>
      <c r="Z476" s="60"/>
      <c r="AA476" s="60"/>
      <c r="AB476" s="60"/>
      <c r="AC476" s="60"/>
      <c r="AD476" s="60"/>
      <c r="AE476" s="60"/>
      <c r="AF476" s="14"/>
      <c r="AG476" s="14"/>
      <c r="AH476" s="14"/>
      <c r="AI476" s="14"/>
      <c r="AJ476" s="14"/>
      <c r="AK476" s="14"/>
      <c r="AL476" s="14"/>
      <c r="AM476" s="14"/>
      <c r="AN476" s="61"/>
    </row>
    <row r="477">
      <c r="A477" s="14"/>
      <c r="B477" s="14"/>
      <c r="C477" s="14"/>
      <c r="D477" s="14"/>
      <c r="E477" s="14"/>
      <c r="F477" s="14"/>
      <c r="G477" s="14"/>
      <c r="H477" s="14"/>
      <c r="I477" s="14"/>
      <c r="J477" s="14"/>
      <c r="K477" s="14"/>
      <c r="L477" s="14"/>
      <c r="M477" s="14"/>
      <c r="N477" s="14"/>
      <c r="O477" s="14"/>
      <c r="P477" s="14"/>
      <c r="Q477" s="58"/>
      <c r="R477" s="58"/>
      <c r="S477" s="14"/>
      <c r="T477" s="14"/>
      <c r="U477" s="59"/>
      <c r="V477" s="59"/>
      <c r="W477" s="14"/>
      <c r="X477" s="14"/>
      <c r="Y477" s="60"/>
      <c r="Z477" s="60"/>
      <c r="AA477" s="60"/>
      <c r="AB477" s="60"/>
      <c r="AC477" s="60"/>
      <c r="AD477" s="60"/>
      <c r="AE477" s="60"/>
      <c r="AF477" s="14"/>
      <c r="AG477" s="14"/>
      <c r="AH477" s="14"/>
      <c r="AI477" s="14"/>
      <c r="AJ477" s="14"/>
      <c r="AK477" s="14"/>
      <c r="AL477" s="14"/>
      <c r="AM477" s="14"/>
      <c r="AN477" s="61"/>
    </row>
    <row r="478">
      <c r="A478" s="14"/>
      <c r="B478" s="14"/>
      <c r="C478" s="14"/>
      <c r="D478" s="14"/>
      <c r="E478" s="14"/>
      <c r="F478" s="14"/>
      <c r="G478" s="14"/>
      <c r="H478" s="14"/>
      <c r="I478" s="14"/>
      <c r="J478" s="14"/>
      <c r="K478" s="14"/>
      <c r="L478" s="14"/>
      <c r="M478" s="14"/>
      <c r="N478" s="14"/>
      <c r="O478" s="14"/>
      <c r="P478" s="14"/>
      <c r="Q478" s="58"/>
      <c r="R478" s="58"/>
      <c r="S478" s="14"/>
      <c r="T478" s="14"/>
      <c r="U478" s="59"/>
      <c r="V478" s="59"/>
      <c r="W478" s="14"/>
      <c r="X478" s="14"/>
      <c r="Y478" s="60"/>
      <c r="Z478" s="60"/>
      <c r="AA478" s="60"/>
      <c r="AB478" s="60"/>
      <c r="AC478" s="60"/>
      <c r="AD478" s="60"/>
      <c r="AE478" s="60"/>
      <c r="AF478" s="14"/>
      <c r="AG478" s="14"/>
      <c r="AH478" s="14"/>
      <c r="AI478" s="14"/>
      <c r="AJ478" s="14"/>
      <c r="AK478" s="14"/>
      <c r="AL478" s="14"/>
      <c r="AM478" s="14"/>
      <c r="AN478" s="61"/>
    </row>
    <row r="479">
      <c r="A479" s="14"/>
      <c r="B479" s="14"/>
      <c r="C479" s="14"/>
      <c r="D479" s="14"/>
      <c r="E479" s="14"/>
      <c r="F479" s="14"/>
      <c r="G479" s="14"/>
      <c r="H479" s="14"/>
      <c r="I479" s="14"/>
      <c r="J479" s="14"/>
      <c r="K479" s="14"/>
      <c r="L479" s="14"/>
      <c r="M479" s="14"/>
      <c r="N479" s="14"/>
      <c r="O479" s="14"/>
      <c r="P479" s="14"/>
      <c r="Q479" s="58"/>
      <c r="R479" s="58"/>
      <c r="S479" s="14"/>
      <c r="T479" s="14"/>
      <c r="U479" s="59"/>
      <c r="V479" s="59"/>
      <c r="W479" s="14"/>
      <c r="X479" s="14"/>
      <c r="Y479" s="60"/>
      <c r="Z479" s="60"/>
      <c r="AA479" s="60"/>
      <c r="AB479" s="60"/>
      <c r="AC479" s="60"/>
      <c r="AD479" s="60"/>
      <c r="AE479" s="60"/>
      <c r="AF479" s="14"/>
      <c r="AG479" s="14"/>
      <c r="AH479" s="14"/>
      <c r="AI479" s="14"/>
      <c r="AJ479" s="14"/>
      <c r="AK479" s="14"/>
      <c r="AL479" s="14"/>
      <c r="AM479" s="14"/>
      <c r="AN479" s="61"/>
    </row>
    <row r="480">
      <c r="A480" s="14"/>
      <c r="B480" s="14"/>
      <c r="C480" s="14"/>
      <c r="D480" s="14"/>
      <c r="E480" s="14"/>
      <c r="F480" s="14"/>
      <c r="G480" s="14"/>
      <c r="H480" s="14"/>
      <c r="I480" s="14"/>
      <c r="J480" s="14"/>
      <c r="K480" s="14"/>
      <c r="L480" s="14"/>
      <c r="M480" s="14"/>
      <c r="N480" s="14"/>
      <c r="O480" s="14"/>
      <c r="P480" s="14"/>
      <c r="Q480" s="58"/>
      <c r="R480" s="58"/>
      <c r="S480" s="14"/>
      <c r="T480" s="14"/>
      <c r="U480" s="59"/>
      <c r="V480" s="59"/>
      <c r="W480" s="14"/>
      <c r="X480" s="14"/>
      <c r="Y480" s="60"/>
      <c r="Z480" s="60"/>
      <c r="AA480" s="60"/>
      <c r="AB480" s="60"/>
      <c r="AC480" s="60"/>
      <c r="AD480" s="60"/>
      <c r="AE480" s="60"/>
      <c r="AF480" s="14"/>
      <c r="AG480" s="14"/>
      <c r="AH480" s="14"/>
      <c r="AI480" s="14"/>
      <c r="AJ480" s="14"/>
      <c r="AK480" s="14"/>
      <c r="AL480" s="14"/>
      <c r="AM480" s="14"/>
      <c r="AN480" s="61"/>
    </row>
    <row r="481">
      <c r="A481" s="14"/>
      <c r="B481" s="14"/>
      <c r="C481" s="14"/>
      <c r="D481" s="14"/>
      <c r="E481" s="14"/>
      <c r="F481" s="14"/>
      <c r="G481" s="14"/>
      <c r="H481" s="14"/>
      <c r="I481" s="14"/>
      <c r="J481" s="14"/>
      <c r="K481" s="14"/>
      <c r="L481" s="14"/>
      <c r="M481" s="14"/>
      <c r="N481" s="14"/>
      <c r="O481" s="14"/>
      <c r="P481" s="14"/>
      <c r="Q481" s="58"/>
      <c r="R481" s="58"/>
      <c r="S481" s="14"/>
      <c r="T481" s="14"/>
      <c r="U481" s="59"/>
      <c r="V481" s="59"/>
      <c r="W481" s="14"/>
      <c r="X481" s="14"/>
      <c r="Y481" s="60"/>
      <c r="Z481" s="60"/>
      <c r="AA481" s="60"/>
      <c r="AB481" s="60"/>
      <c r="AC481" s="60"/>
      <c r="AD481" s="60"/>
      <c r="AE481" s="60"/>
      <c r="AF481" s="14"/>
      <c r="AG481" s="14"/>
      <c r="AH481" s="14"/>
      <c r="AI481" s="14"/>
      <c r="AJ481" s="14"/>
      <c r="AK481" s="14"/>
      <c r="AL481" s="14"/>
      <c r="AM481" s="14"/>
      <c r="AN481" s="61"/>
    </row>
    <row r="482">
      <c r="A482" s="14"/>
      <c r="B482" s="14"/>
      <c r="C482" s="14"/>
      <c r="D482" s="14"/>
      <c r="E482" s="14"/>
      <c r="F482" s="14"/>
      <c r="G482" s="14"/>
      <c r="H482" s="14"/>
      <c r="I482" s="14"/>
      <c r="J482" s="14"/>
      <c r="K482" s="14"/>
      <c r="L482" s="14"/>
      <c r="M482" s="14"/>
      <c r="N482" s="14"/>
      <c r="O482" s="14"/>
      <c r="P482" s="14"/>
      <c r="Q482" s="58"/>
      <c r="R482" s="58"/>
      <c r="S482" s="14"/>
      <c r="T482" s="14"/>
      <c r="U482" s="59"/>
      <c r="V482" s="59"/>
      <c r="W482" s="14"/>
      <c r="X482" s="14"/>
      <c r="Y482" s="60"/>
      <c r="Z482" s="60"/>
      <c r="AA482" s="60"/>
      <c r="AB482" s="60"/>
      <c r="AC482" s="60"/>
      <c r="AD482" s="60"/>
      <c r="AE482" s="60"/>
      <c r="AF482" s="14"/>
      <c r="AG482" s="14"/>
      <c r="AH482" s="14"/>
      <c r="AI482" s="14"/>
      <c r="AJ482" s="14"/>
      <c r="AK482" s="14"/>
      <c r="AL482" s="14"/>
      <c r="AM482" s="14"/>
      <c r="AN482" s="61"/>
    </row>
    <row r="483">
      <c r="A483" s="14"/>
      <c r="B483" s="14"/>
      <c r="C483" s="14"/>
      <c r="D483" s="14"/>
      <c r="E483" s="14"/>
      <c r="F483" s="14"/>
      <c r="G483" s="14"/>
      <c r="H483" s="14"/>
      <c r="I483" s="14"/>
      <c r="J483" s="14"/>
      <c r="K483" s="14"/>
      <c r="L483" s="14"/>
      <c r="M483" s="14"/>
      <c r="N483" s="14"/>
      <c r="O483" s="14"/>
      <c r="P483" s="14"/>
      <c r="Q483" s="58"/>
      <c r="R483" s="58"/>
      <c r="S483" s="14"/>
      <c r="T483" s="14"/>
      <c r="U483" s="59"/>
      <c r="V483" s="59"/>
      <c r="W483" s="14"/>
      <c r="X483" s="14"/>
      <c r="Y483" s="60"/>
      <c r="Z483" s="60"/>
      <c r="AA483" s="60"/>
      <c r="AB483" s="60"/>
      <c r="AC483" s="60"/>
      <c r="AD483" s="60"/>
      <c r="AE483" s="60"/>
      <c r="AF483" s="14"/>
      <c r="AG483" s="14"/>
      <c r="AH483" s="14"/>
      <c r="AI483" s="14"/>
      <c r="AJ483" s="14"/>
      <c r="AK483" s="14"/>
      <c r="AL483" s="14"/>
      <c r="AM483" s="14"/>
      <c r="AN483" s="61"/>
    </row>
    <row r="484">
      <c r="A484" s="14"/>
      <c r="B484" s="14"/>
      <c r="C484" s="14"/>
      <c r="D484" s="14"/>
      <c r="E484" s="14"/>
      <c r="F484" s="14"/>
      <c r="G484" s="14"/>
      <c r="H484" s="14"/>
      <c r="I484" s="14"/>
      <c r="J484" s="14"/>
      <c r="K484" s="14"/>
      <c r="L484" s="14"/>
      <c r="M484" s="14"/>
      <c r="N484" s="14"/>
      <c r="O484" s="14"/>
      <c r="P484" s="14"/>
      <c r="Q484" s="58"/>
      <c r="R484" s="58"/>
      <c r="S484" s="14"/>
      <c r="T484" s="14"/>
      <c r="U484" s="59"/>
      <c r="V484" s="59"/>
      <c r="W484" s="14"/>
      <c r="X484" s="14"/>
      <c r="Y484" s="60"/>
      <c r="Z484" s="60"/>
      <c r="AA484" s="60"/>
      <c r="AB484" s="60"/>
      <c r="AC484" s="60"/>
      <c r="AD484" s="60"/>
      <c r="AE484" s="60"/>
      <c r="AF484" s="14"/>
      <c r="AG484" s="14"/>
      <c r="AH484" s="14"/>
      <c r="AI484" s="14"/>
      <c r="AJ484" s="14"/>
      <c r="AK484" s="14"/>
      <c r="AL484" s="14"/>
      <c r="AM484" s="14"/>
      <c r="AN484" s="61"/>
    </row>
    <row r="485">
      <c r="A485" s="14"/>
      <c r="B485" s="14"/>
      <c r="C485" s="14"/>
      <c r="D485" s="14"/>
      <c r="E485" s="14"/>
      <c r="F485" s="14"/>
      <c r="G485" s="14"/>
      <c r="H485" s="14"/>
      <c r="I485" s="14"/>
      <c r="J485" s="14"/>
      <c r="K485" s="14"/>
      <c r="L485" s="14"/>
      <c r="M485" s="14"/>
      <c r="N485" s="14"/>
      <c r="O485" s="14"/>
      <c r="P485" s="14"/>
      <c r="Q485" s="58"/>
      <c r="R485" s="58"/>
      <c r="S485" s="14"/>
      <c r="T485" s="14"/>
      <c r="U485" s="59"/>
      <c r="V485" s="59"/>
      <c r="W485" s="14"/>
      <c r="X485" s="14"/>
      <c r="Y485" s="60"/>
      <c r="Z485" s="60"/>
      <c r="AA485" s="60"/>
      <c r="AB485" s="60"/>
      <c r="AC485" s="60"/>
      <c r="AD485" s="60"/>
      <c r="AE485" s="60"/>
      <c r="AF485" s="14"/>
      <c r="AG485" s="14"/>
      <c r="AH485" s="14"/>
      <c r="AI485" s="14"/>
      <c r="AJ485" s="14"/>
      <c r="AK485" s="14"/>
      <c r="AL485" s="14"/>
      <c r="AM485" s="14"/>
      <c r="AN485" s="61"/>
    </row>
    <row r="486">
      <c r="A486" s="14"/>
      <c r="B486" s="14"/>
      <c r="C486" s="14"/>
      <c r="D486" s="14"/>
      <c r="E486" s="14"/>
      <c r="F486" s="14"/>
      <c r="G486" s="14"/>
      <c r="H486" s="14"/>
      <c r="I486" s="14"/>
      <c r="J486" s="14"/>
      <c r="K486" s="14"/>
      <c r="L486" s="14"/>
      <c r="M486" s="14"/>
      <c r="N486" s="14"/>
      <c r="O486" s="14"/>
      <c r="P486" s="14"/>
      <c r="Q486" s="58"/>
      <c r="R486" s="58"/>
      <c r="S486" s="14"/>
      <c r="T486" s="14"/>
      <c r="U486" s="59"/>
      <c r="V486" s="59"/>
      <c r="W486" s="14"/>
      <c r="X486" s="14"/>
      <c r="Y486" s="60"/>
      <c r="Z486" s="60"/>
      <c r="AA486" s="60"/>
      <c r="AB486" s="60"/>
      <c r="AC486" s="60"/>
      <c r="AD486" s="60"/>
      <c r="AE486" s="60"/>
      <c r="AF486" s="14"/>
      <c r="AG486" s="14"/>
      <c r="AH486" s="14"/>
      <c r="AI486" s="14"/>
      <c r="AJ486" s="14"/>
      <c r="AK486" s="14"/>
      <c r="AL486" s="14"/>
      <c r="AM486" s="14"/>
      <c r="AN486" s="61"/>
    </row>
    <row r="487">
      <c r="A487" s="14"/>
      <c r="B487" s="14"/>
      <c r="C487" s="14"/>
      <c r="D487" s="14"/>
      <c r="E487" s="14"/>
      <c r="F487" s="14"/>
      <c r="G487" s="14"/>
      <c r="H487" s="14"/>
      <c r="I487" s="14"/>
      <c r="J487" s="14"/>
      <c r="K487" s="14"/>
      <c r="L487" s="14"/>
      <c r="M487" s="14"/>
      <c r="N487" s="14"/>
      <c r="O487" s="14"/>
      <c r="P487" s="14"/>
      <c r="Q487" s="58"/>
      <c r="R487" s="58"/>
      <c r="S487" s="14"/>
      <c r="T487" s="14"/>
      <c r="U487" s="59"/>
      <c r="V487" s="59"/>
      <c r="W487" s="14"/>
      <c r="X487" s="14"/>
      <c r="Y487" s="60"/>
      <c r="Z487" s="60"/>
      <c r="AA487" s="60"/>
      <c r="AB487" s="60"/>
      <c r="AC487" s="60"/>
      <c r="AD487" s="60"/>
      <c r="AE487" s="60"/>
      <c r="AF487" s="14"/>
      <c r="AG487" s="14"/>
      <c r="AH487" s="14"/>
      <c r="AI487" s="14"/>
      <c r="AJ487" s="14"/>
      <c r="AK487" s="14"/>
      <c r="AL487" s="14"/>
      <c r="AM487" s="14"/>
      <c r="AN487" s="61"/>
    </row>
    <row r="488">
      <c r="A488" s="14"/>
      <c r="B488" s="14"/>
      <c r="C488" s="14"/>
      <c r="D488" s="14"/>
      <c r="E488" s="14"/>
      <c r="F488" s="14"/>
      <c r="G488" s="14"/>
      <c r="H488" s="14"/>
      <c r="I488" s="14"/>
      <c r="J488" s="14"/>
      <c r="K488" s="14"/>
      <c r="L488" s="14"/>
      <c r="M488" s="14"/>
      <c r="N488" s="14"/>
      <c r="O488" s="14"/>
      <c r="P488" s="14"/>
      <c r="Q488" s="58"/>
      <c r="R488" s="58"/>
      <c r="S488" s="14"/>
      <c r="T488" s="14"/>
      <c r="U488" s="59"/>
      <c r="V488" s="59"/>
      <c r="W488" s="14"/>
      <c r="X488" s="14"/>
      <c r="Y488" s="60"/>
      <c r="Z488" s="60"/>
      <c r="AA488" s="60"/>
      <c r="AB488" s="60"/>
      <c r="AC488" s="60"/>
      <c r="AD488" s="60"/>
      <c r="AE488" s="60"/>
      <c r="AF488" s="14"/>
      <c r="AG488" s="14"/>
      <c r="AH488" s="14"/>
      <c r="AI488" s="14"/>
      <c r="AJ488" s="14"/>
      <c r="AK488" s="14"/>
      <c r="AL488" s="14"/>
      <c r="AM488" s="14"/>
      <c r="AN488" s="61"/>
    </row>
    <row r="489">
      <c r="A489" s="14"/>
      <c r="B489" s="14"/>
      <c r="C489" s="14"/>
      <c r="D489" s="14"/>
      <c r="E489" s="14"/>
      <c r="F489" s="14"/>
      <c r="G489" s="14"/>
      <c r="H489" s="14"/>
      <c r="I489" s="14"/>
      <c r="J489" s="14"/>
      <c r="K489" s="14"/>
      <c r="L489" s="14"/>
      <c r="M489" s="14"/>
      <c r="N489" s="14"/>
      <c r="O489" s="14"/>
      <c r="P489" s="14"/>
      <c r="Q489" s="58"/>
      <c r="R489" s="58"/>
      <c r="S489" s="14"/>
      <c r="T489" s="14"/>
      <c r="U489" s="59"/>
      <c r="V489" s="59"/>
      <c r="W489" s="14"/>
      <c r="X489" s="14"/>
      <c r="Y489" s="60"/>
      <c r="Z489" s="60"/>
      <c r="AA489" s="60"/>
      <c r="AB489" s="60"/>
      <c r="AC489" s="60"/>
      <c r="AD489" s="60"/>
      <c r="AE489" s="60"/>
      <c r="AF489" s="14"/>
      <c r="AG489" s="14"/>
      <c r="AH489" s="14"/>
      <c r="AI489" s="14"/>
      <c r="AJ489" s="14"/>
      <c r="AK489" s="14"/>
      <c r="AL489" s="14"/>
      <c r="AM489" s="14"/>
      <c r="AN489" s="61"/>
    </row>
    <row r="490">
      <c r="A490" s="14"/>
      <c r="B490" s="14"/>
      <c r="C490" s="14"/>
      <c r="D490" s="14"/>
      <c r="E490" s="14"/>
      <c r="F490" s="14"/>
      <c r="G490" s="14"/>
      <c r="H490" s="14"/>
      <c r="I490" s="14"/>
      <c r="J490" s="14"/>
      <c r="K490" s="14"/>
      <c r="L490" s="14"/>
      <c r="M490" s="14"/>
      <c r="N490" s="14"/>
      <c r="O490" s="14"/>
      <c r="P490" s="14"/>
      <c r="Q490" s="58"/>
      <c r="R490" s="58"/>
      <c r="S490" s="14"/>
      <c r="T490" s="14"/>
      <c r="U490" s="59"/>
      <c r="V490" s="59"/>
      <c r="W490" s="14"/>
      <c r="X490" s="14"/>
      <c r="Y490" s="60"/>
      <c r="Z490" s="60"/>
      <c r="AA490" s="60"/>
      <c r="AB490" s="60"/>
      <c r="AC490" s="60"/>
      <c r="AD490" s="60"/>
      <c r="AE490" s="60"/>
      <c r="AF490" s="14"/>
      <c r="AG490" s="14"/>
      <c r="AH490" s="14"/>
      <c r="AI490" s="14"/>
      <c r="AJ490" s="14"/>
      <c r="AK490" s="14"/>
      <c r="AL490" s="14"/>
      <c r="AM490" s="14"/>
      <c r="AN490" s="61"/>
    </row>
    <row r="491">
      <c r="A491" s="14"/>
      <c r="B491" s="14"/>
      <c r="C491" s="14"/>
      <c r="D491" s="14"/>
      <c r="E491" s="14"/>
      <c r="F491" s="14"/>
      <c r="G491" s="14"/>
      <c r="H491" s="14"/>
      <c r="I491" s="14"/>
      <c r="J491" s="14"/>
      <c r="K491" s="14"/>
      <c r="L491" s="14"/>
      <c r="M491" s="14"/>
      <c r="N491" s="14"/>
      <c r="O491" s="14"/>
      <c r="P491" s="14"/>
      <c r="Q491" s="58"/>
      <c r="R491" s="58"/>
      <c r="S491" s="14"/>
      <c r="T491" s="14"/>
      <c r="U491" s="59"/>
      <c r="V491" s="59"/>
      <c r="W491" s="14"/>
      <c r="X491" s="14"/>
      <c r="Y491" s="60"/>
      <c r="Z491" s="60"/>
      <c r="AA491" s="60"/>
      <c r="AB491" s="60"/>
      <c r="AC491" s="60"/>
      <c r="AD491" s="60"/>
      <c r="AE491" s="60"/>
      <c r="AF491" s="14"/>
      <c r="AG491" s="14"/>
      <c r="AH491" s="14"/>
      <c r="AI491" s="14"/>
      <c r="AJ491" s="14"/>
      <c r="AK491" s="14"/>
      <c r="AL491" s="14"/>
      <c r="AM491" s="14"/>
      <c r="AN491" s="61"/>
    </row>
    <row r="492">
      <c r="A492" s="14"/>
      <c r="B492" s="14"/>
      <c r="C492" s="14"/>
      <c r="D492" s="14"/>
      <c r="E492" s="14"/>
      <c r="F492" s="14"/>
      <c r="G492" s="14"/>
      <c r="H492" s="14"/>
      <c r="I492" s="14"/>
      <c r="J492" s="14"/>
      <c r="K492" s="14"/>
      <c r="L492" s="14"/>
      <c r="M492" s="14"/>
      <c r="N492" s="14"/>
      <c r="O492" s="14"/>
      <c r="P492" s="14"/>
      <c r="Q492" s="58"/>
      <c r="R492" s="58"/>
      <c r="S492" s="14"/>
      <c r="T492" s="14"/>
      <c r="U492" s="59"/>
      <c r="V492" s="59"/>
      <c r="W492" s="14"/>
      <c r="X492" s="14"/>
      <c r="Y492" s="60"/>
      <c r="Z492" s="60"/>
      <c r="AA492" s="60"/>
      <c r="AB492" s="60"/>
      <c r="AC492" s="60"/>
      <c r="AD492" s="60"/>
      <c r="AE492" s="60"/>
      <c r="AF492" s="14"/>
      <c r="AG492" s="14"/>
      <c r="AH492" s="14"/>
      <c r="AI492" s="14"/>
      <c r="AJ492" s="14"/>
      <c r="AK492" s="14"/>
      <c r="AL492" s="14"/>
      <c r="AM492" s="14"/>
      <c r="AN492" s="61"/>
    </row>
    <row r="493">
      <c r="A493" s="14"/>
      <c r="B493" s="14"/>
      <c r="C493" s="14"/>
      <c r="D493" s="14"/>
      <c r="E493" s="14"/>
      <c r="F493" s="14"/>
      <c r="G493" s="14"/>
      <c r="H493" s="14"/>
      <c r="I493" s="14"/>
      <c r="J493" s="14"/>
      <c r="K493" s="14"/>
      <c r="L493" s="14"/>
      <c r="M493" s="14"/>
      <c r="N493" s="14"/>
      <c r="O493" s="14"/>
      <c r="P493" s="14"/>
      <c r="Q493" s="58"/>
      <c r="R493" s="58"/>
      <c r="S493" s="14"/>
      <c r="T493" s="14"/>
      <c r="U493" s="59"/>
      <c r="V493" s="59"/>
      <c r="W493" s="14"/>
      <c r="X493" s="14"/>
      <c r="Y493" s="60"/>
      <c r="Z493" s="60"/>
      <c r="AA493" s="60"/>
      <c r="AB493" s="60"/>
      <c r="AC493" s="60"/>
      <c r="AD493" s="60"/>
      <c r="AE493" s="60"/>
      <c r="AF493" s="14"/>
      <c r="AG493" s="14"/>
      <c r="AH493" s="14"/>
      <c r="AI493" s="14"/>
      <c r="AJ493" s="14"/>
      <c r="AK493" s="14"/>
      <c r="AL493" s="14"/>
      <c r="AM493" s="14"/>
      <c r="AN493" s="61"/>
    </row>
    <row r="494">
      <c r="A494" s="14"/>
      <c r="B494" s="14"/>
      <c r="C494" s="14"/>
      <c r="D494" s="14"/>
      <c r="E494" s="14"/>
      <c r="F494" s="14"/>
      <c r="G494" s="14"/>
      <c r="H494" s="14"/>
      <c r="I494" s="14"/>
      <c r="J494" s="14"/>
      <c r="K494" s="14"/>
      <c r="L494" s="14"/>
      <c r="M494" s="14"/>
      <c r="N494" s="14"/>
      <c r="O494" s="14"/>
      <c r="P494" s="14"/>
      <c r="Q494" s="58"/>
      <c r="R494" s="58"/>
      <c r="S494" s="14"/>
      <c r="T494" s="14"/>
      <c r="U494" s="59"/>
      <c r="V494" s="59"/>
      <c r="W494" s="14"/>
      <c r="X494" s="14"/>
      <c r="Y494" s="60"/>
      <c r="Z494" s="60"/>
      <c r="AA494" s="60"/>
      <c r="AB494" s="60"/>
      <c r="AC494" s="60"/>
      <c r="AD494" s="60"/>
      <c r="AE494" s="60"/>
      <c r="AF494" s="14"/>
      <c r="AG494" s="14"/>
      <c r="AH494" s="14"/>
      <c r="AI494" s="14"/>
      <c r="AJ494" s="14"/>
      <c r="AK494" s="14"/>
      <c r="AL494" s="14"/>
      <c r="AM494" s="14"/>
      <c r="AN494" s="61"/>
    </row>
    <row r="495">
      <c r="A495" s="14"/>
      <c r="B495" s="14"/>
      <c r="C495" s="14"/>
      <c r="D495" s="14"/>
      <c r="E495" s="14"/>
      <c r="F495" s="14"/>
      <c r="G495" s="14"/>
      <c r="H495" s="14"/>
      <c r="I495" s="14"/>
      <c r="J495" s="14"/>
      <c r="K495" s="14"/>
      <c r="L495" s="14"/>
      <c r="M495" s="14"/>
      <c r="N495" s="14"/>
      <c r="O495" s="14"/>
      <c r="P495" s="14"/>
      <c r="Q495" s="58"/>
      <c r="R495" s="58"/>
      <c r="S495" s="14"/>
      <c r="T495" s="14"/>
      <c r="U495" s="59"/>
      <c r="V495" s="59"/>
      <c r="W495" s="14"/>
      <c r="X495" s="14"/>
      <c r="Y495" s="60"/>
      <c r="Z495" s="60"/>
      <c r="AA495" s="60"/>
      <c r="AB495" s="60"/>
      <c r="AC495" s="60"/>
      <c r="AD495" s="60"/>
      <c r="AE495" s="60"/>
      <c r="AF495" s="14"/>
      <c r="AG495" s="14"/>
      <c r="AH495" s="14"/>
      <c r="AI495" s="14"/>
      <c r="AJ495" s="14"/>
      <c r="AK495" s="14"/>
      <c r="AL495" s="14"/>
      <c r="AM495" s="14"/>
      <c r="AN495" s="61"/>
    </row>
    <row r="496">
      <c r="A496" s="14"/>
      <c r="B496" s="14"/>
      <c r="C496" s="14"/>
      <c r="D496" s="14"/>
      <c r="E496" s="14"/>
      <c r="F496" s="14"/>
      <c r="G496" s="14"/>
      <c r="H496" s="14"/>
      <c r="I496" s="14"/>
      <c r="J496" s="14"/>
      <c r="K496" s="14"/>
      <c r="L496" s="14"/>
      <c r="M496" s="14"/>
      <c r="N496" s="14"/>
      <c r="O496" s="14"/>
      <c r="P496" s="14"/>
      <c r="Q496" s="58"/>
      <c r="R496" s="58"/>
      <c r="S496" s="14"/>
      <c r="T496" s="14"/>
      <c r="U496" s="59"/>
      <c r="V496" s="59"/>
      <c r="W496" s="14"/>
      <c r="X496" s="14"/>
      <c r="Y496" s="60"/>
      <c r="Z496" s="60"/>
      <c r="AA496" s="60"/>
      <c r="AB496" s="60"/>
      <c r="AC496" s="60"/>
      <c r="AD496" s="60"/>
      <c r="AE496" s="60"/>
      <c r="AF496" s="14"/>
      <c r="AG496" s="14"/>
      <c r="AH496" s="14"/>
      <c r="AI496" s="14"/>
      <c r="AJ496" s="14"/>
      <c r="AK496" s="14"/>
      <c r="AL496" s="14"/>
      <c r="AM496" s="14"/>
      <c r="AN496" s="61"/>
    </row>
    <row r="497">
      <c r="A497" s="14"/>
      <c r="B497" s="14"/>
      <c r="C497" s="14"/>
      <c r="D497" s="14"/>
      <c r="E497" s="14"/>
      <c r="F497" s="14"/>
      <c r="G497" s="14"/>
      <c r="H497" s="14"/>
      <c r="I497" s="14"/>
      <c r="J497" s="14"/>
      <c r="K497" s="14"/>
      <c r="L497" s="14"/>
      <c r="M497" s="14"/>
      <c r="N497" s="14"/>
      <c r="O497" s="14"/>
      <c r="P497" s="14"/>
      <c r="Q497" s="58"/>
      <c r="R497" s="58"/>
      <c r="S497" s="14"/>
      <c r="T497" s="14"/>
      <c r="U497" s="59"/>
      <c r="V497" s="59"/>
      <c r="W497" s="14"/>
      <c r="X497" s="14"/>
      <c r="Y497" s="60"/>
      <c r="Z497" s="60"/>
      <c r="AA497" s="60"/>
      <c r="AB497" s="60"/>
      <c r="AC497" s="60"/>
      <c r="AD497" s="60"/>
      <c r="AE497" s="60"/>
      <c r="AF497" s="14"/>
      <c r="AG497" s="14"/>
      <c r="AH497" s="14"/>
      <c r="AI497" s="14"/>
      <c r="AJ497" s="14"/>
      <c r="AK497" s="14"/>
      <c r="AL497" s="14"/>
      <c r="AM497" s="14"/>
      <c r="AN497" s="61"/>
    </row>
    <row r="498">
      <c r="A498" s="14"/>
      <c r="B498" s="14"/>
      <c r="C498" s="14"/>
      <c r="D498" s="14"/>
      <c r="E498" s="14"/>
      <c r="F498" s="14"/>
      <c r="G498" s="14"/>
      <c r="H498" s="14"/>
      <c r="I498" s="14"/>
      <c r="J498" s="14"/>
      <c r="K498" s="14"/>
      <c r="L498" s="14"/>
      <c r="M498" s="14"/>
      <c r="N498" s="14"/>
      <c r="O498" s="14"/>
      <c r="P498" s="14"/>
      <c r="Q498" s="58"/>
      <c r="R498" s="58"/>
      <c r="S498" s="14"/>
      <c r="T498" s="14"/>
      <c r="U498" s="59"/>
      <c r="V498" s="59"/>
      <c r="W498" s="14"/>
      <c r="X498" s="14"/>
      <c r="Y498" s="60"/>
      <c r="Z498" s="60"/>
      <c r="AA498" s="60"/>
      <c r="AB498" s="60"/>
      <c r="AC498" s="60"/>
      <c r="AD498" s="60"/>
      <c r="AE498" s="60"/>
      <c r="AF498" s="14"/>
      <c r="AG498" s="14"/>
      <c r="AH498" s="14"/>
      <c r="AI498" s="14"/>
      <c r="AJ498" s="14"/>
      <c r="AK498" s="14"/>
      <c r="AL498" s="14"/>
      <c r="AM498" s="14"/>
      <c r="AN498" s="61"/>
    </row>
    <row r="499">
      <c r="A499" s="14"/>
      <c r="B499" s="14"/>
      <c r="C499" s="14"/>
      <c r="D499" s="14"/>
      <c r="E499" s="14"/>
      <c r="F499" s="14"/>
      <c r="G499" s="14"/>
      <c r="H499" s="14"/>
      <c r="I499" s="14"/>
      <c r="J499" s="14"/>
      <c r="K499" s="14"/>
      <c r="L499" s="14"/>
      <c r="M499" s="14"/>
      <c r="N499" s="14"/>
      <c r="O499" s="14"/>
      <c r="P499" s="14"/>
      <c r="Q499" s="58"/>
      <c r="R499" s="58"/>
      <c r="S499" s="14"/>
      <c r="T499" s="14"/>
      <c r="U499" s="59"/>
      <c r="V499" s="59"/>
      <c r="W499" s="14"/>
      <c r="X499" s="14"/>
      <c r="Y499" s="60"/>
      <c r="Z499" s="60"/>
      <c r="AA499" s="60"/>
      <c r="AB499" s="60"/>
      <c r="AC499" s="60"/>
      <c r="AD499" s="60"/>
      <c r="AE499" s="60"/>
      <c r="AF499" s="14"/>
      <c r="AG499" s="14"/>
      <c r="AH499" s="14"/>
      <c r="AI499" s="14"/>
      <c r="AJ499" s="14"/>
      <c r="AK499" s="14"/>
      <c r="AL499" s="14"/>
      <c r="AM499" s="14"/>
      <c r="AN499" s="61"/>
    </row>
    <row r="500">
      <c r="A500" s="14"/>
      <c r="B500" s="14"/>
      <c r="C500" s="14"/>
      <c r="D500" s="14"/>
      <c r="E500" s="14"/>
      <c r="F500" s="14"/>
      <c r="G500" s="14"/>
      <c r="H500" s="14"/>
      <c r="I500" s="14"/>
      <c r="J500" s="14"/>
      <c r="K500" s="14"/>
      <c r="L500" s="14"/>
      <c r="M500" s="14"/>
      <c r="N500" s="14"/>
      <c r="O500" s="14"/>
      <c r="P500" s="14"/>
      <c r="Q500" s="58"/>
      <c r="R500" s="58"/>
      <c r="S500" s="14"/>
      <c r="T500" s="14"/>
      <c r="U500" s="59"/>
      <c r="V500" s="59"/>
      <c r="W500" s="14"/>
      <c r="X500" s="14"/>
      <c r="Y500" s="60"/>
      <c r="Z500" s="60"/>
      <c r="AA500" s="60"/>
      <c r="AB500" s="60"/>
      <c r="AC500" s="60"/>
      <c r="AD500" s="60"/>
      <c r="AE500" s="60"/>
      <c r="AF500" s="14"/>
      <c r="AG500" s="14"/>
      <c r="AH500" s="14"/>
      <c r="AI500" s="14"/>
      <c r="AJ500" s="14"/>
      <c r="AK500" s="14"/>
      <c r="AL500" s="14"/>
      <c r="AM500" s="14"/>
      <c r="AN500" s="61"/>
    </row>
    <row r="501">
      <c r="A501" s="14"/>
      <c r="B501" s="14"/>
      <c r="C501" s="14"/>
      <c r="D501" s="14"/>
      <c r="E501" s="14"/>
      <c r="F501" s="14"/>
      <c r="G501" s="14"/>
      <c r="H501" s="14"/>
      <c r="I501" s="14"/>
      <c r="J501" s="14"/>
      <c r="K501" s="14"/>
      <c r="L501" s="14"/>
      <c r="M501" s="14"/>
      <c r="N501" s="14"/>
      <c r="O501" s="14"/>
      <c r="P501" s="14"/>
      <c r="Q501" s="58"/>
      <c r="R501" s="58"/>
      <c r="S501" s="14"/>
      <c r="T501" s="14"/>
      <c r="U501" s="59"/>
      <c r="V501" s="59"/>
      <c r="W501" s="14"/>
      <c r="X501" s="14"/>
      <c r="Y501" s="60"/>
      <c r="Z501" s="60"/>
      <c r="AA501" s="60"/>
      <c r="AB501" s="60"/>
      <c r="AC501" s="60"/>
      <c r="AD501" s="60"/>
      <c r="AE501" s="60"/>
      <c r="AF501" s="14"/>
      <c r="AG501" s="14"/>
      <c r="AH501" s="14"/>
      <c r="AI501" s="14"/>
      <c r="AJ501" s="14"/>
      <c r="AK501" s="14"/>
      <c r="AL501" s="14"/>
      <c r="AM501" s="14"/>
      <c r="AN501" s="61"/>
    </row>
    <row r="502">
      <c r="A502" s="14"/>
      <c r="B502" s="14"/>
      <c r="C502" s="14"/>
      <c r="D502" s="14"/>
      <c r="E502" s="14"/>
      <c r="F502" s="14"/>
      <c r="G502" s="14"/>
      <c r="H502" s="14"/>
      <c r="I502" s="14"/>
      <c r="J502" s="14"/>
      <c r="K502" s="14"/>
      <c r="L502" s="14"/>
      <c r="M502" s="14"/>
      <c r="N502" s="14"/>
      <c r="O502" s="14"/>
      <c r="P502" s="14"/>
      <c r="Q502" s="58"/>
      <c r="R502" s="58"/>
      <c r="S502" s="14"/>
      <c r="T502" s="14"/>
      <c r="U502" s="59"/>
      <c r="V502" s="59"/>
      <c r="W502" s="14"/>
      <c r="X502" s="14"/>
      <c r="Y502" s="60"/>
      <c r="Z502" s="60"/>
      <c r="AA502" s="60"/>
      <c r="AB502" s="60"/>
      <c r="AC502" s="60"/>
      <c r="AD502" s="60"/>
      <c r="AE502" s="60"/>
      <c r="AF502" s="14"/>
      <c r="AG502" s="14"/>
      <c r="AH502" s="14"/>
      <c r="AI502" s="14"/>
      <c r="AJ502" s="14"/>
      <c r="AK502" s="14"/>
      <c r="AL502" s="14"/>
      <c r="AM502" s="14"/>
      <c r="AN502" s="61"/>
    </row>
    <row r="503">
      <c r="A503" s="14"/>
      <c r="B503" s="14"/>
      <c r="C503" s="14"/>
      <c r="D503" s="14"/>
      <c r="E503" s="14"/>
      <c r="F503" s="14"/>
      <c r="G503" s="14"/>
      <c r="H503" s="14"/>
      <c r="I503" s="14"/>
      <c r="J503" s="14"/>
      <c r="K503" s="14"/>
      <c r="L503" s="14"/>
      <c r="M503" s="14"/>
      <c r="N503" s="14"/>
      <c r="O503" s="14"/>
      <c r="P503" s="14"/>
      <c r="Q503" s="58"/>
      <c r="R503" s="58"/>
      <c r="S503" s="14"/>
      <c r="T503" s="14"/>
      <c r="U503" s="59"/>
      <c r="V503" s="59"/>
      <c r="W503" s="14"/>
      <c r="X503" s="14"/>
      <c r="Y503" s="60"/>
      <c r="Z503" s="60"/>
      <c r="AA503" s="60"/>
      <c r="AB503" s="60"/>
      <c r="AC503" s="60"/>
      <c r="AD503" s="60"/>
      <c r="AE503" s="60"/>
      <c r="AF503" s="14"/>
      <c r="AG503" s="14"/>
      <c r="AH503" s="14"/>
      <c r="AI503" s="14"/>
      <c r="AJ503" s="14"/>
      <c r="AK503" s="14"/>
      <c r="AL503" s="14"/>
      <c r="AM503" s="14"/>
      <c r="AN503" s="61"/>
    </row>
    <row r="504">
      <c r="A504" s="14"/>
      <c r="B504" s="14"/>
      <c r="C504" s="14"/>
      <c r="D504" s="14"/>
      <c r="E504" s="14"/>
      <c r="F504" s="14"/>
      <c r="G504" s="14"/>
      <c r="H504" s="14"/>
      <c r="I504" s="14"/>
      <c r="J504" s="14"/>
      <c r="K504" s="14"/>
      <c r="L504" s="14"/>
      <c r="M504" s="14"/>
      <c r="N504" s="14"/>
      <c r="O504" s="14"/>
      <c r="P504" s="14"/>
      <c r="Q504" s="58"/>
      <c r="R504" s="58"/>
      <c r="S504" s="14"/>
      <c r="T504" s="14"/>
      <c r="U504" s="59"/>
      <c r="V504" s="59"/>
      <c r="W504" s="14"/>
      <c r="X504" s="14"/>
      <c r="Y504" s="60"/>
      <c r="Z504" s="60"/>
      <c r="AA504" s="60"/>
      <c r="AB504" s="60"/>
      <c r="AC504" s="60"/>
      <c r="AD504" s="60"/>
      <c r="AE504" s="60"/>
      <c r="AF504" s="14"/>
      <c r="AG504" s="14"/>
      <c r="AH504" s="14"/>
      <c r="AI504" s="14"/>
      <c r="AJ504" s="14"/>
      <c r="AK504" s="14"/>
      <c r="AL504" s="14"/>
      <c r="AM504" s="14"/>
      <c r="AN504" s="61"/>
    </row>
    <row r="505">
      <c r="A505" s="14"/>
      <c r="B505" s="14"/>
      <c r="C505" s="14"/>
      <c r="D505" s="14"/>
      <c r="E505" s="14"/>
      <c r="F505" s="14"/>
      <c r="G505" s="14"/>
      <c r="H505" s="14"/>
      <c r="I505" s="14"/>
      <c r="J505" s="14"/>
      <c r="K505" s="14"/>
      <c r="L505" s="14"/>
      <c r="M505" s="14"/>
      <c r="N505" s="14"/>
      <c r="O505" s="14"/>
      <c r="P505" s="14"/>
      <c r="Q505" s="58"/>
      <c r="R505" s="58"/>
      <c r="S505" s="14"/>
      <c r="T505" s="14"/>
      <c r="U505" s="59"/>
      <c r="V505" s="59"/>
      <c r="W505" s="14"/>
      <c r="X505" s="14"/>
      <c r="Y505" s="60"/>
      <c r="Z505" s="60"/>
      <c r="AA505" s="60"/>
      <c r="AB505" s="60"/>
      <c r="AC505" s="60"/>
      <c r="AD505" s="60"/>
      <c r="AE505" s="60"/>
      <c r="AF505" s="14"/>
      <c r="AG505" s="14"/>
      <c r="AH505" s="14"/>
      <c r="AI505" s="14"/>
      <c r="AJ505" s="14"/>
      <c r="AK505" s="14"/>
      <c r="AL505" s="14"/>
      <c r="AM505" s="14"/>
      <c r="AN505" s="61"/>
    </row>
    <row r="506">
      <c r="A506" s="14"/>
      <c r="B506" s="14"/>
      <c r="C506" s="14"/>
      <c r="D506" s="14"/>
      <c r="E506" s="14"/>
      <c r="F506" s="14"/>
      <c r="G506" s="14"/>
      <c r="H506" s="14"/>
      <c r="I506" s="14"/>
      <c r="J506" s="14"/>
      <c r="K506" s="14"/>
      <c r="L506" s="14"/>
      <c r="M506" s="14"/>
      <c r="N506" s="14"/>
      <c r="O506" s="14"/>
      <c r="P506" s="14"/>
      <c r="Q506" s="58"/>
      <c r="R506" s="58"/>
      <c r="S506" s="14"/>
      <c r="T506" s="14"/>
      <c r="U506" s="59"/>
      <c r="V506" s="59"/>
      <c r="W506" s="14"/>
      <c r="X506" s="14"/>
      <c r="Y506" s="60"/>
      <c r="Z506" s="60"/>
      <c r="AA506" s="60"/>
      <c r="AB506" s="60"/>
      <c r="AC506" s="60"/>
      <c r="AD506" s="60"/>
      <c r="AE506" s="60"/>
      <c r="AF506" s="14"/>
      <c r="AG506" s="14"/>
      <c r="AH506" s="14"/>
      <c r="AI506" s="14"/>
      <c r="AJ506" s="14"/>
      <c r="AK506" s="14"/>
      <c r="AL506" s="14"/>
      <c r="AM506" s="14"/>
      <c r="AN506" s="61"/>
    </row>
    <row r="507">
      <c r="A507" s="14"/>
      <c r="B507" s="14"/>
      <c r="C507" s="14"/>
      <c r="D507" s="14"/>
      <c r="E507" s="14"/>
      <c r="F507" s="14"/>
      <c r="G507" s="14"/>
      <c r="H507" s="14"/>
      <c r="I507" s="14"/>
      <c r="J507" s="14"/>
      <c r="K507" s="14"/>
      <c r="L507" s="14"/>
      <c r="M507" s="14"/>
      <c r="N507" s="14"/>
      <c r="O507" s="14"/>
      <c r="P507" s="14"/>
      <c r="Q507" s="58"/>
      <c r="R507" s="58"/>
      <c r="S507" s="14"/>
      <c r="T507" s="14"/>
      <c r="U507" s="59"/>
      <c r="V507" s="59"/>
      <c r="W507" s="14"/>
      <c r="X507" s="14"/>
      <c r="Y507" s="60"/>
      <c r="Z507" s="60"/>
      <c r="AA507" s="60"/>
      <c r="AB507" s="60"/>
      <c r="AC507" s="60"/>
      <c r="AD507" s="60"/>
      <c r="AE507" s="60"/>
      <c r="AF507" s="14"/>
      <c r="AG507" s="14"/>
      <c r="AH507" s="14"/>
      <c r="AI507" s="14"/>
      <c r="AJ507" s="14"/>
      <c r="AK507" s="14"/>
      <c r="AL507" s="14"/>
      <c r="AM507" s="14"/>
      <c r="AN507" s="61"/>
    </row>
    <row r="508">
      <c r="A508" s="14"/>
      <c r="B508" s="14"/>
      <c r="C508" s="14"/>
      <c r="D508" s="14"/>
      <c r="E508" s="14"/>
      <c r="F508" s="14"/>
      <c r="G508" s="14"/>
      <c r="H508" s="14"/>
      <c r="I508" s="14"/>
      <c r="J508" s="14"/>
      <c r="K508" s="14"/>
      <c r="L508" s="14"/>
      <c r="M508" s="14"/>
      <c r="N508" s="14"/>
      <c r="O508" s="14"/>
      <c r="P508" s="14"/>
      <c r="Q508" s="58"/>
      <c r="R508" s="58"/>
      <c r="S508" s="14"/>
      <c r="T508" s="14"/>
      <c r="U508" s="59"/>
      <c r="V508" s="59"/>
      <c r="W508" s="14"/>
      <c r="X508" s="14"/>
      <c r="Y508" s="60"/>
      <c r="Z508" s="60"/>
      <c r="AA508" s="60"/>
      <c r="AB508" s="60"/>
      <c r="AC508" s="60"/>
      <c r="AD508" s="60"/>
      <c r="AE508" s="60"/>
      <c r="AF508" s="14"/>
      <c r="AG508" s="14"/>
      <c r="AH508" s="14"/>
      <c r="AI508" s="14"/>
      <c r="AJ508" s="14"/>
      <c r="AK508" s="14"/>
      <c r="AL508" s="14"/>
      <c r="AM508" s="14"/>
      <c r="AN508" s="61"/>
    </row>
    <row r="509">
      <c r="A509" s="14"/>
      <c r="B509" s="14"/>
      <c r="C509" s="14"/>
      <c r="D509" s="14"/>
      <c r="E509" s="14"/>
      <c r="F509" s="14"/>
      <c r="G509" s="14"/>
      <c r="H509" s="14"/>
      <c r="I509" s="14"/>
      <c r="J509" s="14"/>
      <c r="K509" s="14"/>
      <c r="L509" s="14"/>
      <c r="M509" s="14"/>
      <c r="N509" s="14"/>
      <c r="O509" s="14"/>
      <c r="P509" s="14"/>
      <c r="Q509" s="58"/>
      <c r="R509" s="58"/>
      <c r="S509" s="14"/>
      <c r="T509" s="14"/>
      <c r="U509" s="59"/>
      <c r="V509" s="59"/>
      <c r="W509" s="14"/>
      <c r="X509" s="14"/>
      <c r="Y509" s="60"/>
      <c r="Z509" s="60"/>
      <c r="AA509" s="60"/>
      <c r="AB509" s="60"/>
      <c r="AC509" s="60"/>
      <c r="AD509" s="60"/>
      <c r="AE509" s="60"/>
      <c r="AF509" s="14"/>
      <c r="AG509" s="14"/>
      <c r="AH509" s="14"/>
      <c r="AI509" s="14"/>
      <c r="AJ509" s="14"/>
      <c r="AK509" s="14"/>
      <c r="AL509" s="14"/>
      <c r="AM509" s="14"/>
      <c r="AN509" s="61"/>
    </row>
    <row r="510">
      <c r="A510" s="14"/>
      <c r="B510" s="14"/>
      <c r="C510" s="14"/>
      <c r="D510" s="14"/>
      <c r="E510" s="14"/>
      <c r="F510" s="14"/>
      <c r="G510" s="14"/>
      <c r="H510" s="14"/>
      <c r="I510" s="14"/>
      <c r="J510" s="14"/>
      <c r="K510" s="14"/>
      <c r="L510" s="14"/>
      <c r="M510" s="14"/>
      <c r="N510" s="14"/>
      <c r="O510" s="14"/>
      <c r="P510" s="14"/>
      <c r="Q510" s="58"/>
      <c r="R510" s="58"/>
      <c r="S510" s="14"/>
      <c r="T510" s="14"/>
      <c r="U510" s="59"/>
      <c r="V510" s="59"/>
      <c r="W510" s="14"/>
      <c r="X510" s="14"/>
      <c r="Y510" s="60"/>
      <c r="Z510" s="60"/>
      <c r="AA510" s="60"/>
      <c r="AB510" s="60"/>
      <c r="AC510" s="60"/>
      <c r="AD510" s="60"/>
      <c r="AE510" s="60"/>
      <c r="AF510" s="14"/>
      <c r="AG510" s="14"/>
      <c r="AH510" s="14"/>
      <c r="AI510" s="14"/>
      <c r="AJ510" s="14"/>
      <c r="AK510" s="14"/>
      <c r="AL510" s="14"/>
      <c r="AM510" s="14"/>
      <c r="AN510" s="61"/>
    </row>
    <row r="511">
      <c r="A511" s="14"/>
      <c r="B511" s="14"/>
      <c r="C511" s="14"/>
      <c r="D511" s="14"/>
      <c r="E511" s="14"/>
      <c r="F511" s="14"/>
      <c r="G511" s="14"/>
      <c r="H511" s="14"/>
      <c r="I511" s="14"/>
      <c r="J511" s="14"/>
      <c r="K511" s="14"/>
      <c r="L511" s="14"/>
      <c r="M511" s="14"/>
      <c r="N511" s="14"/>
      <c r="O511" s="14"/>
      <c r="P511" s="14"/>
      <c r="Q511" s="58"/>
      <c r="R511" s="58"/>
      <c r="S511" s="14"/>
      <c r="T511" s="14"/>
      <c r="U511" s="59"/>
      <c r="V511" s="59"/>
      <c r="W511" s="14"/>
      <c r="X511" s="14"/>
      <c r="Y511" s="60"/>
      <c r="Z511" s="60"/>
      <c r="AA511" s="60"/>
      <c r="AB511" s="60"/>
      <c r="AC511" s="60"/>
      <c r="AD511" s="60"/>
      <c r="AE511" s="60"/>
      <c r="AF511" s="14"/>
      <c r="AG511" s="14"/>
      <c r="AH511" s="14"/>
      <c r="AI511" s="14"/>
      <c r="AJ511" s="14"/>
      <c r="AK511" s="14"/>
      <c r="AL511" s="14"/>
      <c r="AM511" s="14"/>
      <c r="AN511" s="61"/>
    </row>
    <row r="512">
      <c r="A512" s="14"/>
      <c r="B512" s="14"/>
      <c r="C512" s="14"/>
      <c r="D512" s="14"/>
      <c r="E512" s="14"/>
      <c r="F512" s="14"/>
      <c r="G512" s="14"/>
      <c r="H512" s="14"/>
      <c r="I512" s="14"/>
      <c r="J512" s="14"/>
      <c r="K512" s="14"/>
      <c r="L512" s="14"/>
      <c r="M512" s="14"/>
      <c r="N512" s="14"/>
      <c r="O512" s="14"/>
      <c r="P512" s="14"/>
      <c r="Q512" s="58"/>
      <c r="R512" s="58"/>
      <c r="S512" s="14"/>
      <c r="T512" s="14"/>
      <c r="U512" s="59"/>
      <c r="V512" s="59"/>
      <c r="W512" s="14"/>
      <c r="X512" s="14"/>
      <c r="Y512" s="60"/>
      <c r="Z512" s="60"/>
      <c r="AA512" s="60"/>
      <c r="AB512" s="60"/>
      <c r="AC512" s="60"/>
      <c r="AD512" s="60"/>
      <c r="AE512" s="60"/>
      <c r="AF512" s="14"/>
      <c r="AG512" s="14"/>
      <c r="AH512" s="14"/>
      <c r="AI512" s="14"/>
      <c r="AJ512" s="14"/>
      <c r="AK512" s="14"/>
      <c r="AL512" s="14"/>
      <c r="AM512" s="14"/>
      <c r="AN512" s="61"/>
    </row>
    <row r="513">
      <c r="A513" s="14"/>
      <c r="B513" s="14"/>
      <c r="C513" s="14"/>
      <c r="D513" s="14"/>
      <c r="E513" s="14"/>
      <c r="F513" s="14"/>
      <c r="G513" s="14"/>
      <c r="H513" s="14"/>
      <c r="I513" s="14"/>
      <c r="J513" s="14"/>
      <c r="K513" s="14"/>
      <c r="L513" s="14"/>
      <c r="M513" s="14"/>
      <c r="N513" s="14"/>
      <c r="O513" s="14"/>
      <c r="P513" s="14"/>
      <c r="Q513" s="58"/>
      <c r="R513" s="58"/>
      <c r="S513" s="14"/>
      <c r="T513" s="14"/>
      <c r="U513" s="59"/>
      <c r="V513" s="59"/>
      <c r="W513" s="14"/>
      <c r="X513" s="14"/>
      <c r="Y513" s="60"/>
      <c r="Z513" s="60"/>
      <c r="AA513" s="60"/>
      <c r="AB513" s="60"/>
      <c r="AC513" s="60"/>
      <c r="AD513" s="60"/>
      <c r="AE513" s="60"/>
      <c r="AF513" s="14"/>
      <c r="AG513" s="14"/>
      <c r="AH513" s="14"/>
      <c r="AI513" s="14"/>
      <c r="AJ513" s="14"/>
      <c r="AK513" s="14"/>
      <c r="AL513" s="14"/>
      <c r="AM513" s="14"/>
      <c r="AN513" s="61"/>
    </row>
    <row r="514">
      <c r="A514" s="14"/>
      <c r="B514" s="14"/>
      <c r="C514" s="14"/>
      <c r="D514" s="14"/>
      <c r="E514" s="14"/>
      <c r="F514" s="14"/>
      <c r="G514" s="14"/>
      <c r="H514" s="14"/>
      <c r="I514" s="14"/>
      <c r="J514" s="14"/>
      <c r="K514" s="14"/>
      <c r="L514" s="14"/>
      <c r="M514" s="14"/>
      <c r="N514" s="14"/>
      <c r="O514" s="14"/>
      <c r="P514" s="14"/>
      <c r="Q514" s="58"/>
      <c r="R514" s="58"/>
      <c r="S514" s="14"/>
      <c r="T514" s="14"/>
      <c r="U514" s="59"/>
      <c r="V514" s="59"/>
      <c r="W514" s="14"/>
      <c r="X514" s="14"/>
      <c r="Y514" s="60"/>
      <c r="Z514" s="60"/>
      <c r="AA514" s="60"/>
      <c r="AB514" s="60"/>
      <c r="AC514" s="60"/>
      <c r="AD514" s="60"/>
      <c r="AE514" s="60"/>
      <c r="AF514" s="14"/>
      <c r="AG514" s="14"/>
      <c r="AH514" s="14"/>
      <c r="AI514" s="14"/>
      <c r="AJ514" s="14"/>
      <c r="AK514" s="14"/>
      <c r="AL514" s="14"/>
      <c r="AM514" s="14"/>
      <c r="AN514" s="61"/>
    </row>
    <row r="515">
      <c r="A515" s="14"/>
      <c r="B515" s="14"/>
      <c r="C515" s="14"/>
      <c r="D515" s="14"/>
      <c r="E515" s="14"/>
      <c r="F515" s="14"/>
      <c r="G515" s="14"/>
      <c r="H515" s="14"/>
      <c r="I515" s="14"/>
      <c r="J515" s="14"/>
      <c r="K515" s="14"/>
      <c r="L515" s="14"/>
      <c r="M515" s="14"/>
      <c r="N515" s="14"/>
      <c r="O515" s="14"/>
      <c r="P515" s="14"/>
      <c r="Q515" s="58"/>
      <c r="R515" s="58"/>
      <c r="S515" s="14"/>
      <c r="T515" s="14"/>
      <c r="U515" s="59"/>
      <c r="V515" s="59"/>
      <c r="W515" s="14"/>
      <c r="X515" s="14"/>
      <c r="Y515" s="60"/>
      <c r="Z515" s="60"/>
      <c r="AA515" s="60"/>
      <c r="AB515" s="60"/>
      <c r="AC515" s="60"/>
      <c r="AD515" s="60"/>
      <c r="AE515" s="60"/>
      <c r="AF515" s="14"/>
      <c r="AG515" s="14"/>
      <c r="AH515" s="14"/>
      <c r="AI515" s="14"/>
      <c r="AJ515" s="14"/>
      <c r="AK515" s="14"/>
      <c r="AL515" s="14"/>
      <c r="AM515" s="14"/>
      <c r="AN515" s="61"/>
    </row>
    <row r="516">
      <c r="A516" s="14"/>
      <c r="B516" s="14"/>
      <c r="C516" s="14"/>
      <c r="D516" s="14"/>
      <c r="E516" s="14"/>
      <c r="F516" s="14"/>
      <c r="G516" s="14"/>
      <c r="H516" s="14"/>
      <c r="I516" s="14"/>
      <c r="J516" s="14"/>
      <c r="K516" s="14"/>
      <c r="L516" s="14"/>
      <c r="M516" s="14"/>
      <c r="N516" s="14"/>
      <c r="O516" s="14"/>
      <c r="P516" s="14"/>
      <c r="Q516" s="58"/>
      <c r="R516" s="58"/>
      <c r="S516" s="14"/>
      <c r="T516" s="14"/>
      <c r="U516" s="59"/>
      <c r="V516" s="59"/>
      <c r="W516" s="14"/>
      <c r="X516" s="14"/>
      <c r="Y516" s="60"/>
      <c r="Z516" s="60"/>
      <c r="AA516" s="60"/>
      <c r="AB516" s="60"/>
      <c r="AC516" s="60"/>
      <c r="AD516" s="60"/>
      <c r="AE516" s="60"/>
      <c r="AF516" s="14"/>
      <c r="AG516" s="14"/>
      <c r="AH516" s="14"/>
      <c r="AI516" s="14"/>
      <c r="AJ516" s="14"/>
      <c r="AK516" s="14"/>
      <c r="AL516" s="14"/>
      <c r="AM516" s="14"/>
      <c r="AN516" s="61"/>
    </row>
    <row r="517">
      <c r="A517" s="14"/>
      <c r="B517" s="14"/>
      <c r="C517" s="14"/>
      <c r="D517" s="14"/>
      <c r="E517" s="14"/>
      <c r="F517" s="14"/>
      <c r="G517" s="14"/>
      <c r="H517" s="14"/>
      <c r="I517" s="14"/>
      <c r="J517" s="14"/>
      <c r="K517" s="14"/>
      <c r="L517" s="14"/>
      <c r="M517" s="14"/>
      <c r="N517" s="14"/>
      <c r="O517" s="14"/>
      <c r="P517" s="14"/>
      <c r="Q517" s="58"/>
      <c r="R517" s="58"/>
      <c r="S517" s="14"/>
      <c r="T517" s="14"/>
      <c r="U517" s="59"/>
      <c r="V517" s="59"/>
      <c r="W517" s="14"/>
      <c r="X517" s="14"/>
      <c r="Y517" s="60"/>
      <c r="Z517" s="60"/>
      <c r="AA517" s="60"/>
      <c r="AB517" s="60"/>
      <c r="AC517" s="60"/>
      <c r="AD517" s="60"/>
      <c r="AE517" s="60"/>
      <c r="AF517" s="14"/>
      <c r="AG517" s="14"/>
      <c r="AH517" s="14"/>
      <c r="AI517" s="14"/>
      <c r="AJ517" s="14"/>
      <c r="AK517" s="14"/>
      <c r="AL517" s="14"/>
      <c r="AM517" s="14"/>
      <c r="AN517" s="61"/>
    </row>
    <row r="518">
      <c r="A518" s="14"/>
      <c r="B518" s="14"/>
      <c r="C518" s="14"/>
      <c r="D518" s="14"/>
      <c r="E518" s="14"/>
      <c r="F518" s="14"/>
      <c r="G518" s="14"/>
      <c r="H518" s="14"/>
      <c r="I518" s="14"/>
      <c r="J518" s="14"/>
      <c r="K518" s="14"/>
      <c r="L518" s="14"/>
      <c r="M518" s="14"/>
      <c r="N518" s="14"/>
      <c r="O518" s="14"/>
      <c r="P518" s="14"/>
      <c r="Q518" s="58"/>
      <c r="R518" s="58"/>
      <c r="S518" s="14"/>
      <c r="T518" s="14"/>
      <c r="U518" s="59"/>
      <c r="V518" s="59"/>
      <c r="W518" s="14"/>
      <c r="X518" s="14"/>
      <c r="Y518" s="60"/>
      <c r="Z518" s="60"/>
      <c r="AA518" s="60"/>
      <c r="AB518" s="60"/>
      <c r="AC518" s="60"/>
      <c r="AD518" s="60"/>
      <c r="AE518" s="60"/>
      <c r="AF518" s="14"/>
      <c r="AG518" s="14"/>
      <c r="AH518" s="14"/>
      <c r="AI518" s="14"/>
      <c r="AJ518" s="14"/>
      <c r="AK518" s="14"/>
      <c r="AL518" s="14"/>
      <c r="AM518" s="14"/>
      <c r="AN518" s="61"/>
    </row>
    <row r="519">
      <c r="A519" s="14"/>
      <c r="B519" s="14"/>
      <c r="C519" s="14"/>
      <c r="D519" s="14"/>
      <c r="E519" s="14"/>
      <c r="F519" s="14"/>
      <c r="G519" s="14"/>
      <c r="H519" s="14"/>
      <c r="I519" s="14"/>
      <c r="J519" s="14"/>
      <c r="K519" s="14"/>
      <c r="L519" s="14"/>
      <c r="M519" s="14"/>
      <c r="N519" s="14"/>
      <c r="O519" s="14"/>
      <c r="P519" s="14"/>
      <c r="Q519" s="58"/>
      <c r="R519" s="58"/>
      <c r="S519" s="14"/>
      <c r="T519" s="14"/>
      <c r="U519" s="59"/>
      <c r="V519" s="59"/>
      <c r="W519" s="14"/>
      <c r="X519" s="14"/>
      <c r="Y519" s="60"/>
      <c r="Z519" s="60"/>
      <c r="AA519" s="60"/>
      <c r="AB519" s="60"/>
      <c r="AC519" s="60"/>
      <c r="AD519" s="60"/>
      <c r="AE519" s="60"/>
      <c r="AF519" s="14"/>
      <c r="AG519" s="14"/>
      <c r="AH519" s="14"/>
      <c r="AI519" s="14"/>
      <c r="AJ519" s="14"/>
      <c r="AK519" s="14"/>
      <c r="AL519" s="14"/>
      <c r="AM519" s="14"/>
      <c r="AN519" s="61"/>
    </row>
    <row r="520">
      <c r="A520" s="14"/>
      <c r="B520" s="14"/>
      <c r="C520" s="14"/>
      <c r="D520" s="14"/>
      <c r="E520" s="14"/>
      <c r="F520" s="14"/>
      <c r="G520" s="14"/>
      <c r="H520" s="14"/>
      <c r="I520" s="14"/>
      <c r="J520" s="14"/>
      <c r="K520" s="14"/>
      <c r="L520" s="14"/>
      <c r="M520" s="14"/>
      <c r="N520" s="14"/>
      <c r="O520" s="14"/>
      <c r="P520" s="14"/>
      <c r="Q520" s="58"/>
      <c r="R520" s="58"/>
      <c r="S520" s="14"/>
      <c r="T520" s="14"/>
      <c r="U520" s="59"/>
      <c r="V520" s="59"/>
      <c r="W520" s="14"/>
      <c r="X520" s="14"/>
      <c r="Y520" s="60"/>
      <c r="Z520" s="60"/>
      <c r="AA520" s="60"/>
      <c r="AB520" s="60"/>
      <c r="AC520" s="60"/>
      <c r="AD520" s="60"/>
      <c r="AE520" s="60"/>
      <c r="AF520" s="14"/>
      <c r="AG520" s="14"/>
      <c r="AH520" s="14"/>
      <c r="AI520" s="14"/>
      <c r="AJ520" s="14"/>
      <c r="AK520" s="14"/>
      <c r="AL520" s="14"/>
      <c r="AM520" s="14"/>
      <c r="AN520" s="61"/>
    </row>
    <row r="521">
      <c r="A521" s="14"/>
      <c r="B521" s="14"/>
      <c r="C521" s="14"/>
      <c r="D521" s="14"/>
      <c r="E521" s="14"/>
      <c r="F521" s="14"/>
      <c r="G521" s="14"/>
      <c r="H521" s="14"/>
      <c r="I521" s="14"/>
      <c r="J521" s="14"/>
      <c r="K521" s="14"/>
      <c r="L521" s="14"/>
      <c r="M521" s="14"/>
      <c r="N521" s="14"/>
      <c r="O521" s="14"/>
      <c r="P521" s="14"/>
      <c r="Q521" s="58"/>
      <c r="R521" s="58"/>
      <c r="S521" s="14"/>
      <c r="T521" s="14"/>
      <c r="U521" s="59"/>
      <c r="V521" s="59"/>
      <c r="W521" s="14"/>
      <c r="X521" s="14"/>
      <c r="Y521" s="60"/>
      <c r="Z521" s="60"/>
      <c r="AA521" s="60"/>
      <c r="AB521" s="60"/>
      <c r="AC521" s="60"/>
      <c r="AD521" s="60"/>
      <c r="AE521" s="60"/>
      <c r="AF521" s="14"/>
      <c r="AG521" s="14"/>
      <c r="AH521" s="14"/>
      <c r="AI521" s="14"/>
      <c r="AJ521" s="14"/>
      <c r="AK521" s="14"/>
      <c r="AL521" s="14"/>
      <c r="AM521" s="14"/>
      <c r="AN521" s="61"/>
    </row>
    <row r="522">
      <c r="A522" s="14"/>
      <c r="B522" s="14"/>
      <c r="C522" s="14"/>
      <c r="D522" s="14"/>
      <c r="E522" s="14"/>
      <c r="F522" s="14"/>
      <c r="G522" s="14"/>
      <c r="H522" s="14"/>
      <c r="I522" s="14"/>
      <c r="J522" s="14"/>
      <c r="K522" s="14"/>
      <c r="L522" s="14"/>
      <c r="M522" s="14"/>
      <c r="N522" s="14"/>
      <c r="O522" s="14"/>
      <c r="P522" s="14"/>
      <c r="Q522" s="58"/>
      <c r="R522" s="58"/>
      <c r="S522" s="14"/>
      <c r="T522" s="14"/>
      <c r="U522" s="59"/>
      <c r="V522" s="59"/>
      <c r="W522" s="14"/>
      <c r="X522" s="14"/>
      <c r="Y522" s="60"/>
      <c r="Z522" s="60"/>
      <c r="AA522" s="60"/>
      <c r="AB522" s="60"/>
      <c r="AC522" s="60"/>
      <c r="AD522" s="60"/>
      <c r="AE522" s="60"/>
      <c r="AF522" s="14"/>
      <c r="AG522" s="14"/>
      <c r="AH522" s="14"/>
      <c r="AI522" s="14"/>
      <c r="AJ522" s="14"/>
      <c r="AK522" s="14"/>
      <c r="AL522" s="14"/>
      <c r="AM522" s="14"/>
      <c r="AN522" s="61"/>
    </row>
    <row r="523">
      <c r="A523" s="14"/>
      <c r="B523" s="14"/>
      <c r="C523" s="14"/>
      <c r="D523" s="14"/>
      <c r="E523" s="14"/>
      <c r="F523" s="14"/>
      <c r="G523" s="14"/>
      <c r="H523" s="14"/>
      <c r="I523" s="14"/>
      <c r="J523" s="14"/>
      <c r="K523" s="14"/>
      <c r="L523" s="14"/>
      <c r="M523" s="14"/>
      <c r="N523" s="14"/>
      <c r="O523" s="14"/>
      <c r="P523" s="14"/>
      <c r="Q523" s="58"/>
      <c r="R523" s="58"/>
      <c r="S523" s="14"/>
      <c r="T523" s="14"/>
      <c r="U523" s="59"/>
      <c r="V523" s="59"/>
      <c r="W523" s="14"/>
      <c r="X523" s="14"/>
      <c r="Y523" s="60"/>
      <c r="Z523" s="60"/>
      <c r="AA523" s="60"/>
      <c r="AB523" s="60"/>
      <c r="AC523" s="60"/>
      <c r="AD523" s="60"/>
      <c r="AE523" s="60"/>
      <c r="AF523" s="14"/>
      <c r="AG523" s="14"/>
      <c r="AH523" s="14"/>
      <c r="AI523" s="14"/>
      <c r="AJ523" s="14"/>
      <c r="AK523" s="14"/>
      <c r="AL523" s="14"/>
      <c r="AM523" s="14"/>
      <c r="AN523" s="61"/>
    </row>
    <row r="524">
      <c r="A524" s="14"/>
      <c r="B524" s="14"/>
      <c r="C524" s="14"/>
      <c r="D524" s="14"/>
      <c r="E524" s="14"/>
      <c r="F524" s="14"/>
      <c r="G524" s="14"/>
      <c r="H524" s="14"/>
      <c r="I524" s="14"/>
      <c r="J524" s="14"/>
      <c r="K524" s="14"/>
      <c r="L524" s="14"/>
      <c r="M524" s="14"/>
      <c r="N524" s="14"/>
      <c r="O524" s="14"/>
      <c r="P524" s="14"/>
      <c r="Q524" s="58"/>
      <c r="R524" s="58"/>
      <c r="S524" s="14"/>
      <c r="T524" s="14"/>
      <c r="U524" s="59"/>
      <c r="V524" s="59"/>
      <c r="W524" s="14"/>
      <c r="X524" s="14"/>
      <c r="Y524" s="60"/>
      <c r="Z524" s="60"/>
      <c r="AA524" s="60"/>
      <c r="AB524" s="60"/>
      <c r="AC524" s="60"/>
      <c r="AD524" s="60"/>
      <c r="AE524" s="60"/>
      <c r="AF524" s="14"/>
      <c r="AG524" s="14"/>
      <c r="AH524" s="14"/>
      <c r="AI524" s="14"/>
      <c r="AJ524" s="14"/>
      <c r="AK524" s="14"/>
      <c r="AL524" s="14"/>
      <c r="AM524" s="14"/>
      <c r="AN524" s="61"/>
    </row>
    <row r="525">
      <c r="A525" s="14"/>
      <c r="B525" s="14"/>
      <c r="C525" s="14"/>
      <c r="D525" s="14"/>
      <c r="E525" s="14"/>
      <c r="F525" s="14"/>
      <c r="G525" s="14"/>
      <c r="H525" s="14"/>
      <c r="I525" s="14"/>
      <c r="J525" s="14"/>
      <c r="K525" s="14"/>
      <c r="L525" s="14"/>
      <c r="M525" s="14"/>
      <c r="N525" s="14"/>
      <c r="O525" s="14"/>
      <c r="P525" s="14"/>
      <c r="Q525" s="58"/>
      <c r="R525" s="58"/>
      <c r="S525" s="14"/>
      <c r="T525" s="14"/>
      <c r="U525" s="59"/>
      <c r="V525" s="59"/>
      <c r="W525" s="14"/>
      <c r="X525" s="14"/>
      <c r="Y525" s="60"/>
      <c r="Z525" s="60"/>
      <c r="AA525" s="60"/>
      <c r="AB525" s="60"/>
      <c r="AC525" s="60"/>
      <c r="AD525" s="60"/>
      <c r="AE525" s="60"/>
      <c r="AF525" s="14"/>
      <c r="AG525" s="14"/>
      <c r="AH525" s="14"/>
      <c r="AI525" s="14"/>
      <c r="AJ525" s="14"/>
      <c r="AK525" s="14"/>
      <c r="AL525" s="14"/>
      <c r="AM525" s="14"/>
      <c r="AN525" s="61"/>
    </row>
    <row r="526">
      <c r="A526" s="14"/>
      <c r="B526" s="14"/>
      <c r="C526" s="14"/>
      <c r="D526" s="14"/>
      <c r="E526" s="14"/>
      <c r="F526" s="14"/>
      <c r="G526" s="14"/>
      <c r="H526" s="14"/>
      <c r="I526" s="14"/>
      <c r="J526" s="14"/>
      <c r="K526" s="14"/>
      <c r="L526" s="14"/>
      <c r="M526" s="14"/>
      <c r="N526" s="14"/>
      <c r="O526" s="14"/>
      <c r="P526" s="14"/>
      <c r="Q526" s="58"/>
      <c r="R526" s="58"/>
      <c r="S526" s="14"/>
      <c r="T526" s="14"/>
      <c r="U526" s="59"/>
      <c r="V526" s="59"/>
      <c r="W526" s="14"/>
      <c r="X526" s="14"/>
      <c r="Y526" s="60"/>
      <c r="Z526" s="60"/>
      <c r="AA526" s="60"/>
      <c r="AB526" s="60"/>
      <c r="AC526" s="60"/>
      <c r="AD526" s="60"/>
      <c r="AE526" s="60"/>
      <c r="AF526" s="14"/>
      <c r="AG526" s="14"/>
      <c r="AH526" s="14"/>
      <c r="AI526" s="14"/>
      <c r="AJ526" s="14"/>
      <c r="AK526" s="14"/>
      <c r="AL526" s="14"/>
      <c r="AM526" s="14"/>
      <c r="AN526" s="61"/>
    </row>
    <row r="527">
      <c r="A527" s="14"/>
      <c r="B527" s="14"/>
      <c r="C527" s="14"/>
      <c r="D527" s="14"/>
      <c r="E527" s="14"/>
      <c r="F527" s="14"/>
      <c r="G527" s="14"/>
      <c r="H527" s="14"/>
      <c r="I527" s="14"/>
      <c r="J527" s="14"/>
      <c r="K527" s="14"/>
      <c r="L527" s="14"/>
      <c r="M527" s="14"/>
      <c r="N527" s="14"/>
      <c r="O527" s="14"/>
      <c r="P527" s="14"/>
      <c r="Q527" s="58"/>
      <c r="R527" s="58"/>
      <c r="S527" s="14"/>
      <c r="T527" s="14"/>
      <c r="U527" s="59"/>
      <c r="V527" s="59"/>
      <c r="W527" s="14"/>
      <c r="X527" s="14"/>
      <c r="Y527" s="60"/>
      <c r="Z527" s="60"/>
      <c r="AA527" s="60"/>
      <c r="AB527" s="60"/>
      <c r="AC527" s="60"/>
      <c r="AD527" s="60"/>
      <c r="AE527" s="60"/>
      <c r="AF527" s="14"/>
      <c r="AG527" s="14"/>
      <c r="AH527" s="14"/>
      <c r="AI527" s="14"/>
      <c r="AJ527" s="14"/>
      <c r="AK527" s="14"/>
      <c r="AL527" s="14"/>
      <c r="AM527" s="14"/>
      <c r="AN527" s="61"/>
    </row>
    <row r="528">
      <c r="A528" s="14"/>
      <c r="B528" s="14"/>
      <c r="C528" s="14"/>
      <c r="D528" s="14"/>
      <c r="E528" s="14"/>
      <c r="F528" s="14"/>
      <c r="G528" s="14"/>
      <c r="H528" s="14"/>
      <c r="I528" s="14"/>
      <c r="J528" s="14"/>
      <c r="K528" s="14"/>
      <c r="L528" s="14"/>
      <c r="M528" s="14"/>
      <c r="N528" s="14"/>
      <c r="O528" s="14"/>
      <c r="P528" s="14"/>
      <c r="Q528" s="58"/>
      <c r="R528" s="58"/>
      <c r="S528" s="14"/>
      <c r="T528" s="14"/>
      <c r="U528" s="59"/>
      <c r="V528" s="59"/>
      <c r="W528" s="14"/>
      <c r="X528" s="14"/>
      <c r="Y528" s="60"/>
      <c r="Z528" s="60"/>
      <c r="AA528" s="60"/>
      <c r="AB528" s="60"/>
      <c r="AC528" s="60"/>
      <c r="AD528" s="60"/>
      <c r="AE528" s="60"/>
      <c r="AF528" s="14"/>
      <c r="AG528" s="14"/>
      <c r="AH528" s="14"/>
      <c r="AI528" s="14"/>
      <c r="AJ528" s="14"/>
      <c r="AK528" s="14"/>
      <c r="AL528" s="14"/>
      <c r="AM528" s="14"/>
      <c r="AN528" s="61"/>
    </row>
    <row r="529">
      <c r="A529" s="14"/>
      <c r="B529" s="14"/>
      <c r="C529" s="14"/>
      <c r="D529" s="14"/>
      <c r="E529" s="14"/>
      <c r="F529" s="14"/>
      <c r="G529" s="14"/>
      <c r="H529" s="14"/>
      <c r="I529" s="14"/>
      <c r="J529" s="14"/>
      <c r="K529" s="14"/>
      <c r="L529" s="14"/>
      <c r="M529" s="14"/>
      <c r="N529" s="14"/>
      <c r="O529" s="14"/>
      <c r="P529" s="14"/>
      <c r="Q529" s="58"/>
      <c r="R529" s="58"/>
      <c r="S529" s="14"/>
      <c r="T529" s="14"/>
      <c r="U529" s="59"/>
      <c r="V529" s="59"/>
      <c r="W529" s="14"/>
      <c r="X529" s="14"/>
      <c r="Y529" s="60"/>
      <c r="Z529" s="60"/>
      <c r="AA529" s="60"/>
      <c r="AB529" s="60"/>
      <c r="AC529" s="60"/>
      <c r="AD529" s="60"/>
      <c r="AE529" s="60"/>
      <c r="AF529" s="14"/>
      <c r="AG529" s="14"/>
      <c r="AH529" s="14"/>
      <c r="AI529" s="14"/>
      <c r="AJ529" s="14"/>
      <c r="AK529" s="14"/>
      <c r="AL529" s="14"/>
      <c r="AM529" s="14"/>
      <c r="AN529" s="61"/>
    </row>
    <row r="530">
      <c r="A530" s="14"/>
      <c r="B530" s="14"/>
      <c r="C530" s="14"/>
      <c r="D530" s="14"/>
      <c r="E530" s="14"/>
      <c r="F530" s="14"/>
      <c r="G530" s="14"/>
      <c r="H530" s="14"/>
      <c r="I530" s="14"/>
      <c r="J530" s="14"/>
      <c r="K530" s="14"/>
      <c r="L530" s="14"/>
      <c r="M530" s="14"/>
      <c r="N530" s="14"/>
      <c r="O530" s="14"/>
      <c r="P530" s="14"/>
      <c r="Q530" s="58"/>
      <c r="R530" s="58"/>
      <c r="S530" s="14"/>
      <c r="T530" s="14"/>
      <c r="U530" s="59"/>
      <c r="V530" s="59"/>
      <c r="W530" s="14"/>
      <c r="X530" s="14"/>
      <c r="Y530" s="60"/>
      <c r="Z530" s="60"/>
      <c r="AA530" s="60"/>
      <c r="AB530" s="60"/>
      <c r="AC530" s="60"/>
      <c r="AD530" s="60"/>
      <c r="AE530" s="60"/>
      <c r="AF530" s="14"/>
      <c r="AG530" s="14"/>
      <c r="AH530" s="14"/>
      <c r="AI530" s="14"/>
      <c r="AJ530" s="14"/>
      <c r="AK530" s="14"/>
      <c r="AL530" s="14"/>
      <c r="AM530" s="14"/>
      <c r="AN530" s="61"/>
    </row>
    <row r="531">
      <c r="A531" s="14"/>
      <c r="B531" s="14"/>
      <c r="C531" s="14"/>
      <c r="D531" s="14"/>
      <c r="E531" s="14"/>
      <c r="F531" s="14"/>
      <c r="G531" s="14"/>
      <c r="H531" s="14"/>
      <c r="I531" s="14"/>
      <c r="J531" s="14"/>
      <c r="K531" s="14"/>
      <c r="L531" s="14"/>
      <c r="M531" s="14"/>
      <c r="N531" s="14"/>
      <c r="O531" s="14"/>
      <c r="P531" s="14"/>
      <c r="Q531" s="58"/>
      <c r="R531" s="58"/>
      <c r="S531" s="14"/>
      <c r="T531" s="14"/>
      <c r="U531" s="59"/>
      <c r="V531" s="59"/>
      <c r="W531" s="14"/>
      <c r="X531" s="14"/>
      <c r="Y531" s="60"/>
      <c r="Z531" s="60"/>
      <c r="AA531" s="60"/>
      <c r="AB531" s="60"/>
      <c r="AC531" s="60"/>
      <c r="AD531" s="60"/>
      <c r="AE531" s="60"/>
      <c r="AF531" s="14"/>
      <c r="AG531" s="14"/>
      <c r="AH531" s="14"/>
      <c r="AI531" s="14"/>
      <c r="AJ531" s="14"/>
      <c r="AK531" s="14"/>
      <c r="AL531" s="14"/>
      <c r="AM531" s="14"/>
      <c r="AN531" s="61"/>
    </row>
    <row r="532">
      <c r="A532" s="14"/>
      <c r="B532" s="14"/>
      <c r="C532" s="14"/>
      <c r="D532" s="14"/>
      <c r="E532" s="14"/>
      <c r="F532" s="14"/>
      <c r="G532" s="14"/>
      <c r="H532" s="14"/>
      <c r="I532" s="14"/>
      <c r="J532" s="14"/>
      <c r="K532" s="14"/>
      <c r="L532" s="14"/>
      <c r="M532" s="14"/>
      <c r="N532" s="14"/>
      <c r="O532" s="14"/>
      <c r="P532" s="14"/>
      <c r="Q532" s="58"/>
      <c r="R532" s="58"/>
      <c r="S532" s="14"/>
      <c r="T532" s="14"/>
      <c r="U532" s="59"/>
      <c r="V532" s="59"/>
      <c r="W532" s="14"/>
      <c r="X532" s="14"/>
      <c r="Y532" s="60"/>
      <c r="Z532" s="60"/>
      <c r="AA532" s="60"/>
      <c r="AB532" s="60"/>
      <c r="AC532" s="60"/>
      <c r="AD532" s="60"/>
      <c r="AE532" s="60"/>
      <c r="AF532" s="14"/>
      <c r="AG532" s="14"/>
      <c r="AH532" s="14"/>
      <c r="AI532" s="14"/>
      <c r="AJ532" s="14"/>
      <c r="AK532" s="14"/>
      <c r="AL532" s="14"/>
      <c r="AM532" s="14"/>
      <c r="AN532" s="61"/>
    </row>
    <row r="533">
      <c r="A533" s="14"/>
      <c r="B533" s="14"/>
      <c r="C533" s="14"/>
      <c r="D533" s="14"/>
      <c r="E533" s="14"/>
      <c r="F533" s="14"/>
      <c r="G533" s="14"/>
      <c r="H533" s="14"/>
      <c r="I533" s="14"/>
      <c r="J533" s="14"/>
      <c r="K533" s="14"/>
      <c r="L533" s="14"/>
      <c r="M533" s="14"/>
      <c r="N533" s="14"/>
      <c r="O533" s="14"/>
      <c r="P533" s="14"/>
      <c r="Q533" s="58"/>
      <c r="R533" s="58"/>
      <c r="S533" s="14"/>
      <c r="T533" s="14"/>
      <c r="U533" s="59"/>
      <c r="V533" s="59"/>
      <c r="W533" s="14"/>
      <c r="X533" s="14"/>
      <c r="Y533" s="60"/>
      <c r="Z533" s="60"/>
      <c r="AA533" s="60"/>
      <c r="AB533" s="60"/>
      <c r="AC533" s="60"/>
      <c r="AD533" s="60"/>
      <c r="AE533" s="60"/>
      <c r="AF533" s="14"/>
      <c r="AG533" s="14"/>
      <c r="AH533" s="14"/>
      <c r="AI533" s="14"/>
      <c r="AJ533" s="14"/>
      <c r="AK533" s="14"/>
      <c r="AL533" s="14"/>
      <c r="AM533" s="14"/>
      <c r="AN533" s="61"/>
    </row>
    <row r="534">
      <c r="A534" s="14"/>
      <c r="B534" s="14"/>
      <c r="C534" s="14"/>
      <c r="D534" s="14"/>
      <c r="E534" s="14"/>
      <c r="F534" s="14"/>
      <c r="G534" s="14"/>
      <c r="H534" s="14"/>
      <c r="I534" s="14"/>
      <c r="J534" s="14"/>
      <c r="K534" s="14"/>
      <c r="L534" s="14"/>
      <c r="M534" s="14"/>
      <c r="N534" s="14"/>
      <c r="O534" s="14"/>
      <c r="P534" s="14"/>
      <c r="Q534" s="58"/>
      <c r="R534" s="58"/>
      <c r="S534" s="14"/>
      <c r="T534" s="14"/>
      <c r="U534" s="59"/>
      <c r="V534" s="59"/>
      <c r="W534" s="14"/>
      <c r="X534" s="14"/>
      <c r="Y534" s="60"/>
      <c r="Z534" s="60"/>
      <c r="AA534" s="60"/>
      <c r="AB534" s="60"/>
      <c r="AC534" s="60"/>
      <c r="AD534" s="60"/>
      <c r="AE534" s="60"/>
      <c r="AF534" s="14"/>
      <c r="AG534" s="14"/>
      <c r="AH534" s="14"/>
      <c r="AI534" s="14"/>
      <c r="AJ534" s="14"/>
      <c r="AK534" s="14"/>
      <c r="AL534" s="14"/>
      <c r="AM534" s="14"/>
      <c r="AN534" s="61"/>
    </row>
    <row r="535">
      <c r="A535" s="14"/>
      <c r="B535" s="14"/>
      <c r="C535" s="14"/>
      <c r="D535" s="14"/>
      <c r="E535" s="14"/>
      <c r="F535" s="14"/>
      <c r="G535" s="14"/>
      <c r="H535" s="14"/>
      <c r="I535" s="14"/>
      <c r="J535" s="14"/>
      <c r="K535" s="14"/>
      <c r="L535" s="14"/>
      <c r="M535" s="14"/>
      <c r="N535" s="14"/>
      <c r="O535" s="14"/>
      <c r="P535" s="14"/>
      <c r="Q535" s="58"/>
      <c r="R535" s="58"/>
      <c r="S535" s="14"/>
      <c r="T535" s="14"/>
      <c r="U535" s="59"/>
      <c r="V535" s="59"/>
      <c r="W535" s="14"/>
      <c r="X535" s="14"/>
      <c r="Y535" s="60"/>
      <c r="Z535" s="60"/>
      <c r="AA535" s="60"/>
      <c r="AB535" s="60"/>
      <c r="AC535" s="60"/>
      <c r="AD535" s="60"/>
      <c r="AE535" s="60"/>
      <c r="AF535" s="14"/>
      <c r="AG535" s="14"/>
      <c r="AH535" s="14"/>
      <c r="AI535" s="14"/>
      <c r="AJ535" s="14"/>
      <c r="AK535" s="14"/>
      <c r="AL535" s="14"/>
      <c r="AM535" s="14"/>
      <c r="AN535" s="61"/>
    </row>
    <row r="536">
      <c r="A536" s="14"/>
      <c r="B536" s="14"/>
      <c r="C536" s="14"/>
      <c r="D536" s="14"/>
      <c r="E536" s="14"/>
      <c r="F536" s="14"/>
      <c r="G536" s="14"/>
      <c r="H536" s="14"/>
      <c r="I536" s="14"/>
      <c r="J536" s="14"/>
      <c r="K536" s="14"/>
      <c r="L536" s="14"/>
      <c r="M536" s="14"/>
      <c r="N536" s="14"/>
      <c r="O536" s="14"/>
      <c r="P536" s="14"/>
      <c r="Q536" s="58"/>
      <c r="R536" s="58"/>
      <c r="S536" s="14"/>
      <c r="T536" s="14"/>
      <c r="U536" s="59"/>
      <c r="V536" s="59"/>
      <c r="W536" s="14"/>
      <c r="X536" s="14"/>
      <c r="Y536" s="60"/>
      <c r="Z536" s="60"/>
      <c r="AA536" s="60"/>
      <c r="AB536" s="60"/>
      <c r="AC536" s="60"/>
      <c r="AD536" s="60"/>
      <c r="AE536" s="60"/>
      <c r="AF536" s="14"/>
      <c r="AG536" s="14"/>
      <c r="AH536" s="14"/>
      <c r="AI536" s="14"/>
      <c r="AJ536" s="14"/>
      <c r="AK536" s="14"/>
      <c r="AL536" s="14"/>
      <c r="AM536" s="14"/>
      <c r="AN536" s="61"/>
    </row>
    <row r="537">
      <c r="A537" s="14"/>
      <c r="B537" s="14"/>
      <c r="C537" s="14"/>
      <c r="D537" s="14"/>
      <c r="E537" s="14"/>
      <c r="F537" s="14"/>
      <c r="G537" s="14"/>
      <c r="H537" s="14"/>
      <c r="I537" s="14"/>
      <c r="J537" s="14"/>
      <c r="K537" s="14"/>
      <c r="L537" s="14"/>
      <c r="M537" s="14"/>
      <c r="N537" s="14"/>
      <c r="O537" s="14"/>
      <c r="P537" s="14"/>
      <c r="Q537" s="58"/>
      <c r="R537" s="58"/>
      <c r="S537" s="14"/>
      <c r="T537" s="14"/>
      <c r="U537" s="59"/>
      <c r="V537" s="59"/>
      <c r="W537" s="14"/>
      <c r="X537" s="14"/>
      <c r="Y537" s="60"/>
      <c r="Z537" s="60"/>
      <c r="AA537" s="60"/>
      <c r="AB537" s="60"/>
      <c r="AC537" s="60"/>
      <c r="AD537" s="60"/>
      <c r="AE537" s="60"/>
      <c r="AF537" s="14"/>
      <c r="AG537" s="14"/>
      <c r="AH537" s="14"/>
      <c r="AI537" s="14"/>
      <c r="AJ537" s="14"/>
      <c r="AK537" s="14"/>
      <c r="AL537" s="14"/>
      <c r="AM537" s="14"/>
      <c r="AN537" s="61"/>
    </row>
    <row r="538">
      <c r="A538" s="14"/>
      <c r="B538" s="14"/>
      <c r="C538" s="14"/>
      <c r="D538" s="14"/>
      <c r="E538" s="14"/>
      <c r="F538" s="14"/>
      <c r="G538" s="14"/>
      <c r="H538" s="14"/>
      <c r="I538" s="14"/>
      <c r="J538" s="14"/>
      <c r="K538" s="14"/>
      <c r="L538" s="14"/>
      <c r="M538" s="14"/>
      <c r="N538" s="14"/>
      <c r="O538" s="14"/>
      <c r="P538" s="14"/>
      <c r="Q538" s="58"/>
      <c r="R538" s="58"/>
      <c r="S538" s="14"/>
      <c r="T538" s="14"/>
      <c r="U538" s="59"/>
      <c r="V538" s="59"/>
      <c r="W538" s="14"/>
      <c r="X538" s="14"/>
      <c r="Y538" s="60"/>
      <c r="Z538" s="60"/>
      <c r="AA538" s="60"/>
      <c r="AB538" s="60"/>
      <c r="AC538" s="60"/>
      <c r="AD538" s="60"/>
      <c r="AE538" s="60"/>
      <c r="AF538" s="14"/>
      <c r="AG538" s="14"/>
      <c r="AH538" s="14"/>
      <c r="AI538" s="14"/>
      <c r="AJ538" s="14"/>
      <c r="AK538" s="14"/>
      <c r="AL538" s="14"/>
      <c r="AM538" s="14"/>
      <c r="AN538" s="61"/>
    </row>
    <row r="539">
      <c r="A539" s="14"/>
      <c r="B539" s="14"/>
      <c r="C539" s="14"/>
      <c r="D539" s="14"/>
      <c r="E539" s="14"/>
      <c r="F539" s="14"/>
      <c r="G539" s="14"/>
      <c r="H539" s="14"/>
      <c r="I539" s="14"/>
      <c r="J539" s="14"/>
      <c r="K539" s="14"/>
      <c r="L539" s="14"/>
      <c r="M539" s="14"/>
      <c r="N539" s="14"/>
      <c r="O539" s="14"/>
      <c r="P539" s="14"/>
      <c r="Q539" s="58"/>
      <c r="R539" s="58"/>
      <c r="S539" s="14"/>
      <c r="T539" s="14"/>
      <c r="U539" s="59"/>
      <c r="V539" s="59"/>
      <c r="W539" s="14"/>
      <c r="X539" s="14"/>
      <c r="Y539" s="60"/>
      <c r="Z539" s="60"/>
      <c r="AA539" s="60"/>
      <c r="AB539" s="60"/>
      <c r="AC539" s="60"/>
      <c r="AD539" s="60"/>
      <c r="AE539" s="60"/>
      <c r="AF539" s="14"/>
      <c r="AG539" s="14"/>
      <c r="AH539" s="14"/>
      <c r="AI539" s="14"/>
      <c r="AJ539" s="14"/>
      <c r="AK539" s="14"/>
      <c r="AL539" s="14"/>
      <c r="AM539" s="14"/>
      <c r="AN539" s="61"/>
    </row>
    <row r="540">
      <c r="A540" s="14"/>
      <c r="B540" s="14"/>
      <c r="C540" s="14"/>
      <c r="D540" s="14"/>
      <c r="E540" s="14"/>
      <c r="F540" s="14"/>
      <c r="G540" s="14"/>
      <c r="H540" s="14"/>
      <c r="I540" s="14"/>
      <c r="J540" s="14"/>
      <c r="K540" s="14"/>
      <c r="L540" s="14"/>
      <c r="M540" s="14"/>
      <c r="N540" s="14"/>
      <c r="O540" s="14"/>
      <c r="P540" s="14"/>
      <c r="Q540" s="58"/>
      <c r="R540" s="58"/>
      <c r="S540" s="14"/>
      <c r="T540" s="14"/>
      <c r="U540" s="59"/>
      <c r="V540" s="59"/>
      <c r="W540" s="14"/>
      <c r="X540" s="14"/>
      <c r="Y540" s="60"/>
      <c r="Z540" s="60"/>
      <c r="AA540" s="60"/>
      <c r="AB540" s="60"/>
      <c r="AC540" s="60"/>
      <c r="AD540" s="60"/>
      <c r="AE540" s="60"/>
      <c r="AF540" s="14"/>
      <c r="AG540" s="14"/>
      <c r="AH540" s="14"/>
      <c r="AI540" s="14"/>
      <c r="AJ540" s="14"/>
      <c r="AK540" s="14"/>
      <c r="AL540" s="14"/>
      <c r="AM540" s="14"/>
      <c r="AN540" s="61"/>
    </row>
    <row r="541">
      <c r="A541" s="14"/>
      <c r="B541" s="14"/>
      <c r="C541" s="14"/>
      <c r="D541" s="14"/>
      <c r="E541" s="14"/>
      <c r="F541" s="14"/>
      <c r="G541" s="14"/>
      <c r="H541" s="14"/>
      <c r="I541" s="14"/>
      <c r="J541" s="14"/>
      <c r="K541" s="14"/>
      <c r="L541" s="14"/>
      <c r="M541" s="14"/>
      <c r="N541" s="14"/>
      <c r="O541" s="14"/>
      <c r="P541" s="14"/>
      <c r="Q541" s="58"/>
      <c r="R541" s="58"/>
      <c r="S541" s="14"/>
      <c r="T541" s="14"/>
      <c r="U541" s="59"/>
      <c r="V541" s="59"/>
      <c r="W541" s="14"/>
      <c r="X541" s="14"/>
      <c r="Y541" s="60"/>
      <c r="Z541" s="60"/>
      <c r="AA541" s="60"/>
      <c r="AB541" s="60"/>
      <c r="AC541" s="60"/>
      <c r="AD541" s="60"/>
      <c r="AE541" s="60"/>
      <c r="AF541" s="14"/>
      <c r="AG541" s="14"/>
      <c r="AH541" s="14"/>
      <c r="AI541" s="14"/>
      <c r="AJ541" s="14"/>
      <c r="AK541" s="14"/>
      <c r="AL541" s="14"/>
      <c r="AM541" s="14"/>
      <c r="AN541" s="61"/>
    </row>
    <row r="542">
      <c r="A542" s="14"/>
      <c r="B542" s="14"/>
      <c r="C542" s="14"/>
      <c r="D542" s="14"/>
      <c r="E542" s="14"/>
      <c r="F542" s="14"/>
      <c r="G542" s="14"/>
      <c r="H542" s="14"/>
      <c r="I542" s="14"/>
      <c r="J542" s="14"/>
      <c r="K542" s="14"/>
      <c r="L542" s="14"/>
      <c r="M542" s="14"/>
      <c r="N542" s="14"/>
      <c r="O542" s="14"/>
      <c r="P542" s="14"/>
      <c r="Q542" s="58"/>
      <c r="R542" s="58"/>
      <c r="S542" s="14"/>
      <c r="T542" s="14"/>
      <c r="U542" s="59"/>
      <c r="V542" s="59"/>
      <c r="W542" s="14"/>
      <c r="X542" s="14"/>
      <c r="Y542" s="60"/>
      <c r="Z542" s="60"/>
      <c r="AA542" s="60"/>
      <c r="AB542" s="60"/>
      <c r="AC542" s="60"/>
      <c r="AD542" s="60"/>
      <c r="AE542" s="60"/>
      <c r="AF542" s="14"/>
      <c r="AG542" s="14"/>
      <c r="AH542" s="14"/>
      <c r="AI542" s="14"/>
      <c r="AJ542" s="14"/>
      <c r="AK542" s="14"/>
      <c r="AL542" s="14"/>
      <c r="AM542" s="14"/>
      <c r="AN542" s="61"/>
    </row>
    <row r="543">
      <c r="A543" s="14"/>
      <c r="B543" s="14"/>
      <c r="C543" s="14"/>
      <c r="D543" s="14"/>
      <c r="E543" s="14"/>
      <c r="F543" s="14"/>
      <c r="G543" s="14"/>
      <c r="H543" s="14"/>
      <c r="I543" s="14"/>
      <c r="J543" s="14"/>
      <c r="K543" s="14"/>
      <c r="L543" s="14"/>
      <c r="M543" s="14"/>
      <c r="N543" s="14"/>
      <c r="O543" s="14"/>
      <c r="P543" s="14"/>
      <c r="Q543" s="58"/>
      <c r="R543" s="58"/>
      <c r="S543" s="14"/>
      <c r="T543" s="14"/>
      <c r="U543" s="59"/>
      <c r="V543" s="59"/>
      <c r="W543" s="14"/>
      <c r="X543" s="14"/>
      <c r="Y543" s="60"/>
      <c r="Z543" s="60"/>
      <c r="AA543" s="60"/>
      <c r="AB543" s="60"/>
      <c r="AC543" s="60"/>
      <c r="AD543" s="60"/>
      <c r="AE543" s="60"/>
      <c r="AF543" s="14"/>
      <c r="AG543" s="14"/>
      <c r="AH543" s="14"/>
      <c r="AI543" s="14"/>
      <c r="AJ543" s="14"/>
      <c r="AK543" s="14"/>
      <c r="AL543" s="14"/>
      <c r="AM543" s="14"/>
      <c r="AN543" s="61"/>
    </row>
    <row r="544">
      <c r="A544" s="14"/>
      <c r="B544" s="14"/>
      <c r="C544" s="14"/>
      <c r="D544" s="14"/>
      <c r="E544" s="14"/>
      <c r="F544" s="14"/>
      <c r="G544" s="14"/>
      <c r="H544" s="14"/>
      <c r="I544" s="14"/>
      <c r="J544" s="14"/>
      <c r="K544" s="14"/>
      <c r="L544" s="14"/>
      <c r="M544" s="14"/>
      <c r="N544" s="14"/>
      <c r="O544" s="14"/>
      <c r="P544" s="14"/>
      <c r="Q544" s="58"/>
      <c r="R544" s="58"/>
      <c r="S544" s="14"/>
      <c r="T544" s="14"/>
      <c r="U544" s="59"/>
      <c r="V544" s="59"/>
      <c r="W544" s="14"/>
      <c r="X544" s="14"/>
      <c r="Y544" s="60"/>
      <c r="Z544" s="60"/>
      <c r="AA544" s="60"/>
      <c r="AB544" s="60"/>
      <c r="AC544" s="60"/>
      <c r="AD544" s="60"/>
      <c r="AE544" s="60"/>
      <c r="AF544" s="14"/>
      <c r="AG544" s="14"/>
      <c r="AH544" s="14"/>
      <c r="AI544" s="14"/>
      <c r="AJ544" s="14"/>
      <c r="AK544" s="14"/>
      <c r="AL544" s="14"/>
      <c r="AM544" s="14"/>
      <c r="AN544" s="61"/>
    </row>
    <row r="545">
      <c r="A545" s="14"/>
      <c r="B545" s="14"/>
      <c r="C545" s="14"/>
      <c r="D545" s="14"/>
      <c r="E545" s="14"/>
      <c r="F545" s="14"/>
      <c r="G545" s="14"/>
      <c r="H545" s="14"/>
      <c r="I545" s="14"/>
      <c r="J545" s="14"/>
      <c r="K545" s="14"/>
      <c r="L545" s="14"/>
      <c r="M545" s="14"/>
      <c r="N545" s="14"/>
      <c r="O545" s="14"/>
      <c r="P545" s="14"/>
      <c r="Q545" s="58"/>
      <c r="R545" s="58"/>
      <c r="S545" s="14"/>
      <c r="T545" s="14"/>
      <c r="U545" s="59"/>
      <c r="V545" s="59"/>
      <c r="W545" s="14"/>
      <c r="X545" s="14"/>
      <c r="Y545" s="60"/>
      <c r="Z545" s="60"/>
      <c r="AA545" s="60"/>
      <c r="AB545" s="60"/>
      <c r="AC545" s="60"/>
      <c r="AD545" s="60"/>
      <c r="AE545" s="60"/>
      <c r="AF545" s="14"/>
      <c r="AG545" s="14"/>
      <c r="AH545" s="14"/>
      <c r="AI545" s="14"/>
      <c r="AJ545" s="14"/>
      <c r="AK545" s="14"/>
      <c r="AL545" s="14"/>
      <c r="AM545" s="14"/>
      <c r="AN545" s="61"/>
    </row>
    <row r="546">
      <c r="A546" s="14"/>
      <c r="B546" s="14"/>
      <c r="C546" s="14"/>
      <c r="D546" s="14"/>
      <c r="E546" s="14"/>
      <c r="F546" s="14"/>
      <c r="G546" s="14"/>
      <c r="H546" s="14"/>
      <c r="I546" s="14"/>
      <c r="J546" s="14"/>
      <c r="K546" s="14"/>
      <c r="L546" s="14"/>
      <c r="M546" s="14"/>
      <c r="N546" s="14"/>
      <c r="O546" s="14"/>
      <c r="P546" s="14"/>
      <c r="Q546" s="58"/>
      <c r="R546" s="58"/>
      <c r="S546" s="14"/>
      <c r="T546" s="14"/>
      <c r="U546" s="59"/>
      <c r="V546" s="59"/>
      <c r="W546" s="14"/>
      <c r="X546" s="14"/>
      <c r="Y546" s="60"/>
      <c r="Z546" s="60"/>
      <c r="AA546" s="60"/>
      <c r="AB546" s="60"/>
      <c r="AC546" s="60"/>
      <c r="AD546" s="60"/>
      <c r="AE546" s="60"/>
      <c r="AF546" s="14"/>
      <c r="AG546" s="14"/>
      <c r="AH546" s="14"/>
      <c r="AI546" s="14"/>
      <c r="AJ546" s="14"/>
      <c r="AK546" s="14"/>
      <c r="AL546" s="14"/>
      <c r="AM546" s="14"/>
      <c r="AN546" s="61"/>
    </row>
    <row r="547">
      <c r="A547" s="14"/>
      <c r="B547" s="14"/>
      <c r="C547" s="14"/>
      <c r="D547" s="14"/>
      <c r="E547" s="14"/>
      <c r="F547" s="14"/>
      <c r="G547" s="14"/>
      <c r="H547" s="14"/>
      <c r="I547" s="14"/>
      <c r="J547" s="14"/>
      <c r="K547" s="14"/>
      <c r="L547" s="14"/>
      <c r="M547" s="14"/>
      <c r="N547" s="14"/>
      <c r="O547" s="14"/>
      <c r="P547" s="14"/>
      <c r="Q547" s="58"/>
      <c r="R547" s="58"/>
      <c r="S547" s="14"/>
      <c r="T547" s="14"/>
      <c r="U547" s="59"/>
      <c r="V547" s="59"/>
      <c r="W547" s="14"/>
      <c r="X547" s="14"/>
      <c r="Y547" s="60"/>
      <c r="Z547" s="60"/>
      <c r="AA547" s="60"/>
      <c r="AB547" s="60"/>
      <c r="AC547" s="60"/>
      <c r="AD547" s="60"/>
      <c r="AE547" s="60"/>
      <c r="AF547" s="14"/>
      <c r="AG547" s="14"/>
      <c r="AH547" s="14"/>
      <c r="AI547" s="14"/>
      <c r="AJ547" s="14"/>
      <c r="AK547" s="14"/>
      <c r="AL547" s="14"/>
      <c r="AM547" s="14"/>
      <c r="AN547" s="61"/>
    </row>
    <row r="548">
      <c r="A548" s="14"/>
      <c r="B548" s="14"/>
      <c r="C548" s="14"/>
      <c r="D548" s="14"/>
      <c r="E548" s="14"/>
      <c r="F548" s="14"/>
      <c r="G548" s="14"/>
      <c r="H548" s="14"/>
      <c r="I548" s="14"/>
      <c r="J548" s="14"/>
      <c r="K548" s="14"/>
      <c r="L548" s="14"/>
      <c r="M548" s="14"/>
      <c r="N548" s="14"/>
      <c r="O548" s="14"/>
      <c r="P548" s="14"/>
      <c r="Q548" s="58"/>
      <c r="R548" s="58"/>
      <c r="S548" s="14"/>
      <c r="T548" s="14"/>
      <c r="U548" s="59"/>
      <c r="V548" s="59"/>
      <c r="W548" s="14"/>
      <c r="X548" s="14"/>
      <c r="Y548" s="60"/>
      <c r="Z548" s="60"/>
      <c r="AA548" s="60"/>
      <c r="AB548" s="60"/>
      <c r="AC548" s="60"/>
      <c r="AD548" s="60"/>
      <c r="AE548" s="60"/>
      <c r="AF548" s="14"/>
      <c r="AG548" s="14"/>
      <c r="AH548" s="14"/>
      <c r="AI548" s="14"/>
      <c r="AJ548" s="14"/>
      <c r="AK548" s="14"/>
      <c r="AL548" s="14"/>
      <c r="AM548" s="14"/>
      <c r="AN548" s="61"/>
    </row>
    <row r="549">
      <c r="A549" s="14"/>
      <c r="B549" s="14"/>
      <c r="C549" s="14"/>
      <c r="D549" s="14"/>
      <c r="E549" s="14"/>
      <c r="F549" s="14"/>
      <c r="G549" s="14"/>
      <c r="H549" s="14"/>
      <c r="I549" s="14"/>
      <c r="J549" s="14"/>
      <c r="K549" s="14"/>
      <c r="L549" s="14"/>
      <c r="M549" s="14"/>
      <c r="N549" s="14"/>
      <c r="O549" s="14"/>
      <c r="P549" s="14"/>
      <c r="Q549" s="58"/>
      <c r="R549" s="58"/>
      <c r="S549" s="14"/>
      <c r="T549" s="14"/>
      <c r="U549" s="59"/>
      <c r="V549" s="59"/>
      <c r="W549" s="14"/>
      <c r="X549" s="14"/>
      <c r="Y549" s="60"/>
      <c r="Z549" s="60"/>
      <c r="AA549" s="60"/>
      <c r="AB549" s="60"/>
      <c r="AC549" s="60"/>
      <c r="AD549" s="60"/>
      <c r="AE549" s="60"/>
      <c r="AF549" s="14"/>
      <c r="AG549" s="14"/>
      <c r="AH549" s="14"/>
      <c r="AI549" s="14"/>
      <c r="AJ549" s="14"/>
      <c r="AK549" s="14"/>
      <c r="AL549" s="14"/>
      <c r="AM549" s="14"/>
      <c r="AN549" s="61"/>
    </row>
    <row r="550">
      <c r="A550" s="14"/>
      <c r="B550" s="14"/>
      <c r="C550" s="14"/>
      <c r="D550" s="14"/>
      <c r="E550" s="14"/>
      <c r="F550" s="14"/>
      <c r="G550" s="14"/>
      <c r="H550" s="14"/>
      <c r="I550" s="14"/>
      <c r="J550" s="14"/>
      <c r="K550" s="14"/>
      <c r="L550" s="14"/>
      <c r="M550" s="14"/>
      <c r="N550" s="14"/>
      <c r="O550" s="14"/>
      <c r="P550" s="14"/>
      <c r="Q550" s="58"/>
      <c r="R550" s="58"/>
      <c r="S550" s="14"/>
      <c r="T550" s="14"/>
      <c r="U550" s="59"/>
      <c r="V550" s="59"/>
      <c r="W550" s="14"/>
      <c r="X550" s="14"/>
      <c r="Y550" s="60"/>
      <c r="Z550" s="60"/>
      <c r="AA550" s="60"/>
      <c r="AB550" s="60"/>
      <c r="AC550" s="60"/>
      <c r="AD550" s="60"/>
      <c r="AE550" s="60"/>
      <c r="AF550" s="14"/>
      <c r="AG550" s="14"/>
      <c r="AH550" s="14"/>
      <c r="AI550" s="14"/>
      <c r="AJ550" s="14"/>
      <c r="AK550" s="14"/>
      <c r="AL550" s="14"/>
      <c r="AM550" s="14"/>
      <c r="AN550" s="61"/>
    </row>
    <row r="551">
      <c r="A551" s="14"/>
      <c r="B551" s="14"/>
      <c r="C551" s="14"/>
      <c r="D551" s="14"/>
      <c r="E551" s="14"/>
      <c r="F551" s="14"/>
      <c r="G551" s="14"/>
      <c r="H551" s="14"/>
      <c r="I551" s="14"/>
      <c r="J551" s="14"/>
      <c r="K551" s="14"/>
      <c r="L551" s="14"/>
      <c r="M551" s="14"/>
      <c r="N551" s="14"/>
      <c r="O551" s="14"/>
      <c r="P551" s="14"/>
      <c r="Q551" s="58"/>
      <c r="R551" s="58"/>
      <c r="S551" s="14"/>
      <c r="T551" s="14"/>
      <c r="U551" s="59"/>
      <c r="V551" s="59"/>
      <c r="W551" s="14"/>
      <c r="X551" s="14"/>
      <c r="Y551" s="60"/>
      <c r="Z551" s="60"/>
      <c r="AA551" s="60"/>
      <c r="AB551" s="60"/>
      <c r="AC551" s="60"/>
      <c r="AD551" s="60"/>
      <c r="AE551" s="60"/>
      <c r="AF551" s="14"/>
      <c r="AG551" s="14"/>
      <c r="AH551" s="14"/>
      <c r="AI551" s="14"/>
      <c r="AJ551" s="14"/>
      <c r="AK551" s="14"/>
      <c r="AL551" s="14"/>
      <c r="AM551" s="14"/>
      <c r="AN551" s="61"/>
    </row>
    <row r="552">
      <c r="A552" s="14"/>
      <c r="B552" s="14"/>
      <c r="C552" s="14"/>
      <c r="D552" s="14"/>
      <c r="E552" s="14"/>
      <c r="F552" s="14"/>
      <c r="G552" s="14"/>
      <c r="H552" s="14"/>
      <c r="I552" s="14"/>
      <c r="J552" s="14"/>
      <c r="K552" s="14"/>
      <c r="L552" s="14"/>
      <c r="M552" s="14"/>
      <c r="N552" s="14"/>
      <c r="O552" s="14"/>
      <c r="P552" s="14"/>
      <c r="Q552" s="58"/>
      <c r="R552" s="58"/>
      <c r="S552" s="14"/>
      <c r="T552" s="14"/>
      <c r="U552" s="59"/>
      <c r="V552" s="59"/>
      <c r="W552" s="14"/>
      <c r="X552" s="14"/>
      <c r="Y552" s="60"/>
      <c r="Z552" s="60"/>
      <c r="AA552" s="60"/>
      <c r="AB552" s="60"/>
      <c r="AC552" s="60"/>
      <c r="AD552" s="60"/>
      <c r="AE552" s="60"/>
      <c r="AF552" s="14"/>
      <c r="AG552" s="14"/>
      <c r="AH552" s="14"/>
      <c r="AI552" s="14"/>
      <c r="AJ552" s="14"/>
      <c r="AK552" s="14"/>
      <c r="AL552" s="14"/>
      <c r="AM552" s="14"/>
      <c r="AN552" s="61"/>
    </row>
    <row r="553">
      <c r="A553" s="14"/>
      <c r="B553" s="14"/>
      <c r="C553" s="14"/>
      <c r="D553" s="14"/>
      <c r="E553" s="14"/>
      <c r="F553" s="14"/>
      <c r="G553" s="14"/>
      <c r="H553" s="14"/>
      <c r="I553" s="14"/>
      <c r="J553" s="14"/>
      <c r="K553" s="14"/>
      <c r="L553" s="14"/>
      <c r="M553" s="14"/>
      <c r="N553" s="14"/>
      <c r="O553" s="14"/>
      <c r="P553" s="14"/>
      <c r="Q553" s="58"/>
      <c r="R553" s="58"/>
      <c r="S553" s="14"/>
      <c r="T553" s="14"/>
      <c r="U553" s="59"/>
      <c r="V553" s="59"/>
      <c r="W553" s="14"/>
      <c r="X553" s="14"/>
      <c r="Y553" s="60"/>
      <c r="Z553" s="60"/>
      <c r="AA553" s="60"/>
      <c r="AB553" s="60"/>
      <c r="AC553" s="60"/>
      <c r="AD553" s="60"/>
      <c r="AE553" s="60"/>
      <c r="AF553" s="14"/>
      <c r="AG553" s="14"/>
      <c r="AH553" s="14"/>
      <c r="AI553" s="14"/>
      <c r="AJ553" s="14"/>
      <c r="AK553" s="14"/>
      <c r="AL553" s="14"/>
      <c r="AM553" s="14"/>
      <c r="AN553" s="61"/>
    </row>
    <row r="554">
      <c r="A554" s="14"/>
      <c r="B554" s="14"/>
      <c r="C554" s="14"/>
      <c r="D554" s="14"/>
      <c r="E554" s="14"/>
      <c r="F554" s="14"/>
      <c r="G554" s="14"/>
      <c r="H554" s="14"/>
      <c r="I554" s="14"/>
      <c r="J554" s="14"/>
      <c r="K554" s="14"/>
      <c r="L554" s="14"/>
      <c r="M554" s="14"/>
      <c r="N554" s="14"/>
      <c r="O554" s="14"/>
      <c r="P554" s="14"/>
      <c r="Q554" s="58"/>
      <c r="R554" s="58"/>
      <c r="S554" s="14"/>
      <c r="T554" s="14"/>
      <c r="U554" s="59"/>
      <c r="V554" s="59"/>
      <c r="W554" s="14"/>
      <c r="X554" s="14"/>
      <c r="Y554" s="60"/>
      <c r="Z554" s="60"/>
      <c r="AA554" s="60"/>
      <c r="AB554" s="60"/>
      <c r="AC554" s="60"/>
      <c r="AD554" s="60"/>
      <c r="AE554" s="60"/>
      <c r="AF554" s="14"/>
      <c r="AG554" s="14"/>
      <c r="AH554" s="14"/>
      <c r="AI554" s="14"/>
      <c r="AJ554" s="14"/>
      <c r="AK554" s="14"/>
      <c r="AL554" s="14"/>
      <c r="AM554" s="14"/>
      <c r="AN554" s="61"/>
    </row>
    <row r="555">
      <c r="A555" s="14"/>
      <c r="B555" s="14"/>
      <c r="C555" s="14"/>
      <c r="D555" s="14"/>
      <c r="E555" s="14"/>
      <c r="F555" s="14"/>
      <c r="G555" s="14"/>
      <c r="H555" s="14"/>
      <c r="I555" s="14"/>
      <c r="J555" s="14"/>
      <c r="K555" s="14"/>
      <c r="L555" s="14"/>
      <c r="M555" s="14"/>
      <c r="N555" s="14"/>
      <c r="O555" s="14"/>
      <c r="P555" s="14"/>
      <c r="Q555" s="58"/>
      <c r="R555" s="58"/>
      <c r="S555" s="14"/>
      <c r="T555" s="14"/>
      <c r="U555" s="59"/>
      <c r="V555" s="59"/>
      <c r="W555" s="14"/>
      <c r="X555" s="14"/>
      <c r="Y555" s="60"/>
      <c r="Z555" s="60"/>
      <c r="AA555" s="60"/>
      <c r="AB555" s="60"/>
      <c r="AC555" s="60"/>
      <c r="AD555" s="60"/>
      <c r="AE555" s="60"/>
      <c r="AF555" s="14"/>
      <c r="AG555" s="14"/>
      <c r="AH555" s="14"/>
      <c r="AI555" s="14"/>
      <c r="AJ555" s="14"/>
      <c r="AK555" s="14"/>
      <c r="AL555" s="14"/>
      <c r="AM555" s="14"/>
      <c r="AN555" s="61"/>
    </row>
    <row r="556">
      <c r="A556" s="14"/>
      <c r="B556" s="14"/>
      <c r="C556" s="14"/>
      <c r="D556" s="14"/>
      <c r="E556" s="14"/>
      <c r="F556" s="14"/>
      <c r="G556" s="14"/>
      <c r="H556" s="14"/>
      <c r="I556" s="14"/>
      <c r="J556" s="14"/>
      <c r="K556" s="14"/>
      <c r="L556" s="14"/>
      <c r="M556" s="14"/>
      <c r="N556" s="14"/>
      <c r="O556" s="14"/>
      <c r="P556" s="14"/>
      <c r="Q556" s="58"/>
      <c r="R556" s="58"/>
      <c r="S556" s="14"/>
      <c r="T556" s="14"/>
      <c r="U556" s="59"/>
      <c r="V556" s="59"/>
      <c r="W556" s="14"/>
      <c r="X556" s="14"/>
      <c r="Y556" s="60"/>
      <c r="Z556" s="60"/>
      <c r="AA556" s="60"/>
      <c r="AB556" s="60"/>
      <c r="AC556" s="60"/>
      <c r="AD556" s="60"/>
      <c r="AE556" s="60"/>
      <c r="AF556" s="14"/>
      <c r="AG556" s="14"/>
      <c r="AH556" s="14"/>
      <c r="AI556" s="14"/>
      <c r="AJ556" s="14"/>
      <c r="AK556" s="14"/>
      <c r="AL556" s="14"/>
      <c r="AM556" s="14"/>
      <c r="AN556" s="61"/>
    </row>
    <row r="557">
      <c r="A557" s="14"/>
      <c r="B557" s="14"/>
      <c r="C557" s="14"/>
      <c r="D557" s="14"/>
      <c r="E557" s="14"/>
      <c r="F557" s="14"/>
      <c r="G557" s="14"/>
      <c r="H557" s="14"/>
      <c r="I557" s="14"/>
      <c r="J557" s="14"/>
      <c r="K557" s="14"/>
      <c r="L557" s="14"/>
      <c r="M557" s="14"/>
      <c r="N557" s="14"/>
      <c r="O557" s="14"/>
      <c r="P557" s="14"/>
      <c r="Q557" s="58"/>
      <c r="R557" s="58"/>
      <c r="S557" s="14"/>
      <c r="T557" s="14"/>
      <c r="U557" s="59"/>
      <c r="V557" s="59"/>
      <c r="W557" s="14"/>
      <c r="X557" s="14"/>
      <c r="Y557" s="60"/>
      <c r="Z557" s="60"/>
      <c r="AA557" s="60"/>
      <c r="AB557" s="60"/>
      <c r="AC557" s="60"/>
      <c r="AD557" s="60"/>
      <c r="AE557" s="60"/>
      <c r="AF557" s="14"/>
      <c r="AG557" s="14"/>
      <c r="AH557" s="14"/>
      <c r="AI557" s="14"/>
      <c r="AJ557" s="14"/>
      <c r="AK557" s="14"/>
      <c r="AL557" s="14"/>
      <c r="AM557" s="14"/>
      <c r="AN557" s="61"/>
    </row>
    <row r="558">
      <c r="A558" s="14"/>
      <c r="B558" s="14"/>
      <c r="C558" s="14"/>
      <c r="D558" s="14"/>
      <c r="E558" s="14"/>
      <c r="F558" s="14"/>
      <c r="G558" s="14"/>
      <c r="H558" s="14"/>
      <c r="I558" s="14"/>
      <c r="J558" s="14"/>
      <c r="K558" s="14"/>
      <c r="L558" s="14"/>
      <c r="M558" s="14"/>
      <c r="N558" s="14"/>
      <c r="O558" s="14"/>
      <c r="P558" s="14"/>
      <c r="Q558" s="58"/>
      <c r="R558" s="58"/>
      <c r="S558" s="14"/>
      <c r="T558" s="14"/>
      <c r="U558" s="59"/>
      <c r="V558" s="59"/>
      <c r="W558" s="14"/>
      <c r="X558" s="14"/>
      <c r="Y558" s="60"/>
      <c r="Z558" s="60"/>
      <c r="AA558" s="60"/>
      <c r="AB558" s="60"/>
      <c r="AC558" s="60"/>
      <c r="AD558" s="60"/>
      <c r="AE558" s="60"/>
      <c r="AF558" s="14"/>
      <c r="AG558" s="14"/>
      <c r="AH558" s="14"/>
      <c r="AI558" s="14"/>
      <c r="AJ558" s="14"/>
      <c r="AK558" s="14"/>
      <c r="AL558" s="14"/>
      <c r="AM558" s="14"/>
      <c r="AN558" s="61"/>
    </row>
    <row r="559">
      <c r="A559" s="14"/>
      <c r="B559" s="14"/>
      <c r="C559" s="14"/>
      <c r="D559" s="14"/>
      <c r="E559" s="14"/>
      <c r="F559" s="14"/>
      <c r="G559" s="14"/>
      <c r="H559" s="14"/>
      <c r="I559" s="14"/>
      <c r="J559" s="14"/>
      <c r="K559" s="14"/>
      <c r="L559" s="14"/>
      <c r="M559" s="14"/>
      <c r="N559" s="14"/>
      <c r="O559" s="14"/>
      <c r="P559" s="14"/>
      <c r="Q559" s="58"/>
      <c r="R559" s="58"/>
      <c r="S559" s="14"/>
      <c r="T559" s="14"/>
      <c r="U559" s="59"/>
      <c r="V559" s="59"/>
      <c r="W559" s="14"/>
      <c r="X559" s="14"/>
      <c r="Y559" s="60"/>
      <c r="Z559" s="60"/>
      <c r="AA559" s="60"/>
      <c r="AB559" s="60"/>
      <c r="AC559" s="60"/>
      <c r="AD559" s="60"/>
      <c r="AE559" s="60"/>
      <c r="AF559" s="14"/>
      <c r="AG559" s="14"/>
      <c r="AH559" s="14"/>
      <c r="AI559" s="14"/>
      <c r="AJ559" s="14"/>
      <c r="AK559" s="14"/>
      <c r="AL559" s="14"/>
      <c r="AM559" s="14"/>
      <c r="AN559" s="61"/>
    </row>
    <row r="560">
      <c r="A560" s="14"/>
      <c r="B560" s="14"/>
      <c r="C560" s="14"/>
      <c r="D560" s="14"/>
      <c r="E560" s="14"/>
      <c r="F560" s="14"/>
      <c r="G560" s="14"/>
      <c r="H560" s="14"/>
      <c r="I560" s="14"/>
      <c r="J560" s="14"/>
      <c r="K560" s="14"/>
      <c r="L560" s="14"/>
      <c r="M560" s="14"/>
      <c r="N560" s="14"/>
      <c r="O560" s="14"/>
      <c r="P560" s="14"/>
      <c r="Q560" s="58"/>
      <c r="R560" s="58"/>
      <c r="S560" s="14"/>
      <c r="T560" s="14"/>
      <c r="U560" s="59"/>
      <c r="V560" s="59"/>
      <c r="W560" s="14"/>
      <c r="X560" s="14"/>
      <c r="Y560" s="60"/>
      <c r="Z560" s="60"/>
      <c r="AA560" s="60"/>
      <c r="AB560" s="60"/>
      <c r="AC560" s="60"/>
      <c r="AD560" s="60"/>
      <c r="AE560" s="60"/>
      <c r="AF560" s="14"/>
      <c r="AG560" s="14"/>
      <c r="AH560" s="14"/>
      <c r="AI560" s="14"/>
      <c r="AJ560" s="14"/>
      <c r="AK560" s="14"/>
      <c r="AL560" s="14"/>
      <c r="AM560" s="14"/>
      <c r="AN560" s="61"/>
    </row>
    <row r="561">
      <c r="A561" s="14"/>
      <c r="B561" s="14"/>
      <c r="C561" s="14"/>
      <c r="D561" s="14"/>
      <c r="E561" s="14"/>
      <c r="F561" s="14"/>
      <c r="G561" s="14"/>
      <c r="H561" s="14"/>
      <c r="I561" s="14"/>
      <c r="J561" s="14"/>
      <c r="K561" s="14"/>
      <c r="L561" s="14"/>
      <c r="M561" s="14"/>
      <c r="N561" s="14"/>
      <c r="O561" s="14"/>
      <c r="P561" s="14"/>
      <c r="Q561" s="58"/>
      <c r="R561" s="58"/>
      <c r="S561" s="14"/>
      <c r="T561" s="14"/>
      <c r="U561" s="59"/>
      <c r="V561" s="59"/>
      <c r="W561" s="14"/>
      <c r="X561" s="14"/>
      <c r="Y561" s="60"/>
      <c r="Z561" s="60"/>
      <c r="AA561" s="60"/>
      <c r="AB561" s="60"/>
      <c r="AC561" s="60"/>
      <c r="AD561" s="60"/>
      <c r="AE561" s="60"/>
      <c r="AF561" s="14"/>
      <c r="AG561" s="14"/>
      <c r="AH561" s="14"/>
      <c r="AI561" s="14"/>
      <c r="AJ561" s="14"/>
      <c r="AK561" s="14"/>
      <c r="AL561" s="14"/>
      <c r="AM561" s="14"/>
      <c r="AN561" s="61"/>
    </row>
    <row r="562">
      <c r="A562" s="14"/>
      <c r="B562" s="14"/>
      <c r="C562" s="14"/>
      <c r="D562" s="14"/>
      <c r="E562" s="14"/>
      <c r="F562" s="14"/>
      <c r="G562" s="14"/>
      <c r="H562" s="14"/>
      <c r="I562" s="14"/>
      <c r="J562" s="14"/>
      <c r="K562" s="14"/>
      <c r="L562" s="14"/>
      <c r="M562" s="14"/>
      <c r="N562" s="14"/>
      <c r="O562" s="14"/>
      <c r="P562" s="14"/>
      <c r="Q562" s="58"/>
      <c r="R562" s="58"/>
      <c r="S562" s="14"/>
      <c r="T562" s="14"/>
      <c r="U562" s="59"/>
      <c r="V562" s="59"/>
      <c r="W562" s="14"/>
      <c r="X562" s="14"/>
      <c r="Y562" s="60"/>
      <c r="Z562" s="60"/>
      <c r="AA562" s="60"/>
      <c r="AB562" s="60"/>
      <c r="AC562" s="60"/>
      <c r="AD562" s="60"/>
      <c r="AE562" s="60"/>
      <c r="AF562" s="14"/>
      <c r="AG562" s="14"/>
      <c r="AH562" s="14"/>
      <c r="AI562" s="14"/>
      <c r="AJ562" s="14"/>
      <c r="AK562" s="14"/>
      <c r="AL562" s="14"/>
      <c r="AM562" s="14"/>
      <c r="AN562" s="61"/>
    </row>
    <row r="563">
      <c r="A563" s="14"/>
      <c r="B563" s="14"/>
      <c r="C563" s="14"/>
      <c r="D563" s="14"/>
      <c r="E563" s="14"/>
      <c r="F563" s="14"/>
      <c r="G563" s="14"/>
      <c r="H563" s="14"/>
      <c r="I563" s="14"/>
      <c r="J563" s="14"/>
      <c r="K563" s="14"/>
      <c r="L563" s="14"/>
      <c r="M563" s="14"/>
      <c r="N563" s="14"/>
      <c r="O563" s="14"/>
      <c r="P563" s="14"/>
      <c r="Q563" s="58"/>
      <c r="R563" s="58"/>
      <c r="S563" s="14"/>
      <c r="T563" s="14"/>
      <c r="U563" s="59"/>
      <c r="V563" s="59"/>
      <c r="W563" s="14"/>
      <c r="X563" s="14"/>
      <c r="Y563" s="60"/>
      <c r="Z563" s="60"/>
      <c r="AA563" s="60"/>
      <c r="AB563" s="60"/>
      <c r="AC563" s="60"/>
      <c r="AD563" s="60"/>
      <c r="AE563" s="60"/>
      <c r="AF563" s="14"/>
      <c r="AG563" s="14"/>
      <c r="AH563" s="14"/>
      <c r="AI563" s="14"/>
      <c r="AJ563" s="14"/>
      <c r="AK563" s="14"/>
      <c r="AL563" s="14"/>
      <c r="AM563" s="14"/>
      <c r="AN563" s="61"/>
    </row>
    <row r="564">
      <c r="A564" s="14"/>
      <c r="B564" s="14"/>
      <c r="C564" s="14"/>
      <c r="D564" s="14"/>
      <c r="E564" s="14"/>
      <c r="F564" s="14"/>
      <c r="G564" s="14"/>
      <c r="H564" s="14"/>
      <c r="I564" s="14"/>
      <c r="J564" s="14"/>
      <c r="K564" s="14"/>
      <c r="L564" s="14"/>
      <c r="M564" s="14"/>
      <c r="N564" s="14"/>
      <c r="O564" s="14"/>
      <c r="P564" s="14"/>
      <c r="Q564" s="58"/>
      <c r="R564" s="58"/>
      <c r="S564" s="14"/>
      <c r="T564" s="14"/>
      <c r="U564" s="59"/>
      <c r="V564" s="59"/>
      <c r="W564" s="14"/>
      <c r="X564" s="14"/>
      <c r="Y564" s="60"/>
      <c r="Z564" s="60"/>
      <c r="AA564" s="60"/>
      <c r="AB564" s="60"/>
      <c r="AC564" s="60"/>
      <c r="AD564" s="60"/>
      <c r="AE564" s="60"/>
      <c r="AF564" s="14"/>
      <c r="AG564" s="14"/>
      <c r="AH564" s="14"/>
      <c r="AI564" s="14"/>
      <c r="AJ564" s="14"/>
      <c r="AK564" s="14"/>
      <c r="AL564" s="14"/>
      <c r="AM564" s="14"/>
      <c r="AN564" s="61"/>
    </row>
    <row r="565">
      <c r="A565" s="14"/>
      <c r="B565" s="14"/>
      <c r="C565" s="14"/>
      <c r="D565" s="14"/>
      <c r="E565" s="14"/>
      <c r="F565" s="14"/>
      <c r="G565" s="14"/>
      <c r="H565" s="14"/>
      <c r="I565" s="14"/>
      <c r="J565" s="14"/>
      <c r="K565" s="14"/>
      <c r="L565" s="14"/>
      <c r="M565" s="14"/>
      <c r="N565" s="14"/>
      <c r="O565" s="14"/>
      <c r="P565" s="14"/>
      <c r="Q565" s="58"/>
      <c r="R565" s="58"/>
      <c r="S565" s="14"/>
      <c r="T565" s="14"/>
      <c r="U565" s="59"/>
      <c r="V565" s="59"/>
      <c r="W565" s="14"/>
      <c r="X565" s="14"/>
      <c r="Y565" s="60"/>
      <c r="Z565" s="60"/>
      <c r="AA565" s="60"/>
      <c r="AB565" s="60"/>
      <c r="AC565" s="60"/>
      <c r="AD565" s="60"/>
      <c r="AE565" s="60"/>
      <c r="AF565" s="14"/>
      <c r="AG565" s="14"/>
      <c r="AH565" s="14"/>
      <c r="AI565" s="14"/>
      <c r="AJ565" s="14"/>
      <c r="AK565" s="14"/>
      <c r="AL565" s="14"/>
      <c r="AM565" s="14"/>
      <c r="AN565" s="61"/>
    </row>
    <row r="566">
      <c r="A566" s="14"/>
      <c r="B566" s="14"/>
      <c r="C566" s="14"/>
      <c r="D566" s="14"/>
      <c r="E566" s="14"/>
      <c r="F566" s="14"/>
      <c r="G566" s="14"/>
      <c r="H566" s="14"/>
      <c r="I566" s="14"/>
      <c r="J566" s="14"/>
      <c r="K566" s="14"/>
      <c r="L566" s="14"/>
      <c r="M566" s="14"/>
      <c r="N566" s="14"/>
      <c r="O566" s="14"/>
      <c r="P566" s="14"/>
      <c r="Q566" s="58"/>
      <c r="R566" s="58"/>
      <c r="S566" s="14"/>
      <c r="T566" s="14"/>
      <c r="U566" s="59"/>
      <c r="V566" s="59"/>
      <c r="W566" s="14"/>
      <c r="X566" s="14"/>
      <c r="Y566" s="60"/>
      <c r="Z566" s="60"/>
      <c r="AA566" s="60"/>
      <c r="AB566" s="60"/>
      <c r="AC566" s="60"/>
      <c r="AD566" s="60"/>
      <c r="AE566" s="60"/>
      <c r="AF566" s="14"/>
      <c r="AG566" s="14"/>
      <c r="AH566" s="14"/>
      <c r="AI566" s="14"/>
      <c r="AJ566" s="14"/>
      <c r="AK566" s="14"/>
      <c r="AL566" s="14"/>
      <c r="AM566" s="14"/>
      <c r="AN566" s="61"/>
    </row>
    <row r="567">
      <c r="A567" s="14"/>
      <c r="B567" s="14"/>
      <c r="C567" s="14"/>
      <c r="D567" s="14"/>
      <c r="E567" s="14"/>
      <c r="F567" s="14"/>
      <c r="G567" s="14"/>
      <c r="H567" s="14"/>
      <c r="I567" s="14"/>
      <c r="J567" s="14"/>
      <c r="K567" s="14"/>
      <c r="L567" s="14"/>
      <c r="M567" s="14"/>
      <c r="N567" s="14"/>
      <c r="O567" s="14"/>
      <c r="P567" s="14"/>
      <c r="Q567" s="58"/>
      <c r="R567" s="58"/>
      <c r="S567" s="14"/>
      <c r="T567" s="14"/>
      <c r="U567" s="59"/>
      <c r="V567" s="59"/>
      <c r="W567" s="14"/>
      <c r="X567" s="14"/>
      <c r="Y567" s="60"/>
      <c r="Z567" s="60"/>
      <c r="AA567" s="60"/>
      <c r="AB567" s="60"/>
      <c r="AC567" s="60"/>
      <c r="AD567" s="60"/>
      <c r="AE567" s="60"/>
      <c r="AF567" s="14"/>
      <c r="AG567" s="14"/>
      <c r="AH567" s="14"/>
      <c r="AI567" s="14"/>
      <c r="AJ567" s="14"/>
      <c r="AK567" s="14"/>
      <c r="AL567" s="14"/>
      <c r="AM567" s="14"/>
      <c r="AN567" s="61"/>
    </row>
    <row r="568">
      <c r="A568" s="14"/>
      <c r="B568" s="14"/>
      <c r="C568" s="14"/>
      <c r="D568" s="14"/>
      <c r="E568" s="14"/>
      <c r="F568" s="14"/>
      <c r="G568" s="14"/>
      <c r="H568" s="14"/>
      <c r="I568" s="14"/>
      <c r="J568" s="14"/>
      <c r="K568" s="14"/>
      <c r="L568" s="14"/>
      <c r="M568" s="14"/>
      <c r="N568" s="14"/>
      <c r="O568" s="14"/>
      <c r="P568" s="14"/>
      <c r="Q568" s="58"/>
      <c r="R568" s="58"/>
      <c r="S568" s="14"/>
      <c r="T568" s="14"/>
      <c r="U568" s="59"/>
      <c r="V568" s="59"/>
      <c r="W568" s="14"/>
      <c r="X568" s="14"/>
      <c r="Y568" s="60"/>
      <c r="Z568" s="60"/>
      <c r="AA568" s="60"/>
      <c r="AB568" s="60"/>
      <c r="AC568" s="60"/>
      <c r="AD568" s="60"/>
      <c r="AE568" s="60"/>
      <c r="AF568" s="14"/>
      <c r="AG568" s="14"/>
      <c r="AH568" s="14"/>
      <c r="AI568" s="14"/>
      <c r="AJ568" s="14"/>
      <c r="AK568" s="14"/>
      <c r="AL568" s="14"/>
      <c r="AM568" s="14"/>
      <c r="AN568" s="61"/>
    </row>
    <row r="569">
      <c r="A569" s="14"/>
      <c r="B569" s="14"/>
      <c r="C569" s="14"/>
      <c r="D569" s="14"/>
      <c r="E569" s="14"/>
      <c r="F569" s="14"/>
      <c r="G569" s="14"/>
      <c r="H569" s="14"/>
      <c r="I569" s="14"/>
      <c r="J569" s="14"/>
      <c r="K569" s="14"/>
      <c r="L569" s="14"/>
      <c r="M569" s="14"/>
      <c r="N569" s="14"/>
      <c r="O569" s="14"/>
      <c r="P569" s="14"/>
      <c r="Q569" s="58"/>
      <c r="R569" s="58"/>
      <c r="S569" s="14"/>
      <c r="T569" s="14"/>
      <c r="U569" s="59"/>
      <c r="V569" s="59"/>
      <c r="W569" s="14"/>
      <c r="X569" s="14"/>
      <c r="Y569" s="60"/>
      <c r="Z569" s="60"/>
      <c r="AA569" s="60"/>
      <c r="AB569" s="60"/>
      <c r="AC569" s="60"/>
      <c r="AD569" s="60"/>
      <c r="AE569" s="60"/>
      <c r="AF569" s="14"/>
      <c r="AG569" s="14"/>
      <c r="AH569" s="14"/>
      <c r="AI569" s="14"/>
      <c r="AJ569" s="14"/>
      <c r="AK569" s="14"/>
      <c r="AL569" s="14"/>
      <c r="AM569" s="14"/>
      <c r="AN569" s="61"/>
    </row>
    <row r="570">
      <c r="A570" s="14"/>
      <c r="B570" s="14"/>
      <c r="C570" s="14"/>
      <c r="D570" s="14"/>
      <c r="E570" s="14"/>
      <c r="F570" s="14"/>
      <c r="G570" s="14"/>
      <c r="H570" s="14"/>
      <c r="I570" s="14"/>
      <c r="J570" s="14"/>
      <c r="K570" s="14"/>
      <c r="L570" s="14"/>
      <c r="M570" s="14"/>
      <c r="N570" s="14"/>
      <c r="O570" s="14"/>
      <c r="P570" s="14"/>
      <c r="Q570" s="58"/>
      <c r="R570" s="58"/>
      <c r="S570" s="14"/>
      <c r="T570" s="14"/>
      <c r="U570" s="59"/>
      <c r="V570" s="59"/>
      <c r="W570" s="14"/>
      <c r="X570" s="14"/>
      <c r="Y570" s="60"/>
      <c r="Z570" s="60"/>
      <c r="AA570" s="60"/>
      <c r="AB570" s="60"/>
      <c r="AC570" s="60"/>
      <c r="AD570" s="60"/>
      <c r="AE570" s="60"/>
      <c r="AF570" s="14"/>
      <c r="AG570" s="14"/>
      <c r="AH570" s="14"/>
      <c r="AI570" s="14"/>
      <c r="AJ570" s="14"/>
      <c r="AK570" s="14"/>
      <c r="AL570" s="14"/>
      <c r="AM570" s="14"/>
      <c r="AN570" s="61"/>
    </row>
    <row r="571">
      <c r="A571" s="14"/>
      <c r="B571" s="14"/>
      <c r="C571" s="14"/>
      <c r="D571" s="14"/>
      <c r="E571" s="14"/>
      <c r="F571" s="14"/>
      <c r="G571" s="14"/>
      <c r="H571" s="14"/>
      <c r="I571" s="14"/>
      <c r="J571" s="14"/>
      <c r="K571" s="14"/>
      <c r="L571" s="14"/>
      <c r="M571" s="14"/>
      <c r="N571" s="14"/>
      <c r="O571" s="14"/>
      <c r="P571" s="14"/>
      <c r="Q571" s="58"/>
      <c r="R571" s="58"/>
      <c r="S571" s="14"/>
      <c r="T571" s="14"/>
      <c r="U571" s="59"/>
      <c r="V571" s="59"/>
      <c r="W571" s="14"/>
      <c r="X571" s="14"/>
      <c r="Y571" s="60"/>
      <c r="Z571" s="60"/>
      <c r="AA571" s="60"/>
      <c r="AB571" s="60"/>
      <c r="AC571" s="60"/>
      <c r="AD571" s="60"/>
      <c r="AE571" s="60"/>
      <c r="AF571" s="14"/>
      <c r="AG571" s="14"/>
      <c r="AH571" s="14"/>
      <c r="AI571" s="14"/>
      <c r="AJ571" s="14"/>
      <c r="AK571" s="14"/>
      <c r="AL571" s="14"/>
      <c r="AM571" s="14"/>
      <c r="AN571" s="61"/>
    </row>
    <row r="572">
      <c r="A572" s="14"/>
      <c r="B572" s="14"/>
      <c r="C572" s="14"/>
      <c r="D572" s="14"/>
      <c r="E572" s="14"/>
      <c r="F572" s="14"/>
      <c r="G572" s="14"/>
      <c r="H572" s="14"/>
      <c r="I572" s="14"/>
      <c r="J572" s="14"/>
      <c r="K572" s="14"/>
      <c r="L572" s="14"/>
      <c r="M572" s="14"/>
      <c r="N572" s="14"/>
      <c r="O572" s="14"/>
      <c r="P572" s="14"/>
      <c r="Q572" s="58"/>
      <c r="R572" s="58"/>
      <c r="S572" s="14"/>
      <c r="T572" s="14"/>
      <c r="U572" s="59"/>
      <c r="V572" s="59"/>
      <c r="W572" s="14"/>
      <c r="X572" s="14"/>
      <c r="Y572" s="60"/>
      <c r="Z572" s="60"/>
      <c r="AA572" s="60"/>
      <c r="AB572" s="60"/>
      <c r="AC572" s="60"/>
      <c r="AD572" s="60"/>
      <c r="AE572" s="60"/>
      <c r="AF572" s="14"/>
      <c r="AG572" s="14"/>
      <c r="AH572" s="14"/>
      <c r="AI572" s="14"/>
      <c r="AJ572" s="14"/>
      <c r="AK572" s="14"/>
      <c r="AL572" s="14"/>
      <c r="AM572" s="14"/>
      <c r="AN572" s="61"/>
    </row>
    <row r="573">
      <c r="A573" s="14"/>
      <c r="B573" s="14"/>
      <c r="C573" s="14"/>
      <c r="D573" s="14"/>
      <c r="E573" s="14"/>
      <c r="F573" s="14"/>
      <c r="G573" s="14"/>
      <c r="H573" s="14"/>
      <c r="I573" s="14"/>
      <c r="J573" s="14"/>
      <c r="K573" s="14"/>
      <c r="L573" s="14"/>
      <c r="M573" s="14"/>
      <c r="N573" s="14"/>
      <c r="O573" s="14"/>
      <c r="P573" s="14"/>
      <c r="Q573" s="58"/>
      <c r="R573" s="58"/>
      <c r="S573" s="14"/>
      <c r="T573" s="14"/>
      <c r="U573" s="59"/>
      <c r="V573" s="59"/>
      <c r="W573" s="14"/>
      <c r="X573" s="14"/>
      <c r="Y573" s="60"/>
      <c r="Z573" s="60"/>
      <c r="AA573" s="60"/>
      <c r="AB573" s="60"/>
      <c r="AC573" s="60"/>
      <c r="AD573" s="60"/>
      <c r="AE573" s="60"/>
      <c r="AF573" s="14"/>
      <c r="AG573" s="14"/>
      <c r="AH573" s="14"/>
      <c r="AI573" s="14"/>
      <c r="AJ573" s="14"/>
      <c r="AK573" s="14"/>
      <c r="AL573" s="14"/>
      <c r="AM573" s="14"/>
      <c r="AN573" s="61"/>
    </row>
    <row r="574">
      <c r="A574" s="14"/>
      <c r="B574" s="14"/>
      <c r="C574" s="14"/>
      <c r="D574" s="14"/>
      <c r="E574" s="14"/>
      <c r="F574" s="14"/>
      <c r="G574" s="14"/>
      <c r="H574" s="14"/>
      <c r="I574" s="14"/>
      <c r="J574" s="14"/>
      <c r="K574" s="14"/>
      <c r="L574" s="14"/>
      <c r="M574" s="14"/>
      <c r="N574" s="14"/>
      <c r="O574" s="14"/>
      <c r="P574" s="14"/>
      <c r="Q574" s="58"/>
      <c r="R574" s="58"/>
      <c r="S574" s="14"/>
      <c r="T574" s="14"/>
      <c r="U574" s="59"/>
      <c r="V574" s="59"/>
      <c r="W574" s="14"/>
      <c r="X574" s="14"/>
      <c r="Y574" s="60"/>
      <c r="Z574" s="60"/>
      <c r="AA574" s="60"/>
      <c r="AB574" s="60"/>
      <c r="AC574" s="60"/>
      <c r="AD574" s="60"/>
      <c r="AE574" s="60"/>
      <c r="AF574" s="14"/>
      <c r="AG574" s="14"/>
      <c r="AH574" s="14"/>
      <c r="AI574" s="14"/>
      <c r="AJ574" s="14"/>
      <c r="AK574" s="14"/>
      <c r="AL574" s="14"/>
      <c r="AM574" s="14"/>
      <c r="AN574" s="61"/>
    </row>
    <row r="575">
      <c r="A575" s="14"/>
      <c r="B575" s="14"/>
      <c r="C575" s="14"/>
      <c r="D575" s="14"/>
      <c r="E575" s="14"/>
      <c r="F575" s="14"/>
      <c r="G575" s="14"/>
      <c r="H575" s="14"/>
      <c r="I575" s="14"/>
      <c r="J575" s="14"/>
      <c r="K575" s="14"/>
      <c r="L575" s="14"/>
      <c r="M575" s="14"/>
      <c r="N575" s="14"/>
      <c r="O575" s="14"/>
      <c r="P575" s="14"/>
      <c r="Q575" s="58"/>
      <c r="R575" s="58"/>
      <c r="S575" s="14"/>
      <c r="T575" s="14"/>
      <c r="U575" s="59"/>
      <c r="V575" s="59"/>
      <c r="W575" s="14"/>
      <c r="X575" s="14"/>
      <c r="Y575" s="60"/>
      <c r="Z575" s="60"/>
      <c r="AA575" s="60"/>
      <c r="AB575" s="60"/>
      <c r="AC575" s="60"/>
      <c r="AD575" s="60"/>
      <c r="AE575" s="60"/>
      <c r="AF575" s="14"/>
      <c r="AG575" s="14"/>
      <c r="AH575" s="14"/>
      <c r="AI575" s="14"/>
      <c r="AJ575" s="14"/>
      <c r="AK575" s="14"/>
      <c r="AL575" s="14"/>
      <c r="AM575" s="14"/>
      <c r="AN575" s="61"/>
    </row>
    <row r="576">
      <c r="A576" s="14"/>
      <c r="B576" s="14"/>
      <c r="C576" s="14"/>
      <c r="D576" s="14"/>
      <c r="E576" s="14"/>
      <c r="F576" s="14"/>
      <c r="G576" s="14"/>
      <c r="H576" s="14"/>
      <c r="I576" s="14"/>
      <c r="J576" s="14"/>
      <c r="K576" s="14"/>
      <c r="L576" s="14"/>
      <c r="M576" s="14"/>
      <c r="N576" s="14"/>
      <c r="O576" s="14"/>
      <c r="P576" s="14"/>
      <c r="Q576" s="58"/>
      <c r="R576" s="58"/>
      <c r="S576" s="14"/>
      <c r="T576" s="14"/>
      <c r="U576" s="59"/>
      <c r="V576" s="59"/>
      <c r="W576" s="14"/>
      <c r="X576" s="14"/>
      <c r="Y576" s="60"/>
      <c r="Z576" s="60"/>
      <c r="AA576" s="60"/>
      <c r="AB576" s="60"/>
      <c r="AC576" s="60"/>
      <c r="AD576" s="60"/>
      <c r="AE576" s="60"/>
      <c r="AF576" s="14"/>
      <c r="AG576" s="14"/>
      <c r="AH576" s="14"/>
      <c r="AI576" s="14"/>
      <c r="AJ576" s="14"/>
      <c r="AK576" s="14"/>
      <c r="AL576" s="14"/>
      <c r="AM576" s="14"/>
      <c r="AN576" s="61"/>
    </row>
    <row r="577">
      <c r="A577" s="14"/>
      <c r="B577" s="14"/>
      <c r="C577" s="14"/>
      <c r="D577" s="14"/>
      <c r="E577" s="14"/>
      <c r="F577" s="14"/>
      <c r="G577" s="14"/>
      <c r="H577" s="14"/>
      <c r="I577" s="14"/>
      <c r="J577" s="14"/>
      <c r="K577" s="14"/>
      <c r="L577" s="14"/>
      <c r="M577" s="14"/>
      <c r="N577" s="14"/>
      <c r="O577" s="14"/>
      <c r="P577" s="14"/>
      <c r="Q577" s="58"/>
      <c r="R577" s="58"/>
      <c r="S577" s="14"/>
      <c r="T577" s="14"/>
      <c r="U577" s="59"/>
      <c r="V577" s="59"/>
      <c r="W577" s="14"/>
      <c r="X577" s="14"/>
      <c r="Y577" s="60"/>
      <c r="Z577" s="60"/>
      <c r="AA577" s="60"/>
      <c r="AB577" s="60"/>
      <c r="AC577" s="60"/>
      <c r="AD577" s="60"/>
      <c r="AE577" s="60"/>
      <c r="AF577" s="14"/>
      <c r="AG577" s="14"/>
      <c r="AH577" s="14"/>
      <c r="AI577" s="14"/>
      <c r="AJ577" s="14"/>
      <c r="AK577" s="14"/>
      <c r="AL577" s="14"/>
      <c r="AM577" s="14"/>
      <c r="AN577" s="61"/>
    </row>
    <row r="578">
      <c r="A578" s="14"/>
      <c r="B578" s="14"/>
      <c r="C578" s="14"/>
      <c r="D578" s="14"/>
      <c r="E578" s="14"/>
      <c r="F578" s="14"/>
      <c r="G578" s="14"/>
      <c r="H578" s="14"/>
      <c r="I578" s="14"/>
      <c r="J578" s="14"/>
      <c r="K578" s="14"/>
      <c r="L578" s="14"/>
      <c r="M578" s="14"/>
      <c r="N578" s="14"/>
      <c r="O578" s="14"/>
      <c r="P578" s="14"/>
      <c r="Q578" s="58"/>
      <c r="R578" s="58"/>
      <c r="S578" s="14"/>
      <c r="T578" s="14"/>
      <c r="U578" s="59"/>
      <c r="V578" s="59"/>
      <c r="W578" s="14"/>
      <c r="X578" s="14"/>
      <c r="Y578" s="60"/>
      <c r="Z578" s="60"/>
      <c r="AA578" s="60"/>
      <c r="AB578" s="60"/>
      <c r="AC578" s="60"/>
      <c r="AD578" s="60"/>
      <c r="AE578" s="60"/>
      <c r="AF578" s="14"/>
      <c r="AG578" s="14"/>
      <c r="AH578" s="14"/>
      <c r="AI578" s="14"/>
      <c r="AJ578" s="14"/>
      <c r="AK578" s="14"/>
      <c r="AL578" s="14"/>
      <c r="AM578" s="14"/>
      <c r="AN578" s="61"/>
    </row>
    <row r="579">
      <c r="A579" s="14"/>
      <c r="B579" s="14"/>
      <c r="C579" s="14"/>
      <c r="D579" s="14"/>
      <c r="E579" s="14"/>
      <c r="F579" s="14"/>
      <c r="G579" s="14"/>
      <c r="H579" s="14"/>
      <c r="I579" s="14"/>
      <c r="J579" s="14"/>
      <c r="K579" s="14"/>
      <c r="L579" s="14"/>
      <c r="M579" s="14"/>
      <c r="N579" s="14"/>
      <c r="O579" s="14"/>
      <c r="P579" s="14"/>
      <c r="Q579" s="58"/>
      <c r="R579" s="58"/>
      <c r="S579" s="14"/>
      <c r="T579" s="14"/>
      <c r="U579" s="59"/>
      <c r="V579" s="59"/>
      <c r="W579" s="14"/>
      <c r="X579" s="14"/>
      <c r="Y579" s="60"/>
      <c r="Z579" s="60"/>
      <c r="AA579" s="60"/>
      <c r="AB579" s="60"/>
      <c r="AC579" s="60"/>
      <c r="AD579" s="60"/>
      <c r="AE579" s="60"/>
      <c r="AF579" s="14"/>
      <c r="AG579" s="14"/>
      <c r="AH579" s="14"/>
      <c r="AI579" s="14"/>
      <c r="AJ579" s="14"/>
      <c r="AK579" s="14"/>
      <c r="AL579" s="14"/>
      <c r="AM579" s="14"/>
      <c r="AN579" s="61"/>
    </row>
    <row r="580">
      <c r="A580" s="14"/>
      <c r="B580" s="14"/>
      <c r="C580" s="14"/>
      <c r="D580" s="14"/>
      <c r="E580" s="14"/>
      <c r="F580" s="14"/>
      <c r="G580" s="14"/>
      <c r="H580" s="14"/>
      <c r="I580" s="14"/>
      <c r="J580" s="14"/>
      <c r="K580" s="14"/>
      <c r="L580" s="14"/>
      <c r="M580" s="14"/>
      <c r="N580" s="14"/>
      <c r="O580" s="14"/>
      <c r="P580" s="14"/>
      <c r="Q580" s="58"/>
      <c r="R580" s="58"/>
      <c r="S580" s="14"/>
      <c r="T580" s="14"/>
      <c r="U580" s="59"/>
      <c r="V580" s="59"/>
      <c r="W580" s="14"/>
      <c r="X580" s="14"/>
      <c r="Y580" s="60"/>
      <c r="Z580" s="60"/>
      <c r="AA580" s="60"/>
      <c r="AB580" s="60"/>
      <c r="AC580" s="60"/>
      <c r="AD580" s="60"/>
      <c r="AE580" s="60"/>
      <c r="AF580" s="14"/>
      <c r="AG580" s="14"/>
      <c r="AH580" s="14"/>
      <c r="AI580" s="14"/>
      <c r="AJ580" s="14"/>
      <c r="AK580" s="14"/>
      <c r="AL580" s="14"/>
      <c r="AM580" s="14"/>
      <c r="AN580" s="61"/>
    </row>
    <row r="581">
      <c r="A581" s="14"/>
      <c r="B581" s="14"/>
      <c r="C581" s="14"/>
      <c r="D581" s="14"/>
      <c r="E581" s="14"/>
      <c r="F581" s="14"/>
      <c r="G581" s="14"/>
      <c r="H581" s="14"/>
      <c r="I581" s="14"/>
      <c r="J581" s="14"/>
      <c r="K581" s="14"/>
      <c r="L581" s="14"/>
      <c r="M581" s="14"/>
      <c r="N581" s="14"/>
      <c r="O581" s="14"/>
      <c r="P581" s="14"/>
      <c r="Q581" s="58"/>
      <c r="R581" s="58"/>
      <c r="S581" s="14"/>
      <c r="T581" s="14"/>
      <c r="U581" s="59"/>
      <c r="V581" s="59"/>
      <c r="W581" s="14"/>
      <c r="X581" s="14"/>
      <c r="Y581" s="60"/>
      <c r="Z581" s="60"/>
      <c r="AA581" s="60"/>
      <c r="AB581" s="60"/>
      <c r="AC581" s="60"/>
      <c r="AD581" s="60"/>
      <c r="AE581" s="60"/>
      <c r="AF581" s="14"/>
      <c r="AG581" s="14"/>
      <c r="AH581" s="14"/>
      <c r="AI581" s="14"/>
      <c r="AJ581" s="14"/>
      <c r="AK581" s="14"/>
      <c r="AL581" s="14"/>
      <c r="AM581" s="14"/>
      <c r="AN581" s="61"/>
    </row>
    <row r="582">
      <c r="A582" s="14"/>
      <c r="B582" s="14"/>
      <c r="C582" s="14"/>
      <c r="D582" s="14"/>
      <c r="E582" s="14"/>
      <c r="F582" s="14"/>
      <c r="G582" s="14"/>
      <c r="H582" s="14"/>
      <c r="I582" s="14"/>
      <c r="J582" s="14"/>
      <c r="K582" s="14"/>
      <c r="L582" s="14"/>
      <c r="M582" s="14"/>
      <c r="N582" s="14"/>
      <c r="O582" s="14"/>
      <c r="P582" s="14"/>
      <c r="Q582" s="58"/>
      <c r="R582" s="58"/>
      <c r="S582" s="14"/>
      <c r="T582" s="14"/>
      <c r="U582" s="59"/>
      <c r="V582" s="59"/>
      <c r="W582" s="14"/>
      <c r="X582" s="14"/>
      <c r="Y582" s="60"/>
      <c r="Z582" s="60"/>
      <c r="AA582" s="60"/>
      <c r="AB582" s="60"/>
      <c r="AC582" s="60"/>
      <c r="AD582" s="60"/>
      <c r="AE582" s="60"/>
      <c r="AF582" s="14"/>
      <c r="AG582" s="14"/>
      <c r="AH582" s="14"/>
      <c r="AI582" s="14"/>
      <c r="AJ582" s="14"/>
      <c r="AK582" s="14"/>
      <c r="AL582" s="14"/>
      <c r="AM582" s="14"/>
      <c r="AN582" s="61"/>
    </row>
    <row r="583">
      <c r="A583" s="14"/>
      <c r="B583" s="14"/>
      <c r="C583" s="14"/>
      <c r="D583" s="14"/>
      <c r="E583" s="14"/>
      <c r="F583" s="14"/>
      <c r="G583" s="14"/>
      <c r="H583" s="14"/>
      <c r="I583" s="14"/>
      <c r="J583" s="14"/>
      <c r="K583" s="14"/>
      <c r="L583" s="14"/>
      <c r="M583" s="14"/>
      <c r="N583" s="14"/>
      <c r="O583" s="14"/>
      <c r="P583" s="14"/>
      <c r="Q583" s="58"/>
      <c r="R583" s="58"/>
      <c r="S583" s="14"/>
      <c r="T583" s="14"/>
      <c r="U583" s="59"/>
      <c r="V583" s="59"/>
      <c r="W583" s="14"/>
      <c r="X583" s="14"/>
      <c r="Y583" s="60"/>
      <c r="Z583" s="60"/>
      <c r="AA583" s="60"/>
      <c r="AB583" s="60"/>
      <c r="AC583" s="60"/>
      <c r="AD583" s="60"/>
      <c r="AE583" s="60"/>
      <c r="AF583" s="14"/>
      <c r="AG583" s="14"/>
      <c r="AH583" s="14"/>
      <c r="AI583" s="14"/>
      <c r="AJ583" s="14"/>
      <c r="AK583" s="14"/>
      <c r="AL583" s="14"/>
      <c r="AM583" s="14"/>
      <c r="AN583" s="61"/>
    </row>
    <row r="584">
      <c r="A584" s="14"/>
      <c r="B584" s="14"/>
      <c r="C584" s="14"/>
      <c r="D584" s="14"/>
      <c r="E584" s="14"/>
      <c r="F584" s="14"/>
      <c r="G584" s="14"/>
      <c r="H584" s="14"/>
      <c r="I584" s="14"/>
      <c r="J584" s="14"/>
      <c r="K584" s="14"/>
      <c r="L584" s="14"/>
      <c r="M584" s="14"/>
      <c r="N584" s="14"/>
      <c r="O584" s="14"/>
      <c r="P584" s="14"/>
      <c r="Q584" s="58"/>
      <c r="R584" s="58"/>
      <c r="S584" s="14"/>
      <c r="T584" s="14"/>
      <c r="U584" s="59"/>
      <c r="V584" s="59"/>
      <c r="W584" s="14"/>
      <c r="X584" s="14"/>
      <c r="Y584" s="60"/>
      <c r="Z584" s="60"/>
      <c r="AA584" s="60"/>
      <c r="AB584" s="60"/>
      <c r="AC584" s="60"/>
      <c r="AD584" s="60"/>
      <c r="AE584" s="60"/>
      <c r="AF584" s="14"/>
      <c r="AG584" s="14"/>
      <c r="AH584" s="14"/>
      <c r="AI584" s="14"/>
      <c r="AJ584" s="14"/>
      <c r="AK584" s="14"/>
      <c r="AL584" s="14"/>
      <c r="AM584" s="14"/>
      <c r="AN584" s="61"/>
    </row>
    <row r="585">
      <c r="A585" s="14"/>
      <c r="B585" s="14"/>
      <c r="C585" s="14"/>
      <c r="D585" s="14"/>
      <c r="E585" s="14"/>
      <c r="F585" s="14"/>
      <c r="G585" s="14"/>
      <c r="H585" s="14"/>
      <c r="I585" s="14"/>
      <c r="J585" s="14"/>
      <c r="K585" s="14"/>
      <c r="L585" s="14"/>
      <c r="M585" s="14"/>
      <c r="N585" s="14"/>
      <c r="O585" s="14"/>
      <c r="P585" s="14"/>
      <c r="Q585" s="58"/>
      <c r="R585" s="58"/>
      <c r="S585" s="14"/>
      <c r="T585" s="14"/>
      <c r="U585" s="59"/>
      <c r="V585" s="59"/>
      <c r="W585" s="14"/>
      <c r="X585" s="14"/>
      <c r="Y585" s="60"/>
      <c r="Z585" s="60"/>
      <c r="AA585" s="60"/>
      <c r="AB585" s="60"/>
      <c r="AC585" s="60"/>
      <c r="AD585" s="60"/>
      <c r="AE585" s="60"/>
      <c r="AF585" s="14"/>
      <c r="AG585" s="14"/>
      <c r="AH585" s="14"/>
      <c r="AI585" s="14"/>
      <c r="AJ585" s="14"/>
      <c r="AK585" s="14"/>
      <c r="AL585" s="14"/>
      <c r="AM585" s="14"/>
      <c r="AN585" s="61"/>
    </row>
    <row r="586">
      <c r="A586" s="14"/>
      <c r="B586" s="14"/>
      <c r="C586" s="14"/>
      <c r="D586" s="14"/>
      <c r="E586" s="14"/>
      <c r="F586" s="14"/>
      <c r="G586" s="14"/>
      <c r="H586" s="14"/>
      <c r="I586" s="14"/>
      <c r="J586" s="14"/>
      <c r="K586" s="14"/>
      <c r="L586" s="14"/>
      <c r="M586" s="14"/>
      <c r="N586" s="14"/>
      <c r="O586" s="14"/>
      <c r="P586" s="14"/>
      <c r="Q586" s="58"/>
      <c r="R586" s="58"/>
      <c r="S586" s="14"/>
      <c r="T586" s="14"/>
      <c r="U586" s="59"/>
      <c r="V586" s="59"/>
      <c r="W586" s="14"/>
      <c r="X586" s="14"/>
      <c r="Y586" s="60"/>
      <c r="Z586" s="60"/>
      <c r="AA586" s="60"/>
      <c r="AB586" s="60"/>
      <c r="AC586" s="60"/>
      <c r="AD586" s="60"/>
      <c r="AE586" s="60"/>
      <c r="AF586" s="14"/>
      <c r="AG586" s="14"/>
      <c r="AH586" s="14"/>
      <c r="AI586" s="14"/>
      <c r="AJ586" s="14"/>
      <c r="AK586" s="14"/>
      <c r="AL586" s="14"/>
      <c r="AM586" s="14"/>
      <c r="AN586" s="61"/>
    </row>
    <row r="587">
      <c r="A587" s="14"/>
      <c r="B587" s="14"/>
      <c r="C587" s="14"/>
      <c r="D587" s="14"/>
      <c r="E587" s="14"/>
      <c r="F587" s="14"/>
      <c r="G587" s="14"/>
      <c r="H587" s="14"/>
      <c r="I587" s="14"/>
      <c r="J587" s="14"/>
      <c r="K587" s="14"/>
      <c r="L587" s="14"/>
      <c r="M587" s="14"/>
      <c r="N587" s="14"/>
      <c r="O587" s="14"/>
      <c r="P587" s="14"/>
      <c r="Q587" s="58"/>
      <c r="R587" s="58"/>
      <c r="S587" s="14"/>
      <c r="T587" s="14"/>
      <c r="U587" s="59"/>
      <c r="V587" s="59"/>
      <c r="W587" s="14"/>
      <c r="X587" s="14"/>
      <c r="Y587" s="60"/>
      <c r="Z587" s="60"/>
      <c r="AA587" s="60"/>
      <c r="AB587" s="60"/>
      <c r="AC587" s="60"/>
      <c r="AD587" s="60"/>
      <c r="AE587" s="60"/>
      <c r="AF587" s="14"/>
      <c r="AG587" s="14"/>
      <c r="AH587" s="14"/>
      <c r="AI587" s="14"/>
      <c r="AJ587" s="14"/>
      <c r="AK587" s="14"/>
      <c r="AL587" s="14"/>
      <c r="AM587" s="14"/>
      <c r="AN587" s="61"/>
    </row>
    <row r="588">
      <c r="A588" s="14"/>
      <c r="B588" s="14"/>
      <c r="C588" s="14"/>
      <c r="D588" s="14"/>
      <c r="E588" s="14"/>
      <c r="F588" s="14"/>
      <c r="G588" s="14"/>
      <c r="H588" s="14"/>
      <c r="I588" s="14"/>
      <c r="J588" s="14"/>
      <c r="K588" s="14"/>
      <c r="L588" s="14"/>
      <c r="M588" s="14"/>
      <c r="N588" s="14"/>
      <c r="O588" s="14"/>
      <c r="P588" s="14"/>
      <c r="Q588" s="58"/>
      <c r="R588" s="58"/>
      <c r="S588" s="14"/>
      <c r="T588" s="14"/>
      <c r="U588" s="59"/>
      <c r="V588" s="59"/>
      <c r="W588" s="14"/>
      <c r="X588" s="14"/>
      <c r="Y588" s="60"/>
      <c r="Z588" s="60"/>
      <c r="AA588" s="60"/>
      <c r="AB588" s="60"/>
      <c r="AC588" s="60"/>
      <c r="AD588" s="60"/>
      <c r="AE588" s="60"/>
      <c r="AF588" s="14"/>
      <c r="AG588" s="14"/>
      <c r="AH588" s="14"/>
      <c r="AI588" s="14"/>
      <c r="AJ588" s="14"/>
      <c r="AK588" s="14"/>
      <c r="AL588" s="14"/>
      <c r="AM588" s="14"/>
      <c r="AN588" s="61"/>
    </row>
    <row r="589">
      <c r="A589" s="14"/>
      <c r="B589" s="14"/>
      <c r="C589" s="14"/>
      <c r="D589" s="14"/>
      <c r="E589" s="14"/>
      <c r="F589" s="14"/>
      <c r="G589" s="14"/>
      <c r="H589" s="14"/>
      <c r="I589" s="14"/>
      <c r="J589" s="14"/>
      <c r="K589" s="14"/>
      <c r="L589" s="14"/>
      <c r="M589" s="14"/>
      <c r="N589" s="14"/>
      <c r="O589" s="14"/>
      <c r="P589" s="14"/>
      <c r="Q589" s="58"/>
      <c r="R589" s="58"/>
      <c r="S589" s="14"/>
      <c r="T589" s="14"/>
      <c r="U589" s="59"/>
      <c r="V589" s="59"/>
      <c r="W589" s="14"/>
      <c r="X589" s="14"/>
      <c r="Y589" s="60"/>
      <c r="Z589" s="60"/>
      <c r="AA589" s="60"/>
      <c r="AB589" s="60"/>
      <c r="AC589" s="60"/>
      <c r="AD589" s="60"/>
      <c r="AE589" s="60"/>
      <c r="AF589" s="14"/>
      <c r="AG589" s="14"/>
      <c r="AH589" s="14"/>
      <c r="AI589" s="14"/>
      <c r="AJ589" s="14"/>
      <c r="AK589" s="14"/>
      <c r="AL589" s="14"/>
      <c r="AM589" s="14"/>
      <c r="AN589" s="61"/>
    </row>
    <row r="590">
      <c r="A590" s="14"/>
      <c r="B590" s="14"/>
      <c r="C590" s="14"/>
      <c r="D590" s="14"/>
      <c r="E590" s="14"/>
      <c r="F590" s="14"/>
      <c r="G590" s="14"/>
      <c r="H590" s="14"/>
      <c r="I590" s="14"/>
      <c r="J590" s="14"/>
      <c r="K590" s="14"/>
      <c r="L590" s="14"/>
      <c r="M590" s="14"/>
      <c r="N590" s="14"/>
      <c r="O590" s="14"/>
      <c r="P590" s="14"/>
      <c r="Q590" s="58"/>
      <c r="R590" s="58"/>
      <c r="S590" s="14"/>
      <c r="T590" s="14"/>
      <c r="U590" s="59"/>
      <c r="V590" s="59"/>
      <c r="W590" s="14"/>
      <c r="X590" s="14"/>
      <c r="Y590" s="60"/>
      <c r="Z590" s="60"/>
      <c r="AA590" s="60"/>
      <c r="AB590" s="60"/>
      <c r="AC590" s="60"/>
      <c r="AD590" s="60"/>
      <c r="AE590" s="60"/>
      <c r="AF590" s="14"/>
      <c r="AG590" s="14"/>
      <c r="AH590" s="14"/>
      <c r="AI590" s="14"/>
      <c r="AJ590" s="14"/>
      <c r="AK590" s="14"/>
      <c r="AL590" s="14"/>
      <c r="AM590" s="14"/>
      <c r="AN590" s="61"/>
    </row>
    <row r="591">
      <c r="A591" s="14"/>
      <c r="B591" s="14"/>
      <c r="C591" s="14"/>
      <c r="D591" s="14"/>
      <c r="E591" s="14"/>
      <c r="F591" s="14"/>
      <c r="G591" s="14"/>
      <c r="H591" s="14"/>
      <c r="I591" s="14"/>
      <c r="J591" s="14"/>
      <c r="K591" s="14"/>
      <c r="L591" s="14"/>
      <c r="M591" s="14"/>
      <c r="N591" s="14"/>
      <c r="O591" s="14"/>
      <c r="P591" s="14"/>
      <c r="Q591" s="58"/>
      <c r="R591" s="58"/>
      <c r="S591" s="14"/>
      <c r="T591" s="14"/>
      <c r="U591" s="59"/>
      <c r="V591" s="59"/>
      <c r="W591" s="14"/>
      <c r="X591" s="14"/>
      <c r="Y591" s="60"/>
      <c r="Z591" s="60"/>
      <c r="AA591" s="60"/>
      <c r="AB591" s="60"/>
      <c r="AC591" s="60"/>
      <c r="AD591" s="60"/>
      <c r="AE591" s="60"/>
      <c r="AF591" s="14"/>
      <c r="AG591" s="14"/>
      <c r="AH591" s="14"/>
      <c r="AI591" s="14"/>
      <c r="AJ591" s="14"/>
      <c r="AK591" s="14"/>
      <c r="AL591" s="14"/>
      <c r="AM591" s="14"/>
      <c r="AN591" s="61"/>
    </row>
    <row r="592">
      <c r="A592" s="14"/>
      <c r="B592" s="14"/>
      <c r="C592" s="14"/>
      <c r="D592" s="14"/>
      <c r="E592" s="14"/>
      <c r="F592" s="14"/>
      <c r="G592" s="14"/>
      <c r="H592" s="14"/>
      <c r="I592" s="14"/>
      <c r="J592" s="14"/>
      <c r="K592" s="14"/>
      <c r="L592" s="14"/>
      <c r="M592" s="14"/>
      <c r="N592" s="14"/>
      <c r="O592" s="14"/>
      <c r="P592" s="14"/>
      <c r="Q592" s="58"/>
      <c r="R592" s="58"/>
      <c r="S592" s="14"/>
      <c r="T592" s="14"/>
      <c r="U592" s="59"/>
      <c r="V592" s="59"/>
      <c r="W592" s="14"/>
      <c r="X592" s="14"/>
      <c r="Y592" s="60"/>
      <c r="Z592" s="60"/>
      <c r="AA592" s="60"/>
      <c r="AB592" s="60"/>
      <c r="AC592" s="60"/>
      <c r="AD592" s="60"/>
      <c r="AE592" s="60"/>
      <c r="AF592" s="14"/>
      <c r="AG592" s="14"/>
      <c r="AH592" s="14"/>
      <c r="AI592" s="14"/>
      <c r="AJ592" s="14"/>
      <c r="AK592" s="14"/>
      <c r="AL592" s="14"/>
      <c r="AM592" s="14"/>
      <c r="AN592" s="61"/>
    </row>
    <row r="593">
      <c r="A593" s="14"/>
      <c r="B593" s="14"/>
      <c r="C593" s="14"/>
      <c r="D593" s="14"/>
      <c r="E593" s="14"/>
      <c r="F593" s="14"/>
      <c r="G593" s="14"/>
      <c r="H593" s="14"/>
      <c r="I593" s="14"/>
      <c r="J593" s="14"/>
      <c r="K593" s="14"/>
      <c r="L593" s="14"/>
      <c r="M593" s="14"/>
      <c r="N593" s="14"/>
      <c r="O593" s="14"/>
      <c r="P593" s="14"/>
      <c r="Q593" s="58"/>
      <c r="R593" s="58"/>
      <c r="S593" s="14"/>
      <c r="T593" s="14"/>
      <c r="U593" s="59"/>
      <c r="V593" s="59"/>
      <c r="W593" s="14"/>
      <c r="X593" s="14"/>
      <c r="Y593" s="60"/>
      <c r="Z593" s="60"/>
      <c r="AA593" s="60"/>
      <c r="AB593" s="60"/>
      <c r="AC593" s="60"/>
      <c r="AD593" s="60"/>
      <c r="AE593" s="60"/>
      <c r="AF593" s="14"/>
      <c r="AG593" s="14"/>
      <c r="AH593" s="14"/>
      <c r="AI593" s="14"/>
      <c r="AJ593" s="14"/>
      <c r="AK593" s="14"/>
      <c r="AL593" s="14"/>
      <c r="AM593" s="14"/>
      <c r="AN593" s="61"/>
    </row>
    <row r="594">
      <c r="A594" s="14"/>
      <c r="B594" s="14"/>
      <c r="C594" s="14"/>
      <c r="D594" s="14"/>
      <c r="E594" s="14"/>
      <c r="F594" s="14"/>
      <c r="G594" s="14"/>
      <c r="H594" s="14"/>
      <c r="I594" s="14"/>
      <c r="J594" s="14"/>
      <c r="K594" s="14"/>
      <c r="L594" s="14"/>
      <c r="M594" s="14"/>
      <c r="N594" s="14"/>
      <c r="O594" s="14"/>
      <c r="P594" s="14"/>
      <c r="Q594" s="58"/>
      <c r="R594" s="58"/>
      <c r="S594" s="14"/>
      <c r="T594" s="14"/>
      <c r="U594" s="59"/>
      <c r="V594" s="59"/>
      <c r="W594" s="14"/>
      <c r="X594" s="14"/>
      <c r="Y594" s="60"/>
      <c r="Z594" s="60"/>
      <c r="AA594" s="60"/>
      <c r="AB594" s="60"/>
      <c r="AC594" s="60"/>
      <c r="AD594" s="60"/>
      <c r="AE594" s="60"/>
      <c r="AF594" s="14"/>
      <c r="AG594" s="14"/>
      <c r="AH594" s="14"/>
      <c r="AI594" s="14"/>
      <c r="AJ594" s="14"/>
      <c r="AK594" s="14"/>
      <c r="AL594" s="14"/>
      <c r="AM594" s="14"/>
      <c r="AN594" s="61"/>
    </row>
    <row r="595">
      <c r="A595" s="14"/>
      <c r="B595" s="14"/>
      <c r="C595" s="14"/>
      <c r="D595" s="14"/>
      <c r="E595" s="14"/>
      <c r="F595" s="14"/>
      <c r="G595" s="14"/>
      <c r="H595" s="14"/>
      <c r="I595" s="14"/>
      <c r="J595" s="14"/>
      <c r="K595" s="14"/>
      <c r="L595" s="14"/>
      <c r="M595" s="14"/>
      <c r="N595" s="14"/>
      <c r="O595" s="14"/>
      <c r="P595" s="14"/>
      <c r="Q595" s="58"/>
      <c r="R595" s="58"/>
      <c r="S595" s="14"/>
      <c r="T595" s="14"/>
      <c r="U595" s="59"/>
      <c r="V595" s="59"/>
      <c r="W595" s="14"/>
      <c r="X595" s="14"/>
      <c r="Y595" s="60"/>
      <c r="Z595" s="60"/>
      <c r="AA595" s="60"/>
      <c r="AB595" s="60"/>
      <c r="AC595" s="60"/>
      <c r="AD595" s="60"/>
      <c r="AE595" s="60"/>
      <c r="AF595" s="14"/>
      <c r="AG595" s="14"/>
      <c r="AH595" s="14"/>
      <c r="AI595" s="14"/>
      <c r="AJ595" s="14"/>
      <c r="AK595" s="14"/>
      <c r="AL595" s="14"/>
      <c r="AM595" s="14"/>
      <c r="AN595" s="61"/>
    </row>
    <row r="596">
      <c r="A596" s="14"/>
      <c r="B596" s="14"/>
      <c r="C596" s="14"/>
      <c r="D596" s="14"/>
      <c r="E596" s="14"/>
      <c r="F596" s="14"/>
      <c r="G596" s="14"/>
      <c r="H596" s="14"/>
      <c r="I596" s="14"/>
      <c r="J596" s="14"/>
      <c r="K596" s="14"/>
      <c r="L596" s="14"/>
      <c r="M596" s="14"/>
      <c r="N596" s="14"/>
      <c r="O596" s="14"/>
      <c r="P596" s="14"/>
      <c r="Q596" s="58"/>
      <c r="R596" s="58"/>
      <c r="S596" s="14"/>
      <c r="T596" s="14"/>
      <c r="U596" s="59"/>
      <c r="V596" s="59"/>
      <c r="W596" s="14"/>
      <c r="X596" s="14"/>
      <c r="Y596" s="60"/>
      <c r="Z596" s="60"/>
      <c r="AA596" s="60"/>
      <c r="AB596" s="60"/>
      <c r="AC596" s="60"/>
      <c r="AD596" s="60"/>
      <c r="AE596" s="60"/>
      <c r="AF596" s="14"/>
      <c r="AG596" s="14"/>
      <c r="AH596" s="14"/>
      <c r="AI596" s="14"/>
      <c r="AJ596" s="14"/>
      <c r="AK596" s="14"/>
      <c r="AL596" s="14"/>
      <c r="AM596" s="14"/>
      <c r="AN596" s="61"/>
    </row>
    <row r="597">
      <c r="A597" s="14"/>
      <c r="B597" s="14"/>
      <c r="C597" s="14"/>
      <c r="D597" s="14"/>
      <c r="E597" s="14"/>
      <c r="F597" s="14"/>
      <c r="G597" s="14"/>
      <c r="H597" s="14"/>
      <c r="I597" s="14"/>
      <c r="J597" s="14"/>
      <c r="K597" s="14"/>
      <c r="L597" s="14"/>
      <c r="M597" s="14"/>
      <c r="N597" s="14"/>
      <c r="O597" s="14"/>
      <c r="P597" s="14"/>
      <c r="Q597" s="58"/>
      <c r="R597" s="58"/>
      <c r="S597" s="14"/>
      <c r="T597" s="14"/>
      <c r="U597" s="59"/>
      <c r="V597" s="59"/>
      <c r="W597" s="14"/>
      <c r="X597" s="14"/>
      <c r="Y597" s="60"/>
      <c r="Z597" s="60"/>
      <c r="AA597" s="60"/>
      <c r="AB597" s="60"/>
      <c r="AC597" s="60"/>
      <c r="AD597" s="60"/>
      <c r="AE597" s="60"/>
      <c r="AF597" s="14"/>
      <c r="AG597" s="14"/>
      <c r="AH597" s="14"/>
      <c r="AI597" s="14"/>
      <c r="AJ597" s="14"/>
      <c r="AK597" s="14"/>
      <c r="AL597" s="14"/>
      <c r="AM597" s="14"/>
      <c r="AN597" s="61"/>
    </row>
    <row r="598">
      <c r="A598" s="14"/>
      <c r="B598" s="14"/>
      <c r="C598" s="14"/>
      <c r="D598" s="14"/>
      <c r="E598" s="14"/>
      <c r="F598" s="14"/>
      <c r="G598" s="14"/>
      <c r="H598" s="14"/>
      <c r="I598" s="14"/>
      <c r="J598" s="14"/>
      <c r="K598" s="14"/>
      <c r="L598" s="14"/>
      <c r="M598" s="14"/>
      <c r="N598" s="14"/>
      <c r="O598" s="14"/>
      <c r="P598" s="14"/>
      <c r="Q598" s="58"/>
      <c r="R598" s="58"/>
      <c r="S598" s="14"/>
      <c r="T598" s="14"/>
      <c r="U598" s="59"/>
      <c r="V598" s="59"/>
      <c r="W598" s="14"/>
      <c r="X598" s="14"/>
      <c r="Y598" s="60"/>
      <c r="Z598" s="60"/>
      <c r="AA598" s="60"/>
      <c r="AB598" s="60"/>
      <c r="AC598" s="60"/>
      <c r="AD598" s="60"/>
      <c r="AE598" s="60"/>
      <c r="AF598" s="14"/>
      <c r="AG598" s="14"/>
      <c r="AH598" s="14"/>
      <c r="AI598" s="14"/>
      <c r="AJ598" s="14"/>
      <c r="AK598" s="14"/>
      <c r="AL598" s="14"/>
      <c r="AM598" s="14"/>
      <c r="AN598" s="61"/>
    </row>
    <row r="599">
      <c r="A599" s="14"/>
      <c r="B599" s="14"/>
      <c r="C599" s="14"/>
      <c r="D599" s="14"/>
      <c r="E599" s="14"/>
      <c r="F599" s="14"/>
      <c r="G599" s="14"/>
      <c r="H599" s="14"/>
      <c r="I599" s="14"/>
      <c r="J599" s="14"/>
      <c r="K599" s="14"/>
      <c r="L599" s="14"/>
      <c r="M599" s="14"/>
      <c r="N599" s="14"/>
      <c r="O599" s="14"/>
      <c r="P599" s="14"/>
      <c r="Q599" s="58"/>
      <c r="R599" s="58"/>
      <c r="S599" s="14"/>
      <c r="T599" s="14"/>
      <c r="U599" s="59"/>
      <c r="V599" s="59"/>
      <c r="W599" s="14"/>
      <c r="X599" s="14"/>
      <c r="Y599" s="60"/>
      <c r="Z599" s="60"/>
      <c r="AA599" s="60"/>
      <c r="AB599" s="60"/>
      <c r="AC599" s="60"/>
      <c r="AD599" s="60"/>
      <c r="AE599" s="60"/>
      <c r="AF599" s="14"/>
      <c r="AG599" s="14"/>
      <c r="AH599" s="14"/>
      <c r="AI599" s="14"/>
      <c r="AJ599" s="14"/>
      <c r="AK599" s="14"/>
      <c r="AL599" s="14"/>
      <c r="AM599" s="14"/>
      <c r="AN599" s="61"/>
    </row>
    <row r="600">
      <c r="A600" s="14"/>
      <c r="B600" s="14"/>
      <c r="C600" s="14"/>
      <c r="D600" s="14"/>
      <c r="E600" s="14"/>
      <c r="F600" s="14"/>
      <c r="G600" s="14"/>
      <c r="H600" s="14"/>
      <c r="I600" s="14"/>
      <c r="J600" s="14"/>
      <c r="K600" s="14"/>
      <c r="L600" s="14"/>
      <c r="M600" s="14"/>
      <c r="N600" s="14"/>
      <c r="O600" s="14"/>
      <c r="P600" s="14"/>
      <c r="Q600" s="58"/>
      <c r="R600" s="58"/>
      <c r="S600" s="14"/>
      <c r="T600" s="14"/>
      <c r="U600" s="59"/>
      <c r="V600" s="59"/>
      <c r="W600" s="14"/>
      <c r="X600" s="14"/>
      <c r="Y600" s="60"/>
      <c r="Z600" s="60"/>
      <c r="AA600" s="60"/>
      <c r="AB600" s="60"/>
      <c r="AC600" s="60"/>
      <c r="AD600" s="60"/>
      <c r="AE600" s="60"/>
      <c r="AF600" s="14"/>
      <c r="AG600" s="14"/>
      <c r="AH600" s="14"/>
      <c r="AI600" s="14"/>
      <c r="AJ600" s="14"/>
      <c r="AK600" s="14"/>
      <c r="AL600" s="14"/>
      <c r="AM600" s="14"/>
      <c r="AN600" s="61"/>
    </row>
    <row r="601">
      <c r="A601" s="14"/>
      <c r="B601" s="14"/>
      <c r="C601" s="14"/>
      <c r="D601" s="14"/>
      <c r="E601" s="14"/>
      <c r="F601" s="14"/>
      <c r="G601" s="14"/>
      <c r="H601" s="14"/>
      <c r="I601" s="14"/>
      <c r="J601" s="14"/>
      <c r="K601" s="14"/>
      <c r="L601" s="14"/>
      <c r="M601" s="14"/>
      <c r="N601" s="14"/>
      <c r="O601" s="14"/>
      <c r="P601" s="14"/>
      <c r="Q601" s="58"/>
      <c r="R601" s="58"/>
      <c r="S601" s="14"/>
      <c r="T601" s="14"/>
      <c r="U601" s="59"/>
      <c r="V601" s="59"/>
      <c r="W601" s="14"/>
      <c r="X601" s="14"/>
      <c r="Y601" s="60"/>
      <c r="Z601" s="60"/>
      <c r="AA601" s="60"/>
      <c r="AB601" s="60"/>
      <c r="AC601" s="60"/>
      <c r="AD601" s="60"/>
      <c r="AE601" s="60"/>
      <c r="AF601" s="14"/>
      <c r="AG601" s="14"/>
      <c r="AH601" s="14"/>
      <c r="AI601" s="14"/>
      <c r="AJ601" s="14"/>
      <c r="AK601" s="14"/>
      <c r="AL601" s="14"/>
      <c r="AM601" s="14"/>
      <c r="AN601" s="61"/>
    </row>
    <row r="602">
      <c r="A602" s="14"/>
      <c r="B602" s="14"/>
      <c r="C602" s="14"/>
      <c r="D602" s="14"/>
      <c r="E602" s="14"/>
      <c r="F602" s="14"/>
      <c r="G602" s="14"/>
      <c r="H602" s="14"/>
      <c r="I602" s="14"/>
      <c r="J602" s="14"/>
      <c r="K602" s="14"/>
      <c r="L602" s="14"/>
      <c r="M602" s="14"/>
      <c r="N602" s="14"/>
      <c r="O602" s="14"/>
      <c r="P602" s="14"/>
      <c r="Q602" s="58"/>
      <c r="R602" s="58"/>
      <c r="S602" s="14"/>
      <c r="T602" s="14"/>
      <c r="U602" s="59"/>
      <c r="V602" s="59"/>
      <c r="W602" s="14"/>
      <c r="X602" s="14"/>
      <c r="Y602" s="60"/>
      <c r="Z602" s="60"/>
      <c r="AA602" s="60"/>
      <c r="AB602" s="60"/>
      <c r="AC602" s="60"/>
      <c r="AD602" s="60"/>
      <c r="AE602" s="60"/>
      <c r="AF602" s="14"/>
      <c r="AG602" s="14"/>
      <c r="AH602" s="14"/>
      <c r="AI602" s="14"/>
      <c r="AJ602" s="14"/>
      <c r="AK602" s="14"/>
      <c r="AL602" s="14"/>
      <c r="AM602" s="14"/>
      <c r="AN602" s="61"/>
    </row>
    <row r="603">
      <c r="A603" s="14"/>
      <c r="B603" s="14"/>
      <c r="C603" s="14"/>
      <c r="D603" s="14"/>
      <c r="E603" s="14"/>
      <c r="F603" s="14"/>
      <c r="G603" s="14"/>
      <c r="H603" s="14"/>
      <c r="I603" s="14"/>
      <c r="J603" s="14"/>
      <c r="K603" s="14"/>
      <c r="L603" s="14"/>
      <c r="M603" s="14"/>
      <c r="N603" s="14"/>
      <c r="O603" s="14"/>
      <c r="P603" s="14"/>
      <c r="Q603" s="58"/>
      <c r="R603" s="58"/>
      <c r="S603" s="14"/>
      <c r="T603" s="14"/>
      <c r="U603" s="59"/>
      <c r="V603" s="59"/>
      <c r="W603" s="14"/>
      <c r="X603" s="14"/>
      <c r="Y603" s="60"/>
      <c r="Z603" s="60"/>
      <c r="AA603" s="60"/>
      <c r="AB603" s="60"/>
      <c r="AC603" s="60"/>
      <c r="AD603" s="60"/>
      <c r="AE603" s="60"/>
      <c r="AF603" s="14"/>
      <c r="AG603" s="14"/>
      <c r="AH603" s="14"/>
      <c r="AI603" s="14"/>
      <c r="AJ603" s="14"/>
      <c r="AK603" s="14"/>
      <c r="AL603" s="14"/>
      <c r="AM603" s="14"/>
      <c r="AN603" s="61"/>
    </row>
    <row r="604">
      <c r="A604" s="14"/>
      <c r="B604" s="14"/>
      <c r="C604" s="14"/>
      <c r="D604" s="14"/>
      <c r="E604" s="14"/>
      <c r="F604" s="14"/>
      <c r="G604" s="14"/>
      <c r="H604" s="14"/>
      <c r="I604" s="14"/>
      <c r="J604" s="14"/>
      <c r="K604" s="14"/>
      <c r="L604" s="14"/>
      <c r="M604" s="14"/>
      <c r="N604" s="14"/>
      <c r="O604" s="14"/>
      <c r="P604" s="14"/>
      <c r="Q604" s="58"/>
      <c r="R604" s="58"/>
      <c r="S604" s="14"/>
      <c r="T604" s="14"/>
      <c r="U604" s="59"/>
      <c r="V604" s="59"/>
      <c r="W604" s="14"/>
      <c r="X604" s="14"/>
      <c r="Y604" s="60"/>
      <c r="Z604" s="60"/>
      <c r="AA604" s="60"/>
      <c r="AB604" s="60"/>
      <c r="AC604" s="60"/>
      <c r="AD604" s="60"/>
      <c r="AE604" s="60"/>
      <c r="AF604" s="14"/>
      <c r="AG604" s="14"/>
      <c r="AH604" s="14"/>
      <c r="AI604" s="14"/>
      <c r="AJ604" s="14"/>
      <c r="AK604" s="14"/>
      <c r="AL604" s="14"/>
      <c r="AM604" s="14"/>
      <c r="AN604" s="61"/>
    </row>
    <row r="605">
      <c r="A605" s="14"/>
      <c r="B605" s="14"/>
      <c r="C605" s="14"/>
      <c r="D605" s="14"/>
      <c r="E605" s="14"/>
      <c r="F605" s="14"/>
      <c r="G605" s="14"/>
      <c r="H605" s="14"/>
      <c r="I605" s="14"/>
      <c r="J605" s="14"/>
      <c r="K605" s="14"/>
      <c r="L605" s="14"/>
      <c r="M605" s="14"/>
      <c r="N605" s="14"/>
      <c r="O605" s="14"/>
      <c r="P605" s="14"/>
      <c r="Q605" s="58"/>
      <c r="R605" s="58"/>
      <c r="S605" s="14"/>
      <c r="T605" s="14"/>
      <c r="U605" s="59"/>
      <c r="V605" s="59"/>
      <c r="W605" s="14"/>
      <c r="X605" s="14"/>
      <c r="Y605" s="60"/>
      <c r="Z605" s="60"/>
      <c r="AA605" s="60"/>
      <c r="AB605" s="60"/>
      <c r="AC605" s="60"/>
      <c r="AD605" s="60"/>
      <c r="AE605" s="60"/>
      <c r="AF605" s="14"/>
      <c r="AG605" s="14"/>
      <c r="AH605" s="14"/>
      <c r="AI605" s="14"/>
      <c r="AJ605" s="14"/>
      <c r="AK605" s="14"/>
      <c r="AL605" s="14"/>
      <c r="AM605" s="14"/>
      <c r="AN605" s="61"/>
    </row>
    <row r="606">
      <c r="A606" s="14"/>
      <c r="B606" s="14"/>
      <c r="C606" s="14"/>
      <c r="D606" s="14"/>
      <c r="E606" s="14"/>
      <c r="F606" s="14"/>
      <c r="G606" s="14"/>
      <c r="H606" s="14"/>
      <c r="I606" s="14"/>
      <c r="J606" s="14"/>
      <c r="K606" s="14"/>
      <c r="L606" s="14"/>
      <c r="M606" s="14"/>
      <c r="N606" s="14"/>
      <c r="O606" s="14"/>
      <c r="P606" s="14"/>
      <c r="Q606" s="58"/>
      <c r="R606" s="58"/>
      <c r="S606" s="14"/>
      <c r="T606" s="14"/>
      <c r="U606" s="59"/>
      <c r="V606" s="59"/>
      <c r="W606" s="14"/>
      <c r="X606" s="14"/>
      <c r="Y606" s="60"/>
      <c r="Z606" s="60"/>
      <c r="AA606" s="60"/>
      <c r="AB606" s="60"/>
      <c r="AC606" s="60"/>
      <c r="AD606" s="60"/>
      <c r="AE606" s="60"/>
      <c r="AF606" s="14"/>
      <c r="AG606" s="14"/>
      <c r="AH606" s="14"/>
      <c r="AI606" s="14"/>
      <c r="AJ606" s="14"/>
      <c r="AK606" s="14"/>
      <c r="AL606" s="14"/>
      <c r="AM606" s="14"/>
      <c r="AN606" s="61"/>
    </row>
    <row r="607">
      <c r="A607" s="14"/>
      <c r="B607" s="14"/>
      <c r="C607" s="14"/>
      <c r="D607" s="14"/>
      <c r="E607" s="14"/>
      <c r="F607" s="14"/>
      <c r="G607" s="14"/>
      <c r="H607" s="14"/>
      <c r="I607" s="14"/>
      <c r="J607" s="14"/>
      <c r="K607" s="14"/>
      <c r="L607" s="14"/>
      <c r="M607" s="14"/>
      <c r="N607" s="14"/>
      <c r="O607" s="14"/>
      <c r="P607" s="14"/>
      <c r="Q607" s="58"/>
      <c r="R607" s="58"/>
      <c r="S607" s="14"/>
      <c r="T607" s="14"/>
      <c r="U607" s="59"/>
      <c r="V607" s="59"/>
      <c r="W607" s="14"/>
      <c r="X607" s="14"/>
      <c r="Y607" s="60"/>
      <c r="Z607" s="60"/>
      <c r="AA607" s="60"/>
      <c r="AB607" s="60"/>
      <c r="AC607" s="60"/>
      <c r="AD607" s="60"/>
      <c r="AE607" s="60"/>
      <c r="AF607" s="14"/>
      <c r="AG607" s="14"/>
      <c r="AH607" s="14"/>
      <c r="AI607" s="14"/>
      <c r="AJ607" s="14"/>
      <c r="AK607" s="14"/>
      <c r="AL607" s="14"/>
      <c r="AM607" s="14"/>
      <c r="AN607" s="61"/>
    </row>
    <row r="608">
      <c r="A608" s="14"/>
      <c r="B608" s="14"/>
      <c r="C608" s="14"/>
      <c r="D608" s="14"/>
      <c r="E608" s="14"/>
      <c r="F608" s="14"/>
      <c r="G608" s="14"/>
      <c r="H608" s="14"/>
      <c r="I608" s="14"/>
      <c r="J608" s="14"/>
      <c r="K608" s="14"/>
      <c r="L608" s="14"/>
      <c r="M608" s="14"/>
      <c r="N608" s="14"/>
      <c r="O608" s="14"/>
      <c r="P608" s="14"/>
      <c r="Q608" s="58"/>
      <c r="R608" s="58"/>
      <c r="S608" s="14"/>
      <c r="T608" s="14"/>
      <c r="U608" s="59"/>
      <c r="V608" s="59"/>
      <c r="W608" s="14"/>
      <c r="X608" s="14"/>
      <c r="Y608" s="60"/>
      <c r="Z608" s="60"/>
      <c r="AA608" s="60"/>
      <c r="AB608" s="60"/>
      <c r="AC608" s="60"/>
      <c r="AD608" s="60"/>
      <c r="AE608" s="60"/>
      <c r="AF608" s="14"/>
      <c r="AG608" s="14"/>
      <c r="AH608" s="14"/>
      <c r="AI608" s="14"/>
      <c r="AJ608" s="14"/>
      <c r="AK608" s="14"/>
      <c r="AL608" s="14"/>
      <c r="AM608" s="14"/>
      <c r="AN608" s="61"/>
    </row>
    <row r="609">
      <c r="A609" s="14"/>
      <c r="B609" s="14"/>
      <c r="C609" s="14"/>
      <c r="D609" s="14"/>
      <c r="E609" s="14"/>
      <c r="F609" s="14"/>
      <c r="G609" s="14"/>
      <c r="H609" s="14"/>
      <c r="I609" s="14"/>
      <c r="J609" s="14"/>
      <c r="K609" s="14"/>
      <c r="L609" s="14"/>
      <c r="M609" s="14"/>
      <c r="N609" s="14"/>
      <c r="O609" s="14"/>
      <c r="P609" s="14"/>
      <c r="Q609" s="58"/>
      <c r="R609" s="58"/>
      <c r="S609" s="14"/>
      <c r="T609" s="14"/>
      <c r="U609" s="59"/>
      <c r="V609" s="59"/>
      <c r="W609" s="14"/>
      <c r="X609" s="14"/>
      <c r="Y609" s="60"/>
      <c r="Z609" s="60"/>
      <c r="AA609" s="60"/>
      <c r="AB609" s="60"/>
      <c r="AC609" s="60"/>
      <c r="AD609" s="60"/>
      <c r="AE609" s="60"/>
      <c r="AF609" s="14"/>
      <c r="AG609" s="14"/>
      <c r="AH609" s="14"/>
      <c r="AI609" s="14"/>
      <c r="AJ609" s="14"/>
      <c r="AK609" s="14"/>
      <c r="AL609" s="14"/>
      <c r="AM609" s="14"/>
      <c r="AN609" s="61"/>
    </row>
    <row r="610">
      <c r="A610" s="14"/>
      <c r="B610" s="14"/>
      <c r="C610" s="14"/>
      <c r="D610" s="14"/>
      <c r="E610" s="14"/>
      <c r="F610" s="14"/>
      <c r="G610" s="14"/>
      <c r="H610" s="14"/>
      <c r="I610" s="14"/>
      <c r="J610" s="14"/>
      <c r="K610" s="14"/>
      <c r="L610" s="14"/>
      <c r="M610" s="14"/>
      <c r="N610" s="14"/>
      <c r="O610" s="14"/>
      <c r="P610" s="14"/>
      <c r="Q610" s="58"/>
      <c r="R610" s="58"/>
      <c r="S610" s="14"/>
      <c r="T610" s="14"/>
      <c r="U610" s="59"/>
      <c r="V610" s="59"/>
      <c r="W610" s="14"/>
      <c r="X610" s="14"/>
      <c r="Y610" s="60"/>
      <c r="Z610" s="60"/>
      <c r="AA610" s="60"/>
      <c r="AB610" s="60"/>
      <c r="AC610" s="60"/>
      <c r="AD610" s="60"/>
      <c r="AE610" s="60"/>
      <c r="AF610" s="14"/>
      <c r="AG610" s="14"/>
      <c r="AH610" s="14"/>
      <c r="AI610" s="14"/>
      <c r="AJ610" s="14"/>
      <c r="AK610" s="14"/>
      <c r="AL610" s="14"/>
      <c r="AM610" s="14"/>
      <c r="AN610" s="61"/>
    </row>
    <row r="611">
      <c r="A611" s="14"/>
      <c r="B611" s="14"/>
      <c r="C611" s="14"/>
      <c r="D611" s="14"/>
      <c r="E611" s="14"/>
      <c r="F611" s="14"/>
      <c r="G611" s="14"/>
      <c r="H611" s="14"/>
      <c r="I611" s="14"/>
      <c r="J611" s="14"/>
      <c r="K611" s="14"/>
      <c r="L611" s="14"/>
      <c r="M611" s="14"/>
      <c r="N611" s="14"/>
      <c r="O611" s="14"/>
      <c r="P611" s="14"/>
      <c r="Q611" s="58"/>
      <c r="R611" s="58"/>
      <c r="S611" s="14"/>
      <c r="T611" s="14"/>
      <c r="U611" s="59"/>
      <c r="V611" s="59"/>
      <c r="W611" s="14"/>
      <c r="X611" s="14"/>
      <c r="Y611" s="60"/>
      <c r="Z611" s="60"/>
      <c r="AA611" s="60"/>
      <c r="AB611" s="60"/>
      <c r="AC611" s="60"/>
      <c r="AD611" s="60"/>
      <c r="AE611" s="60"/>
      <c r="AF611" s="14"/>
      <c r="AG611" s="14"/>
      <c r="AH611" s="14"/>
      <c r="AI611" s="14"/>
      <c r="AJ611" s="14"/>
      <c r="AK611" s="14"/>
      <c r="AL611" s="14"/>
      <c r="AM611" s="14"/>
      <c r="AN611" s="61"/>
    </row>
    <row r="612">
      <c r="A612" s="14"/>
      <c r="B612" s="14"/>
      <c r="C612" s="14"/>
      <c r="D612" s="14"/>
      <c r="E612" s="14"/>
      <c r="F612" s="14"/>
      <c r="G612" s="14"/>
      <c r="H612" s="14"/>
      <c r="I612" s="14"/>
      <c r="J612" s="14"/>
      <c r="K612" s="14"/>
      <c r="L612" s="14"/>
      <c r="M612" s="14"/>
      <c r="N612" s="14"/>
      <c r="O612" s="14"/>
      <c r="P612" s="14"/>
      <c r="Q612" s="58"/>
      <c r="R612" s="58"/>
      <c r="S612" s="14"/>
      <c r="T612" s="14"/>
      <c r="U612" s="59"/>
      <c r="V612" s="59"/>
      <c r="W612" s="14"/>
      <c r="X612" s="14"/>
      <c r="Y612" s="60"/>
      <c r="Z612" s="60"/>
      <c r="AA612" s="60"/>
      <c r="AB612" s="60"/>
      <c r="AC612" s="60"/>
      <c r="AD612" s="60"/>
      <c r="AE612" s="60"/>
      <c r="AF612" s="14"/>
      <c r="AG612" s="14"/>
      <c r="AH612" s="14"/>
      <c r="AI612" s="14"/>
      <c r="AJ612" s="14"/>
      <c r="AK612" s="14"/>
      <c r="AL612" s="14"/>
      <c r="AM612" s="14"/>
      <c r="AN612" s="61"/>
    </row>
    <row r="613">
      <c r="A613" s="14"/>
      <c r="B613" s="14"/>
      <c r="C613" s="14"/>
      <c r="D613" s="14"/>
      <c r="E613" s="14"/>
      <c r="F613" s="14"/>
      <c r="G613" s="14"/>
      <c r="H613" s="14"/>
      <c r="I613" s="14"/>
      <c r="J613" s="14"/>
      <c r="K613" s="14"/>
      <c r="L613" s="14"/>
      <c r="M613" s="14"/>
      <c r="N613" s="14"/>
      <c r="O613" s="14"/>
      <c r="P613" s="14"/>
      <c r="Q613" s="58"/>
      <c r="R613" s="58"/>
      <c r="S613" s="14"/>
      <c r="T613" s="14"/>
      <c r="U613" s="59"/>
      <c r="V613" s="59"/>
      <c r="W613" s="14"/>
      <c r="X613" s="14"/>
      <c r="Y613" s="60"/>
      <c r="Z613" s="60"/>
      <c r="AA613" s="60"/>
      <c r="AB613" s="60"/>
      <c r="AC613" s="60"/>
      <c r="AD613" s="60"/>
      <c r="AE613" s="60"/>
      <c r="AF613" s="14"/>
      <c r="AG613" s="14"/>
      <c r="AH613" s="14"/>
      <c r="AI613" s="14"/>
      <c r="AJ613" s="14"/>
      <c r="AK613" s="14"/>
      <c r="AL613" s="14"/>
      <c r="AM613" s="14"/>
      <c r="AN613" s="61"/>
    </row>
    <row r="614">
      <c r="A614" s="14"/>
      <c r="B614" s="14"/>
      <c r="C614" s="14"/>
      <c r="D614" s="14"/>
      <c r="E614" s="14"/>
      <c r="F614" s="14"/>
      <c r="G614" s="14"/>
      <c r="H614" s="14"/>
      <c r="I614" s="14"/>
      <c r="J614" s="14"/>
      <c r="K614" s="14"/>
      <c r="L614" s="14"/>
      <c r="M614" s="14"/>
      <c r="N614" s="14"/>
      <c r="O614" s="14"/>
      <c r="P614" s="14"/>
      <c r="Q614" s="58"/>
      <c r="R614" s="58"/>
      <c r="S614" s="14"/>
      <c r="T614" s="14"/>
      <c r="U614" s="59"/>
      <c r="V614" s="59"/>
      <c r="W614" s="14"/>
      <c r="X614" s="14"/>
      <c r="Y614" s="60"/>
      <c r="Z614" s="60"/>
      <c r="AA614" s="60"/>
      <c r="AB614" s="60"/>
      <c r="AC614" s="60"/>
      <c r="AD614" s="60"/>
      <c r="AE614" s="60"/>
      <c r="AF614" s="14"/>
      <c r="AG614" s="14"/>
      <c r="AH614" s="14"/>
      <c r="AI614" s="14"/>
      <c r="AJ614" s="14"/>
      <c r="AK614" s="14"/>
      <c r="AL614" s="14"/>
      <c r="AM614" s="14"/>
      <c r="AN614" s="61"/>
    </row>
    <row r="615">
      <c r="A615" s="14"/>
      <c r="B615" s="14"/>
      <c r="C615" s="14"/>
      <c r="D615" s="14"/>
      <c r="E615" s="14"/>
      <c r="F615" s="14"/>
      <c r="G615" s="14"/>
      <c r="H615" s="14"/>
      <c r="I615" s="14"/>
      <c r="J615" s="14"/>
      <c r="K615" s="14"/>
      <c r="L615" s="14"/>
      <c r="M615" s="14"/>
      <c r="N615" s="14"/>
      <c r="O615" s="14"/>
      <c r="P615" s="14"/>
      <c r="Q615" s="58"/>
      <c r="R615" s="58"/>
      <c r="S615" s="14"/>
      <c r="T615" s="14"/>
      <c r="U615" s="59"/>
      <c r="V615" s="59"/>
      <c r="W615" s="14"/>
      <c r="X615" s="14"/>
      <c r="Y615" s="60"/>
      <c r="Z615" s="60"/>
      <c r="AA615" s="60"/>
      <c r="AB615" s="60"/>
      <c r="AC615" s="60"/>
      <c r="AD615" s="60"/>
      <c r="AE615" s="60"/>
      <c r="AF615" s="14"/>
      <c r="AG615" s="14"/>
      <c r="AH615" s="14"/>
      <c r="AI615" s="14"/>
      <c r="AJ615" s="14"/>
      <c r="AK615" s="14"/>
      <c r="AL615" s="14"/>
      <c r="AM615" s="14"/>
      <c r="AN615" s="61"/>
    </row>
    <row r="616">
      <c r="A616" s="14"/>
      <c r="B616" s="14"/>
      <c r="C616" s="14"/>
      <c r="D616" s="14"/>
      <c r="E616" s="14"/>
      <c r="F616" s="14"/>
      <c r="G616" s="14"/>
      <c r="H616" s="14"/>
      <c r="I616" s="14"/>
      <c r="J616" s="14"/>
      <c r="K616" s="14"/>
      <c r="L616" s="14"/>
      <c r="M616" s="14"/>
      <c r="N616" s="14"/>
      <c r="O616" s="14"/>
      <c r="P616" s="14"/>
      <c r="Q616" s="58"/>
      <c r="R616" s="58"/>
      <c r="S616" s="14"/>
      <c r="T616" s="14"/>
      <c r="U616" s="59"/>
      <c r="V616" s="59"/>
      <c r="W616" s="14"/>
      <c r="X616" s="14"/>
      <c r="Y616" s="60"/>
      <c r="Z616" s="60"/>
      <c r="AA616" s="60"/>
      <c r="AB616" s="60"/>
      <c r="AC616" s="60"/>
      <c r="AD616" s="60"/>
      <c r="AE616" s="60"/>
      <c r="AF616" s="14"/>
      <c r="AG616" s="14"/>
      <c r="AH616" s="14"/>
      <c r="AI616" s="14"/>
      <c r="AJ616" s="14"/>
      <c r="AK616" s="14"/>
      <c r="AL616" s="14"/>
      <c r="AM616" s="14"/>
      <c r="AN616" s="61"/>
    </row>
    <row r="617">
      <c r="A617" s="14"/>
      <c r="B617" s="14"/>
      <c r="C617" s="14"/>
      <c r="D617" s="14"/>
      <c r="E617" s="14"/>
      <c r="F617" s="14"/>
      <c r="G617" s="14"/>
      <c r="H617" s="14"/>
      <c r="I617" s="14"/>
      <c r="J617" s="14"/>
      <c r="K617" s="14"/>
      <c r="L617" s="14"/>
      <c r="M617" s="14"/>
      <c r="N617" s="14"/>
      <c r="O617" s="14"/>
      <c r="P617" s="14"/>
      <c r="Q617" s="58"/>
      <c r="R617" s="58"/>
      <c r="S617" s="14"/>
      <c r="T617" s="14"/>
      <c r="U617" s="59"/>
      <c r="V617" s="59"/>
      <c r="W617" s="14"/>
      <c r="X617" s="14"/>
      <c r="Y617" s="60"/>
      <c r="Z617" s="60"/>
      <c r="AA617" s="60"/>
      <c r="AB617" s="60"/>
      <c r="AC617" s="60"/>
      <c r="AD617" s="60"/>
      <c r="AE617" s="60"/>
      <c r="AF617" s="14"/>
      <c r="AG617" s="14"/>
      <c r="AH617" s="14"/>
      <c r="AI617" s="14"/>
      <c r="AJ617" s="14"/>
      <c r="AK617" s="14"/>
      <c r="AL617" s="14"/>
      <c r="AM617" s="14"/>
      <c r="AN617" s="61"/>
    </row>
    <row r="618">
      <c r="A618" s="14"/>
      <c r="B618" s="14"/>
      <c r="C618" s="14"/>
      <c r="D618" s="14"/>
      <c r="E618" s="14"/>
      <c r="F618" s="14"/>
      <c r="G618" s="14"/>
      <c r="H618" s="14"/>
      <c r="I618" s="14"/>
      <c r="J618" s="14"/>
      <c r="K618" s="14"/>
      <c r="L618" s="14"/>
      <c r="M618" s="14"/>
      <c r="N618" s="14"/>
      <c r="O618" s="14"/>
      <c r="P618" s="14"/>
      <c r="Q618" s="58"/>
      <c r="R618" s="58"/>
      <c r="S618" s="14"/>
      <c r="T618" s="14"/>
      <c r="U618" s="59"/>
      <c r="V618" s="59"/>
      <c r="W618" s="14"/>
      <c r="X618" s="14"/>
      <c r="Y618" s="60"/>
      <c r="Z618" s="60"/>
      <c r="AA618" s="60"/>
      <c r="AB618" s="60"/>
      <c r="AC618" s="60"/>
      <c r="AD618" s="60"/>
      <c r="AE618" s="60"/>
      <c r="AF618" s="14"/>
      <c r="AG618" s="14"/>
      <c r="AH618" s="14"/>
      <c r="AI618" s="14"/>
      <c r="AJ618" s="14"/>
      <c r="AK618" s="14"/>
      <c r="AL618" s="14"/>
      <c r="AM618" s="14"/>
      <c r="AN618" s="61"/>
    </row>
    <row r="619">
      <c r="A619" s="14"/>
      <c r="B619" s="14"/>
      <c r="C619" s="14"/>
      <c r="D619" s="14"/>
      <c r="E619" s="14"/>
      <c r="F619" s="14"/>
      <c r="G619" s="14"/>
      <c r="H619" s="14"/>
      <c r="I619" s="14"/>
      <c r="J619" s="14"/>
      <c r="K619" s="14"/>
      <c r="L619" s="14"/>
      <c r="M619" s="14"/>
      <c r="N619" s="14"/>
      <c r="O619" s="14"/>
      <c r="P619" s="14"/>
      <c r="Q619" s="58"/>
      <c r="R619" s="58"/>
      <c r="S619" s="14"/>
      <c r="T619" s="14"/>
      <c r="U619" s="59"/>
      <c r="V619" s="59"/>
      <c r="W619" s="14"/>
      <c r="X619" s="14"/>
      <c r="Y619" s="60"/>
      <c r="Z619" s="60"/>
      <c r="AA619" s="60"/>
      <c r="AB619" s="60"/>
      <c r="AC619" s="60"/>
      <c r="AD619" s="60"/>
      <c r="AE619" s="60"/>
      <c r="AF619" s="14"/>
      <c r="AG619" s="14"/>
      <c r="AH619" s="14"/>
      <c r="AI619" s="14"/>
      <c r="AJ619" s="14"/>
      <c r="AK619" s="14"/>
      <c r="AL619" s="14"/>
      <c r="AM619" s="14"/>
      <c r="AN619" s="61"/>
    </row>
    <row r="620">
      <c r="A620" s="14"/>
      <c r="B620" s="14"/>
      <c r="C620" s="14"/>
      <c r="D620" s="14"/>
      <c r="E620" s="14"/>
      <c r="F620" s="14"/>
      <c r="G620" s="14"/>
      <c r="H620" s="14"/>
      <c r="I620" s="14"/>
      <c r="J620" s="14"/>
      <c r="K620" s="14"/>
      <c r="L620" s="14"/>
      <c r="M620" s="14"/>
      <c r="N620" s="14"/>
      <c r="O620" s="14"/>
      <c r="P620" s="14"/>
      <c r="Q620" s="58"/>
      <c r="R620" s="58"/>
      <c r="S620" s="14"/>
      <c r="T620" s="14"/>
      <c r="U620" s="59"/>
      <c r="V620" s="59"/>
      <c r="W620" s="14"/>
      <c r="X620" s="14"/>
      <c r="Y620" s="60"/>
      <c r="Z620" s="60"/>
      <c r="AA620" s="60"/>
      <c r="AB620" s="60"/>
      <c r="AC620" s="60"/>
      <c r="AD620" s="60"/>
      <c r="AE620" s="60"/>
      <c r="AF620" s="14"/>
      <c r="AG620" s="14"/>
      <c r="AH620" s="14"/>
      <c r="AI620" s="14"/>
      <c r="AJ620" s="14"/>
      <c r="AK620" s="14"/>
      <c r="AL620" s="14"/>
      <c r="AM620" s="14"/>
      <c r="AN620" s="61"/>
    </row>
    <row r="621">
      <c r="A621" s="14"/>
      <c r="B621" s="14"/>
      <c r="C621" s="14"/>
      <c r="D621" s="14"/>
      <c r="E621" s="14"/>
      <c r="F621" s="14"/>
      <c r="G621" s="14"/>
      <c r="H621" s="14"/>
      <c r="I621" s="14"/>
      <c r="J621" s="14"/>
      <c r="K621" s="14"/>
      <c r="L621" s="14"/>
      <c r="M621" s="14"/>
      <c r="N621" s="14"/>
      <c r="O621" s="14"/>
      <c r="P621" s="14"/>
      <c r="Q621" s="58"/>
      <c r="R621" s="58"/>
      <c r="S621" s="14"/>
      <c r="T621" s="14"/>
      <c r="U621" s="59"/>
      <c r="V621" s="59"/>
      <c r="W621" s="14"/>
      <c r="X621" s="14"/>
      <c r="Y621" s="60"/>
      <c r="Z621" s="60"/>
      <c r="AA621" s="60"/>
      <c r="AB621" s="60"/>
      <c r="AC621" s="60"/>
      <c r="AD621" s="60"/>
      <c r="AE621" s="60"/>
      <c r="AF621" s="14"/>
      <c r="AG621" s="14"/>
      <c r="AH621" s="14"/>
      <c r="AI621" s="14"/>
      <c r="AJ621" s="14"/>
      <c r="AK621" s="14"/>
      <c r="AL621" s="14"/>
      <c r="AM621" s="14"/>
      <c r="AN621" s="61"/>
    </row>
    <row r="622">
      <c r="A622" s="14"/>
      <c r="B622" s="14"/>
      <c r="C622" s="14"/>
      <c r="D622" s="14"/>
      <c r="E622" s="14"/>
      <c r="F622" s="14"/>
      <c r="G622" s="14"/>
      <c r="H622" s="14"/>
      <c r="I622" s="14"/>
      <c r="J622" s="14"/>
      <c r="K622" s="14"/>
      <c r="L622" s="14"/>
      <c r="M622" s="14"/>
      <c r="N622" s="14"/>
      <c r="O622" s="14"/>
      <c r="P622" s="14"/>
      <c r="Q622" s="58"/>
      <c r="R622" s="58"/>
      <c r="S622" s="14"/>
      <c r="T622" s="14"/>
      <c r="U622" s="59"/>
      <c r="V622" s="59"/>
      <c r="W622" s="14"/>
      <c r="X622" s="14"/>
      <c r="Y622" s="60"/>
      <c r="Z622" s="60"/>
      <c r="AA622" s="60"/>
      <c r="AB622" s="60"/>
      <c r="AC622" s="60"/>
      <c r="AD622" s="60"/>
      <c r="AE622" s="60"/>
      <c r="AF622" s="14"/>
      <c r="AG622" s="14"/>
      <c r="AH622" s="14"/>
      <c r="AI622" s="14"/>
      <c r="AJ622" s="14"/>
      <c r="AK622" s="14"/>
      <c r="AL622" s="14"/>
      <c r="AM622" s="14"/>
      <c r="AN622" s="61"/>
    </row>
    <row r="623">
      <c r="A623" s="14"/>
      <c r="B623" s="14"/>
      <c r="C623" s="14"/>
      <c r="D623" s="14"/>
      <c r="E623" s="14"/>
      <c r="F623" s="14"/>
      <c r="G623" s="14"/>
      <c r="H623" s="14"/>
      <c r="I623" s="14"/>
      <c r="J623" s="14"/>
      <c r="K623" s="14"/>
      <c r="L623" s="14"/>
      <c r="M623" s="14"/>
      <c r="N623" s="14"/>
      <c r="O623" s="14"/>
      <c r="P623" s="14"/>
      <c r="Q623" s="58"/>
      <c r="R623" s="58"/>
      <c r="S623" s="14"/>
      <c r="T623" s="14"/>
      <c r="U623" s="59"/>
      <c r="V623" s="59"/>
      <c r="W623" s="14"/>
      <c r="X623" s="14"/>
      <c r="Y623" s="60"/>
      <c r="Z623" s="60"/>
      <c r="AA623" s="60"/>
      <c r="AB623" s="60"/>
      <c r="AC623" s="60"/>
      <c r="AD623" s="60"/>
      <c r="AE623" s="60"/>
      <c r="AF623" s="14"/>
      <c r="AG623" s="14"/>
      <c r="AH623" s="14"/>
      <c r="AI623" s="14"/>
      <c r="AJ623" s="14"/>
      <c r="AK623" s="14"/>
      <c r="AL623" s="14"/>
      <c r="AM623" s="14"/>
      <c r="AN623" s="61"/>
    </row>
    <row r="624">
      <c r="A624" s="14"/>
      <c r="B624" s="14"/>
      <c r="C624" s="14"/>
      <c r="D624" s="14"/>
      <c r="E624" s="14"/>
      <c r="F624" s="14"/>
      <c r="G624" s="14"/>
      <c r="H624" s="14"/>
      <c r="I624" s="14"/>
      <c r="J624" s="14"/>
      <c r="K624" s="14"/>
      <c r="L624" s="14"/>
      <c r="M624" s="14"/>
      <c r="N624" s="14"/>
      <c r="O624" s="14"/>
      <c r="P624" s="14"/>
      <c r="Q624" s="58"/>
      <c r="R624" s="58"/>
      <c r="S624" s="14"/>
      <c r="T624" s="14"/>
      <c r="U624" s="59"/>
      <c r="V624" s="59"/>
      <c r="W624" s="14"/>
      <c r="X624" s="14"/>
      <c r="Y624" s="60"/>
      <c r="Z624" s="60"/>
      <c r="AA624" s="60"/>
      <c r="AB624" s="60"/>
      <c r="AC624" s="60"/>
      <c r="AD624" s="60"/>
      <c r="AE624" s="60"/>
      <c r="AF624" s="14"/>
      <c r="AG624" s="14"/>
      <c r="AH624" s="14"/>
      <c r="AI624" s="14"/>
      <c r="AJ624" s="14"/>
      <c r="AK624" s="14"/>
      <c r="AL624" s="14"/>
      <c r="AM624" s="14"/>
      <c r="AN624" s="61"/>
    </row>
    <row r="625">
      <c r="A625" s="14"/>
      <c r="B625" s="14"/>
      <c r="C625" s="14"/>
      <c r="D625" s="14"/>
      <c r="E625" s="14"/>
      <c r="F625" s="14"/>
      <c r="G625" s="14"/>
      <c r="H625" s="14"/>
      <c r="I625" s="14"/>
      <c r="J625" s="14"/>
      <c r="K625" s="14"/>
      <c r="L625" s="14"/>
      <c r="M625" s="14"/>
      <c r="N625" s="14"/>
      <c r="O625" s="14"/>
      <c r="P625" s="14"/>
      <c r="Q625" s="58"/>
      <c r="R625" s="58"/>
      <c r="S625" s="14"/>
      <c r="T625" s="14"/>
      <c r="U625" s="59"/>
      <c r="V625" s="59"/>
      <c r="W625" s="14"/>
      <c r="X625" s="14"/>
      <c r="Y625" s="60"/>
      <c r="Z625" s="60"/>
      <c r="AA625" s="60"/>
      <c r="AB625" s="60"/>
      <c r="AC625" s="60"/>
      <c r="AD625" s="60"/>
      <c r="AE625" s="60"/>
      <c r="AF625" s="14"/>
      <c r="AG625" s="14"/>
      <c r="AH625" s="14"/>
      <c r="AI625" s="14"/>
      <c r="AJ625" s="14"/>
      <c r="AK625" s="14"/>
      <c r="AL625" s="14"/>
      <c r="AM625" s="14"/>
      <c r="AN625" s="61"/>
    </row>
    <row r="626">
      <c r="A626" s="14"/>
      <c r="B626" s="14"/>
      <c r="C626" s="14"/>
      <c r="D626" s="14"/>
      <c r="E626" s="14"/>
      <c r="F626" s="14"/>
      <c r="G626" s="14"/>
      <c r="H626" s="14"/>
      <c r="I626" s="14"/>
      <c r="J626" s="14"/>
      <c r="K626" s="14"/>
      <c r="L626" s="14"/>
      <c r="M626" s="14"/>
      <c r="N626" s="14"/>
      <c r="O626" s="14"/>
      <c r="P626" s="14"/>
      <c r="Q626" s="58"/>
      <c r="R626" s="58"/>
      <c r="S626" s="14"/>
      <c r="T626" s="14"/>
      <c r="U626" s="59"/>
      <c r="V626" s="59"/>
      <c r="W626" s="14"/>
      <c r="X626" s="14"/>
      <c r="Y626" s="60"/>
      <c r="Z626" s="60"/>
      <c r="AA626" s="60"/>
      <c r="AB626" s="60"/>
      <c r="AC626" s="60"/>
      <c r="AD626" s="60"/>
      <c r="AE626" s="60"/>
      <c r="AF626" s="14"/>
      <c r="AG626" s="14"/>
      <c r="AH626" s="14"/>
      <c r="AI626" s="14"/>
      <c r="AJ626" s="14"/>
      <c r="AK626" s="14"/>
      <c r="AL626" s="14"/>
      <c r="AM626" s="14"/>
      <c r="AN626" s="61"/>
    </row>
    <row r="627">
      <c r="A627" s="14"/>
      <c r="B627" s="14"/>
      <c r="C627" s="14"/>
      <c r="D627" s="14"/>
      <c r="E627" s="14"/>
      <c r="F627" s="14"/>
      <c r="G627" s="14"/>
      <c r="H627" s="14"/>
      <c r="I627" s="14"/>
      <c r="J627" s="14"/>
      <c r="K627" s="14"/>
      <c r="L627" s="14"/>
      <c r="M627" s="14"/>
      <c r="N627" s="14"/>
      <c r="O627" s="14"/>
      <c r="P627" s="14"/>
      <c r="Q627" s="58"/>
      <c r="R627" s="58"/>
      <c r="S627" s="14"/>
      <c r="T627" s="14"/>
      <c r="U627" s="59"/>
      <c r="V627" s="59"/>
      <c r="W627" s="14"/>
      <c r="X627" s="14"/>
      <c r="Y627" s="60"/>
      <c r="Z627" s="60"/>
      <c r="AA627" s="60"/>
      <c r="AB627" s="60"/>
      <c r="AC627" s="60"/>
      <c r="AD627" s="60"/>
      <c r="AE627" s="60"/>
      <c r="AF627" s="14"/>
      <c r="AG627" s="14"/>
      <c r="AH627" s="14"/>
      <c r="AI627" s="14"/>
      <c r="AJ627" s="14"/>
      <c r="AK627" s="14"/>
      <c r="AL627" s="14"/>
      <c r="AM627" s="14"/>
      <c r="AN627" s="61"/>
    </row>
    <row r="628">
      <c r="A628" s="14"/>
      <c r="B628" s="14"/>
      <c r="C628" s="14"/>
      <c r="D628" s="14"/>
      <c r="E628" s="14"/>
      <c r="F628" s="14"/>
      <c r="G628" s="14"/>
      <c r="H628" s="14"/>
      <c r="I628" s="14"/>
      <c r="J628" s="14"/>
      <c r="K628" s="14"/>
      <c r="L628" s="14"/>
      <c r="M628" s="14"/>
      <c r="N628" s="14"/>
      <c r="O628" s="14"/>
      <c r="P628" s="14"/>
      <c r="Q628" s="58"/>
      <c r="R628" s="58"/>
      <c r="S628" s="14"/>
      <c r="T628" s="14"/>
      <c r="U628" s="59"/>
      <c r="V628" s="59"/>
      <c r="W628" s="14"/>
      <c r="X628" s="14"/>
      <c r="Y628" s="60"/>
      <c r="Z628" s="60"/>
      <c r="AA628" s="60"/>
      <c r="AB628" s="60"/>
      <c r="AC628" s="60"/>
      <c r="AD628" s="60"/>
      <c r="AE628" s="60"/>
      <c r="AF628" s="14"/>
      <c r="AG628" s="14"/>
      <c r="AH628" s="14"/>
      <c r="AI628" s="14"/>
      <c r="AJ628" s="14"/>
      <c r="AK628" s="14"/>
      <c r="AL628" s="14"/>
      <c r="AM628" s="14"/>
      <c r="AN628" s="61"/>
    </row>
    <row r="629">
      <c r="A629" s="14"/>
      <c r="B629" s="14"/>
      <c r="C629" s="14"/>
      <c r="D629" s="14"/>
      <c r="E629" s="14"/>
      <c r="F629" s="14"/>
      <c r="G629" s="14"/>
      <c r="H629" s="14"/>
      <c r="I629" s="14"/>
      <c r="J629" s="14"/>
      <c r="K629" s="14"/>
      <c r="L629" s="14"/>
      <c r="M629" s="14"/>
      <c r="N629" s="14"/>
      <c r="O629" s="14"/>
      <c r="P629" s="14"/>
      <c r="Q629" s="58"/>
      <c r="R629" s="58"/>
      <c r="S629" s="14"/>
      <c r="T629" s="14"/>
      <c r="U629" s="59"/>
      <c r="V629" s="59"/>
      <c r="W629" s="14"/>
      <c r="X629" s="14"/>
      <c r="Y629" s="60"/>
      <c r="Z629" s="60"/>
      <c r="AA629" s="60"/>
      <c r="AB629" s="60"/>
      <c r="AC629" s="60"/>
      <c r="AD629" s="60"/>
      <c r="AE629" s="60"/>
      <c r="AF629" s="14"/>
      <c r="AG629" s="14"/>
      <c r="AH629" s="14"/>
      <c r="AI629" s="14"/>
      <c r="AJ629" s="14"/>
      <c r="AK629" s="14"/>
      <c r="AL629" s="14"/>
      <c r="AM629" s="14"/>
      <c r="AN629" s="61"/>
    </row>
    <row r="630">
      <c r="A630" s="14"/>
      <c r="B630" s="14"/>
      <c r="C630" s="14"/>
      <c r="D630" s="14"/>
      <c r="E630" s="14"/>
      <c r="F630" s="14"/>
      <c r="G630" s="14"/>
      <c r="H630" s="14"/>
      <c r="I630" s="14"/>
      <c r="J630" s="14"/>
      <c r="K630" s="14"/>
      <c r="L630" s="14"/>
      <c r="M630" s="14"/>
      <c r="N630" s="14"/>
      <c r="O630" s="14"/>
      <c r="P630" s="14"/>
      <c r="Q630" s="58"/>
      <c r="R630" s="58"/>
      <c r="S630" s="14"/>
      <c r="T630" s="14"/>
      <c r="U630" s="59"/>
      <c r="V630" s="59"/>
      <c r="W630" s="14"/>
      <c r="X630" s="14"/>
      <c r="Y630" s="60"/>
      <c r="Z630" s="60"/>
      <c r="AA630" s="60"/>
      <c r="AB630" s="60"/>
      <c r="AC630" s="60"/>
      <c r="AD630" s="60"/>
      <c r="AE630" s="60"/>
      <c r="AF630" s="14"/>
      <c r="AG630" s="14"/>
      <c r="AH630" s="14"/>
      <c r="AI630" s="14"/>
      <c r="AJ630" s="14"/>
      <c r="AK630" s="14"/>
      <c r="AL630" s="14"/>
      <c r="AM630" s="14"/>
      <c r="AN630" s="61"/>
    </row>
    <row r="631">
      <c r="A631" s="14"/>
      <c r="B631" s="14"/>
      <c r="C631" s="14"/>
      <c r="D631" s="14"/>
      <c r="E631" s="14"/>
      <c r="F631" s="14"/>
      <c r="G631" s="14"/>
      <c r="H631" s="14"/>
      <c r="I631" s="14"/>
      <c r="J631" s="14"/>
      <c r="K631" s="14"/>
      <c r="L631" s="14"/>
      <c r="M631" s="14"/>
      <c r="N631" s="14"/>
      <c r="O631" s="14"/>
      <c r="P631" s="14"/>
      <c r="Q631" s="58"/>
      <c r="R631" s="58"/>
      <c r="S631" s="14"/>
      <c r="T631" s="14"/>
      <c r="U631" s="59"/>
      <c r="V631" s="59"/>
      <c r="W631" s="14"/>
      <c r="X631" s="14"/>
      <c r="Y631" s="60"/>
      <c r="Z631" s="60"/>
      <c r="AA631" s="60"/>
      <c r="AB631" s="60"/>
      <c r="AC631" s="60"/>
      <c r="AD631" s="60"/>
      <c r="AE631" s="60"/>
      <c r="AF631" s="14"/>
      <c r="AG631" s="14"/>
      <c r="AH631" s="14"/>
      <c r="AI631" s="14"/>
      <c r="AJ631" s="14"/>
      <c r="AK631" s="14"/>
      <c r="AL631" s="14"/>
      <c r="AM631" s="14"/>
      <c r="AN631" s="61"/>
    </row>
    <row r="632">
      <c r="A632" s="14"/>
      <c r="B632" s="14"/>
      <c r="C632" s="14"/>
      <c r="D632" s="14"/>
      <c r="E632" s="14"/>
      <c r="F632" s="14"/>
      <c r="G632" s="14"/>
      <c r="H632" s="14"/>
      <c r="I632" s="14"/>
      <c r="J632" s="14"/>
      <c r="K632" s="14"/>
      <c r="L632" s="14"/>
      <c r="M632" s="14"/>
      <c r="N632" s="14"/>
      <c r="O632" s="14"/>
      <c r="P632" s="14"/>
      <c r="Q632" s="58"/>
      <c r="R632" s="58"/>
      <c r="S632" s="14"/>
      <c r="T632" s="14"/>
      <c r="U632" s="59"/>
      <c r="V632" s="59"/>
      <c r="W632" s="14"/>
      <c r="X632" s="14"/>
      <c r="Y632" s="60"/>
      <c r="Z632" s="60"/>
      <c r="AA632" s="60"/>
      <c r="AB632" s="60"/>
      <c r="AC632" s="60"/>
      <c r="AD632" s="60"/>
      <c r="AE632" s="60"/>
      <c r="AF632" s="14"/>
      <c r="AG632" s="14"/>
      <c r="AH632" s="14"/>
      <c r="AI632" s="14"/>
      <c r="AJ632" s="14"/>
      <c r="AK632" s="14"/>
      <c r="AL632" s="14"/>
      <c r="AM632" s="14"/>
      <c r="AN632" s="61"/>
    </row>
    <row r="633">
      <c r="A633" s="14"/>
      <c r="B633" s="14"/>
      <c r="C633" s="14"/>
      <c r="D633" s="14"/>
      <c r="E633" s="14"/>
      <c r="F633" s="14"/>
      <c r="G633" s="14"/>
      <c r="H633" s="14"/>
      <c r="I633" s="14"/>
      <c r="J633" s="14"/>
      <c r="K633" s="14"/>
      <c r="L633" s="14"/>
      <c r="M633" s="14"/>
      <c r="N633" s="14"/>
      <c r="O633" s="14"/>
      <c r="P633" s="14"/>
      <c r="Q633" s="58"/>
      <c r="R633" s="58"/>
      <c r="S633" s="14"/>
      <c r="T633" s="14"/>
      <c r="U633" s="59"/>
      <c r="V633" s="59"/>
      <c r="W633" s="14"/>
      <c r="X633" s="14"/>
      <c r="Y633" s="60"/>
      <c r="Z633" s="60"/>
      <c r="AA633" s="60"/>
      <c r="AB633" s="60"/>
      <c r="AC633" s="60"/>
      <c r="AD633" s="60"/>
      <c r="AE633" s="60"/>
      <c r="AF633" s="14"/>
      <c r="AG633" s="14"/>
      <c r="AH633" s="14"/>
      <c r="AI633" s="14"/>
      <c r="AJ633" s="14"/>
      <c r="AK633" s="14"/>
      <c r="AL633" s="14"/>
      <c r="AM633" s="14"/>
      <c r="AN633" s="61"/>
    </row>
    <row r="634">
      <c r="A634" s="14"/>
      <c r="B634" s="14"/>
      <c r="C634" s="14"/>
      <c r="D634" s="14"/>
      <c r="E634" s="14"/>
      <c r="F634" s="14"/>
      <c r="G634" s="14"/>
      <c r="H634" s="14"/>
      <c r="I634" s="14"/>
      <c r="J634" s="14"/>
      <c r="K634" s="14"/>
      <c r="L634" s="14"/>
      <c r="M634" s="14"/>
      <c r="N634" s="14"/>
      <c r="O634" s="14"/>
      <c r="P634" s="14"/>
      <c r="Q634" s="58"/>
      <c r="R634" s="58"/>
      <c r="S634" s="14"/>
      <c r="T634" s="14"/>
      <c r="U634" s="59"/>
      <c r="V634" s="59"/>
      <c r="W634" s="14"/>
      <c r="X634" s="14"/>
      <c r="Y634" s="60"/>
      <c r="Z634" s="60"/>
      <c r="AA634" s="60"/>
      <c r="AB634" s="60"/>
      <c r="AC634" s="60"/>
      <c r="AD634" s="60"/>
      <c r="AE634" s="60"/>
      <c r="AF634" s="14"/>
      <c r="AG634" s="14"/>
      <c r="AH634" s="14"/>
      <c r="AI634" s="14"/>
      <c r="AJ634" s="14"/>
      <c r="AK634" s="14"/>
      <c r="AL634" s="14"/>
      <c r="AM634" s="14"/>
      <c r="AN634" s="61"/>
    </row>
    <row r="635">
      <c r="A635" s="14"/>
      <c r="B635" s="14"/>
      <c r="C635" s="14"/>
      <c r="D635" s="14"/>
      <c r="E635" s="14"/>
      <c r="F635" s="14"/>
      <c r="G635" s="14"/>
      <c r="H635" s="14"/>
      <c r="I635" s="14"/>
      <c r="J635" s="14"/>
      <c r="K635" s="14"/>
      <c r="L635" s="14"/>
      <c r="M635" s="14"/>
      <c r="N635" s="14"/>
      <c r="O635" s="14"/>
      <c r="P635" s="14"/>
      <c r="Q635" s="58"/>
      <c r="R635" s="58"/>
      <c r="S635" s="14"/>
      <c r="T635" s="14"/>
      <c r="U635" s="59"/>
      <c r="V635" s="59"/>
      <c r="W635" s="14"/>
      <c r="X635" s="14"/>
      <c r="Y635" s="60"/>
      <c r="Z635" s="60"/>
      <c r="AA635" s="60"/>
      <c r="AB635" s="60"/>
      <c r="AC635" s="60"/>
      <c r="AD635" s="60"/>
      <c r="AE635" s="60"/>
      <c r="AF635" s="14"/>
      <c r="AG635" s="14"/>
      <c r="AH635" s="14"/>
      <c r="AI635" s="14"/>
      <c r="AJ635" s="14"/>
      <c r="AK635" s="14"/>
      <c r="AL635" s="14"/>
      <c r="AM635" s="14"/>
      <c r="AN635" s="61"/>
    </row>
    <row r="636">
      <c r="A636" s="14"/>
      <c r="B636" s="14"/>
      <c r="C636" s="14"/>
      <c r="D636" s="14"/>
      <c r="E636" s="14"/>
      <c r="F636" s="14"/>
      <c r="G636" s="14"/>
      <c r="H636" s="14"/>
      <c r="I636" s="14"/>
      <c r="J636" s="14"/>
      <c r="K636" s="14"/>
      <c r="L636" s="14"/>
      <c r="M636" s="14"/>
      <c r="N636" s="14"/>
      <c r="O636" s="14"/>
      <c r="P636" s="14"/>
      <c r="Q636" s="58"/>
      <c r="R636" s="58"/>
      <c r="S636" s="14"/>
      <c r="T636" s="14"/>
      <c r="U636" s="59"/>
      <c r="V636" s="59"/>
      <c r="W636" s="14"/>
      <c r="X636" s="14"/>
      <c r="Y636" s="60"/>
      <c r="Z636" s="60"/>
      <c r="AA636" s="60"/>
      <c r="AB636" s="60"/>
      <c r="AC636" s="60"/>
      <c r="AD636" s="60"/>
      <c r="AE636" s="60"/>
      <c r="AF636" s="14"/>
      <c r="AG636" s="14"/>
      <c r="AH636" s="14"/>
      <c r="AI636" s="14"/>
      <c r="AJ636" s="14"/>
      <c r="AK636" s="14"/>
      <c r="AL636" s="14"/>
      <c r="AM636" s="14"/>
      <c r="AN636" s="61"/>
    </row>
    <row r="637">
      <c r="A637" s="14"/>
      <c r="B637" s="14"/>
      <c r="C637" s="14"/>
      <c r="D637" s="14"/>
      <c r="E637" s="14"/>
      <c r="F637" s="14"/>
      <c r="G637" s="14"/>
      <c r="H637" s="14"/>
      <c r="I637" s="14"/>
      <c r="J637" s="14"/>
      <c r="K637" s="14"/>
      <c r="L637" s="14"/>
      <c r="M637" s="14"/>
      <c r="N637" s="14"/>
      <c r="O637" s="14"/>
      <c r="P637" s="14"/>
      <c r="Q637" s="58"/>
      <c r="R637" s="58"/>
      <c r="S637" s="14"/>
      <c r="T637" s="14"/>
      <c r="U637" s="59"/>
      <c r="V637" s="59"/>
      <c r="W637" s="14"/>
      <c r="X637" s="14"/>
      <c r="Y637" s="60"/>
      <c r="Z637" s="60"/>
      <c r="AA637" s="60"/>
      <c r="AB637" s="60"/>
      <c r="AC637" s="60"/>
      <c r="AD637" s="60"/>
      <c r="AE637" s="60"/>
      <c r="AF637" s="14"/>
      <c r="AG637" s="14"/>
      <c r="AH637" s="14"/>
      <c r="AI637" s="14"/>
      <c r="AJ637" s="14"/>
      <c r="AK637" s="14"/>
      <c r="AL637" s="14"/>
      <c r="AM637" s="14"/>
      <c r="AN637" s="61"/>
    </row>
    <row r="638">
      <c r="A638" s="14"/>
      <c r="B638" s="14"/>
      <c r="C638" s="14"/>
      <c r="D638" s="14"/>
      <c r="E638" s="14"/>
      <c r="F638" s="14"/>
      <c r="G638" s="14"/>
      <c r="H638" s="14"/>
      <c r="I638" s="14"/>
      <c r="J638" s="14"/>
      <c r="K638" s="14"/>
      <c r="L638" s="14"/>
      <c r="M638" s="14"/>
      <c r="N638" s="14"/>
      <c r="O638" s="14"/>
      <c r="P638" s="14"/>
      <c r="Q638" s="58"/>
      <c r="R638" s="58"/>
      <c r="S638" s="14"/>
      <c r="T638" s="14"/>
      <c r="U638" s="59"/>
      <c r="V638" s="59"/>
      <c r="W638" s="14"/>
      <c r="X638" s="14"/>
      <c r="Y638" s="60"/>
      <c r="Z638" s="60"/>
      <c r="AA638" s="60"/>
      <c r="AB638" s="60"/>
      <c r="AC638" s="60"/>
      <c r="AD638" s="60"/>
      <c r="AE638" s="60"/>
      <c r="AF638" s="14"/>
      <c r="AG638" s="14"/>
      <c r="AH638" s="14"/>
      <c r="AI638" s="14"/>
      <c r="AJ638" s="14"/>
      <c r="AK638" s="14"/>
      <c r="AL638" s="14"/>
      <c r="AM638" s="14"/>
      <c r="AN638" s="61"/>
    </row>
    <row r="639">
      <c r="A639" s="14"/>
      <c r="B639" s="14"/>
      <c r="C639" s="14"/>
      <c r="D639" s="14"/>
      <c r="E639" s="14"/>
      <c r="F639" s="14"/>
      <c r="G639" s="14"/>
      <c r="H639" s="14"/>
      <c r="I639" s="14"/>
      <c r="J639" s="14"/>
      <c r="K639" s="14"/>
      <c r="L639" s="14"/>
      <c r="M639" s="14"/>
      <c r="N639" s="14"/>
      <c r="O639" s="14"/>
      <c r="P639" s="14"/>
      <c r="Q639" s="58"/>
      <c r="R639" s="58"/>
      <c r="S639" s="14"/>
      <c r="T639" s="14"/>
      <c r="U639" s="59"/>
      <c r="V639" s="59"/>
      <c r="W639" s="14"/>
      <c r="X639" s="14"/>
      <c r="Y639" s="60"/>
      <c r="Z639" s="60"/>
      <c r="AA639" s="60"/>
      <c r="AB639" s="60"/>
      <c r="AC639" s="60"/>
      <c r="AD639" s="60"/>
      <c r="AE639" s="60"/>
      <c r="AF639" s="14"/>
      <c r="AG639" s="14"/>
      <c r="AH639" s="14"/>
      <c r="AI639" s="14"/>
      <c r="AJ639" s="14"/>
      <c r="AK639" s="14"/>
      <c r="AL639" s="14"/>
      <c r="AM639" s="14"/>
      <c r="AN639" s="61"/>
    </row>
    <row r="640">
      <c r="A640" s="14"/>
      <c r="B640" s="14"/>
      <c r="C640" s="14"/>
      <c r="D640" s="14"/>
      <c r="E640" s="14"/>
      <c r="F640" s="14"/>
      <c r="G640" s="14"/>
      <c r="H640" s="14"/>
      <c r="I640" s="14"/>
      <c r="J640" s="14"/>
      <c r="K640" s="14"/>
      <c r="L640" s="14"/>
      <c r="M640" s="14"/>
      <c r="N640" s="14"/>
      <c r="O640" s="14"/>
      <c r="P640" s="14"/>
      <c r="Q640" s="58"/>
      <c r="R640" s="58"/>
      <c r="S640" s="14"/>
      <c r="T640" s="14"/>
      <c r="U640" s="59"/>
      <c r="V640" s="59"/>
      <c r="W640" s="14"/>
      <c r="X640" s="14"/>
      <c r="Y640" s="60"/>
      <c r="Z640" s="60"/>
      <c r="AA640" s="60"/>
      <c r="AB640" s="60"/>
      <c r="AC640" s="60"/>
      <c r="AD640" s="60"/>
      <c r="AE640" s="60"/>
      <c r="AF640" s="14"/>
      <c r="AG640" s="14"/>
      <c r="AH640" s="14"/>
      <c r="AI640" s="14"/>
      <c r="AJ640" s="14"/>
      <c r="AK640" s="14"/>
      <c r="AL640" s="14"/>
      <c r="AM640" s="14"/>
      <c r="AN640" s="61"/>
    </row>
    <row r="641">
      <c r="A641" s="14"/>
      <c r="B641" s="14"/>
      <c r="C641" s="14"/>
      <c r="D641" s="14"/>
      <c r="E641" s="14"/>
      <c r="F641" s="14"/>
      <c r="G641" s="14"/>
      <c r="H641" s="14"/>
      <c r="I641" s="14"/>
      <c r="J641" s="14"/>
      <c r="K641" s="14"/>
      <c r="L641" s="14"/>
      <c r="M641" s="14"/>
      <c r="N641" s="14"/>
      <c r="O641" s="14"/>
      <c r="P641" s="14"/>
      <c r="Q641" s="58"/>
      <c r="R641" s="58"/>
      <c r="S641" s="14"/>
      <c r="T641" s="14"/>
      <c r="U641" s="59"/>
      <c r="V641" s="59"/>
      <c r="W641" s="14"/>
      <c r="X641" s="14"/>
      <c r="Y641" s="60"/>
      <c r="Z641" s="60"/>
      <c r="AA641" s="60"/>
      <c r="AB641" s="60"/>
      <c r="AC641" s="60"/>
      <c r="AD641" s="60"/>
      <c r="AE641" s="60"/>
      <c r="AF641" s="14"/>
      <c r="AG641" s="14"/>
      <c r="AH641" s="14"/>
      <c r="AI641" s="14"/>
      <c r="AJ641" s="14"/>
      <c r="AK641" s="14"/>
      <c r="AL641" s="14"/>
      <c r="AM641" s="14"/>
      <c r="AN641" s="61"/>
    </row>
    <row r="642">
      <c r="A642" s="14"/>
      <c r="B642" s="14"/>
      <c r="C642" s="14"/>
      <c r="D642" s="14"/>
      <c r="E642" s="14"/>
      <c r="F642" s="14"/>
      <c r="G642" s="14"/>
      <c r="H642" s="14"/>
      <c r="I642" s="14"/>
      <c r="J642" s="14"/>
      <c r="K642" s="14"/>
      <c r="L642" s="14"/>
      <c r="M642" s="14"/>
      <c r="N642" s="14"/>
      <c r="O642" s="14"/>
      <c r="P642" s="14"/>
      <c r="Q642" s="58"/>
      <c r="R642" s="58"/>
      <c r="S642" s="14"/>
      <c r="T642" s="14"/>
      <c r="U642" s="59"/>
      <c r="V642" s="59"/>
      <c r="W642" s="14"/>
      <c r="X642" s="14"/>
      <c r="Y642" s="60"/>
      <c r="Z642" s="60"/>
      <c r="AA642" s="60"/>
      <c r="AB642" s="60"/>
      <c r="AC642" s="60"/>
      <c r="AD642" s="60"/>
      <c r="AE642" s="60"/>
      <c r="AF642" s="14"/>
      <c r="AG642" s="14"/>
      <c r="AH642" s="14"/>
      <c r="AI642" s="14"/>
      <c r="AJ642" s="14"/>
      <c r="AK642" s="14"/>
      <c r="AL642" s="14"/>
      <c r="AM642" s="14"/>
      <c r="AN642" s="61"/>
    </row>
    <row r="643">
      <c r="A643" s="14"/>
      <c r="B643" s="14"/>
      <c r="C643" s="14"/>
      <c r="D643" s="14"/>
      <c r="E643" s="14"/>
      <c r="F643" s="14"/>
      <c r="G643" s="14"/>
      <c r="H643" s="14"/>
      <c r="I643" s="14"/>
      <c r="J643" s="14"/>
      <c r="K643" s="14"/>
      <c r="L643" s="14"/>
      <c r="M643" s="14"/>
      <c r="N643" s="14"/>
      <c r="O643" s="14"/>
      <c r="P643" s="14"/>
      <c r="Q643" s="58"/>
      <c r="R643" s="58"/>
      <c r="S643" s="14"/>
      <c r="T643" s="14"/>
      <c r="U643" s="59"/>
      <c r="V643" s="59"/>
      <c r="W643" s="14"/>
      <c r="X643" s="14"/>
      <c r="Y643" s="60"/>
      <c r="Z643" s="60"/>
      <c r="AA643" s="60"/>
      <c r="AB643" s="60"/>
      <c r="AC643" s="60"/>
      <c r="AD643" s="60"/>
      <c r="AE643" s="60"/>
      <c r="AF643" s="14"/>
      <c r="AG643" s="14"/>
      <c r="AH643" s="14"/>
      <c r="AI643" s="14"/>
      <c r="AJ643" s="14"/>
      <c r="AK643" s="14"/>
      <c r="AL643" s="14"/>
      <c r="AM643" s="14"/>
      <c r="AN643" s="61"/>
    </row>
    <row r="644">
      <c r="A644" s="14"/>
      <c r="B644" s="14"/>
      <c r="C644" s="14"/>
      <c r="D644" s="14"/>
      <c r="E644" s="14"/>
      <c r="F644" s="14"/>
      <c r="G644" s="14"/>
      <c r="H644" s="14"/>
      <c r="I644" s="14"/>
      <c r="J644" s="14"/>
      <c r="K644" s="14"/>
      <c r="L644" s="14"/>
      <c r="M644" s="14"/>
      <c r="N644" s="14"/>
      <c r="O644" s="14"/>
      <c r="P644" s="14"/>
      <c r="Q644" s="58"/>
      <c r="R644" s="58"/>
      <c r="S644" s="14"/>
      <c r="T644" s="14"/>
      <c r="U644" s="59"/>
      <c r="V644" s="59"/>
      <c r="W644" s="14"/>
      <c r="X644" s="14"/>
      <c r="Y644" s="60"/>
      <c r="Z644" s="60"/>
      <c r="AA644" s="60"/>
      <c r="AB644" s="60"/>
      <c r="AC644" s="60"/>
      <c r="AD644" s="60"/>
      <c r="AE644" s="60"/>
      <c r="AF644" s="14"/>
      <c r="AG644" s="14"/>
      <c r="AH644" s="14"/>
      <c r="AI644" s="14"/>
      <c r="AJ644" s="14"/>
      <c r="AK644" s="14"/>
      <c r="AL644" s="14"/>
      <c r="AM644" s="14"/>
      <c r="AN644" s="61"/>
    </row>
    <row r="645">
      <c r="A645" s="14"/>
      <c r="B645" s="14"/>
      <c r="C645" s="14"/>
      <c r="D645" s="14"/>
      <c r="E645" s="14"/>
      <c r="F645" s="14"/>
      <c r="G645" s="14"/>
      <c r="H645" s="14"/>
      <c r="I645" s="14"/>
      <c r="J645" s="14"/>
      <c r="K645" s="14"/>
      <c r="L645" s="14"/>
      <c r="M645" s="14"/>
      <c r="N645" s="14"/>
      <c r="O645" s="14"/>
      <c r="P645" s="14"/>
      <c r="Q645" s="58"/>
      <c r="R645" s="58"/>
      <c r="S645" s="14"/>
      <c r="T645" s="14"/>
      <c r="U645" s="59"/>
      <c r="V645" s="59"/>
      <c r="W645" s="14"/>
      <c r="X645" s="14"/>
      <c r="Y645" s="60"/>
      <c r="Z645" s="60"/>
      <c r="AA645" s="60"/>
      <c r="AB645" s="60"/>
      <c r="AC645" s="60"/>
      <c r="AD645" s="60"/>
      <c r="AE645" s="60"/>
      <c r="AF645" s="14"/>
      <c r="AG645" s="14"/>
      <c r="AH645" s="14"/>
      <c r="AI645" s="14"/>
      <c r="AJ645" s="14"/>
      <c r="AK645" s="14"/>
      <c r="AL645" s="14"/>
      <c r="AM645" s="14"/>
      <c r="AN645" s="61"/>
    </row>
    <row r="646">
      <c r="A646" s="14"/>
      <c r="B646" s="14"/>
      <c r="C646" s="14"/>
      <c r="D646" s="14"/>
      <c r="E646" s="14"/>
      <c r="F646" s="14"/>
      <c r="G646" s="14"/>
      <c r="H646" s="14"/>
      <c r="I646" s="14"/>
      <c r="J646" s="14"/>
      <c r="K646" s="14"/>
      <c r="L646" s="14"/>
      <c r="M646" s="14"/>
      <c r="N646" s="14"/>
      <c r="O646" s="14"/>
      <c r="P646" s="14"/>
      <c r="Q646" s="58"/>
      <c r="R646" s="58"/>
      <c r="S646" s="14"/>
      <c r="T646" s="14"/>
      <c r="U646" s="59"/>
      <c r="V646" s="59"/>
      <c r="W646" s="14"/>
      <c r="X646" s="14"/>
      <c r="Y646" s="60"/>
      <c r="Z646" s="60"/>
      <c r="AA646" s="60"/>
      <c r="AB646" s="60"/>
      <c r="AC646" s="60"/>
      <c r="AD646" s="60"/>
      <c r="AE646" s="60"/>
      <c r="AF646" s="14"/>
      <c r="AG646" s="14"/>
      <c r="AH646" s="14"/>
      <c r="AI646" s="14"/>
      <c r="AJ646" s="14"/>
      <c r="AK646" s="14"/>
      <c r="AL646" s="14"/>
      <c r="AM646" s="14"/>
      <c r="AN646" s="61"/>
    </row>
    <row r="647">
      <c r="A647" s="14"/>
      <c r="B647" s="14"/>
      <c r="C647" s="14"/>
      <c r="D647" s="14"/>
      <c r="E647" s="14"/>
      <c r="F647" s="14"/>
      <c r="G647" s="14"/>
      <c r="H647" s="14"/>
      <c r="I647" s="14"/>
      <c r="J647" s="14"/>
      <c r="K647" s="14"/>
      <c r="L647" s="14"/>
      <c r="M647" s="14"/>
      <c r="N647" s="14"/>
      <c r="O647" s="14"/>
      <c r="P647" s="14"/>
      <c r="Q647" s="58"/>
      <c r="R647" s="58"/>
      <c r="S647" s="14"/>
      <c r="T647" s="14"/>
      <c r="U647" s="59"/>
      <c r="V647" s="59"/>
      <c r="W647" s="14"/>
      <c r="X647" s="14"/>
      <c r="Y647" s="60"/>
      <c r="Z647" s="60"/>
      <c r="AA647" s="60"/>
      <c r="AB647" s="60"/>
      <c r="AC647" s="60"/>
      <c r="AD647" s="60"/>
      <c r="AE647" s="60"/>
      <c r="AF647" s="14"/>
      <c r="AG647" s="14"/>
      <c r="AH647" s="14"/>
      <c r="AI647" s="14"/>
      <c r="AJ647" s="14"/>
      <c r="AK647" s="14"/>
      <c r="AL647" s="14"/>
      <c r="AM647" s="14"/>
      <c r="AN647" s="61"/>
    </row>
    <row r="648">
      <c r="A648" s="14"/>
      <c r="B648" s="14"/>
      <c r="C648" s="14"/>
      <c r="D648" s="14"/>
      <c r="E648" s="14"/>
      <c r="F648" s="14"/>
      <c r="G648" s="14"/>
      <c r="H648" s="14"/>
      <c r="I648" s="14"/>
      <c r="J648" s="14"/>
      <c r="K648" s="14"/>
      <c r="L648" s="14"/>
      <c r="M648" s="14"/>
      <c r="N648" s="14"/>
      <c r="O648" s="14"/>
      <c r="P648" s="14"/>
      <c r="Q648" s="58"/>
      <c r="R648" s="58"/>
      <c r="S648" s="14"/>
      <c r="T648" s="14"/>
      <c r="U648" s="59"/>
      <c r="V648" s="59"/>
      <c r="W648" s="14"/>
      <c r="X648" s="14"/>
      <c r="Y648" s="60"/>
      <c r="Z648" s="60"/>
      <c r="AA648" s="60"/>
      <c r="AB648" s="60"/>
      <c r="AC648" s="60"/>
      <c r="AD648" s="60"/>
      <c r="AE648" s="60"/>
      <c r="AF648" s="14"/>
      <c r="AG648" s="14"/>
      <c r="AH648" s="14"/>
      <c r="AI648" s="14"/>
      <c r="AJ648" s="14"/>
      <c r="AK648" s="14"/>
      <c r="AL648" s="14"/>
      <c r="AM648" s="14"/>
      <c r="AN648" s="61"/>
    </row>
    <row r="649">
      <c r="A649" s="14"/>
      <c r="B649" s="14"/>
      <c r="C649" s="14"/>
      <c r="D649" s="14"/>
      <c r="E649" s="14"/>
      <c r="F649" s="14"/>
      <c r="G649" s="14"/>
      <c r="H649" s="14"/>
      <c r="I649" s="14"/>
      <c r="J649" s="14"/>
      <c r="K649" s="14"/>
      <c r="L649" s="14"/>
      <c r="M649" s="14"/>
      <c r="N649" s="14"/>
      <c r="O649" s="14"/>
      <c r="P649" s="14"/>
      <c r="Q649" s="58"/>
      <c r="R649" s="58"/>
      <c r="S649" s="14"/>
      <c r="T649" s="14"/>
      <c r="U649" s="59"/>
      <c r="V649" s="59"/>
      <c r="W649" s="14"/>
      <c r="X649" s="14"/>
      <c r="Y649" s="60"/>
      <c r="Z649" s="60"/>
      <c r="AA649" s="60"/>
      <c r="AB649" s="60"/>
      <c r="AC649" s="60"/>
      <c r="AD649" s="60"/>
      <c r="AE649" s="60"/>
      <c r="AF649" s="14"/>
      <c r="AG649" s="14"/>
      <c r="AH649" s="14"/>
      <c r="AI649" s="14"/>
      <c r="AJ649" s="14"/>
      <c r="AK649" s="14"/>
      <c r="AL649" s="14"/>
      <c r="AM649" s="14"/>
      <c r="AN649" s="61"/>
    </row>
    <row r="650">
      <c r="A650" s="14"/>
      <c r="B650" s="14"/>
      <c r="C650" s="14"/>
      <c r="D650" s="14"/>
      <c r="E650" s="14"/>
      <c r="F650" s="14"/>
      <c r="G650" s="14"/>
      <c r="H650" s="14"/>
      <c r="I650" s="14"/>
      <c r="J650" s="14"/>
      <c r="K650" s="14"/>
      <c r="L650" s="14"/>
      <c r="M650" s="14"/>
      <c r="N650" s="14"/>
      <c r="O650" s="14"/>
      <c r="P650" s="14"/>
      <c r="Q650" s="58"/>
      <c r="R650" s="58"/>
      <c r="S650" s="14"/>
      <c r="T650" s="14"/>
      <c r="U650" s="59"/>
      <c r="V650" s="59"/>
      <c r="W650" s="14"/>
      <c r="X650" s="14"/>
      <c r="Y650" s="60"/>
      <c r="Z650" s="60"/>
      <c r="AA650" s="60"/>
      <c r="AB650" s="60"/>
      <c r="AC650" s="60"/>
      <c r="AD650" s="60"/>
      <c r="AE650" s="60"/>
      <c r="AF650" s="14"/>
      <c r="AG650" s="14"/>
      <c r="AH650" s="14"/>
      <c r="AI650" s="14"/>
      <c r="AJ650" s="14"/>
      <c r="AK650" s="14"/>
      <c r="AL650" s="14"/>
      <c r="AM650" s="14"/>
      <c r="AN650" s="61"/>
    </row>
    <row r="651">
      <c r="A651" s="14"/>
      <c r="B651" s="14"/>
      <c r="C651" s="14"/>
      <c r="D651" s="14"/>
      <c r="E651" s="14"/>
      <c r="F651" s="14"/>
      <c r="G651" s="14"/>
      <c r="H651" s="14"/>
      <c r="I651" s="14"/>
      <c r="J651" s="14"/>
      <c r="K651" s="14"/>
      <c r="L651" s="14"/>
      <c r="M651" s="14"/>
      <c r="N651" s="14"/>
      <c r="O651" s="14"/>
      <c r="P651" s="14"/>
      <c r="Q651" s="58"/>
      <c r="R651" s="58"/>
      <c r="S651" s="14"/>
      <c r="T651" s="14"/>
      <c r="U651" s="59"/>
      <c r="V651" s="59"/>
      <c r="W651" s="14"/>
      <c r="X651" s="14"/>
      <c r="Y651" s="60"/>
      <c r="Z651" s="60"/>
      <c r="AA651" s="60"/>
      <c r="AB651" s="60"/>
      <c r="AC651" s="60"/>
      <c r="AD651" s="60"/>
      <c r="AE651" s="60"/>
      <c r="AF651" s="14"/>
      <c r="AG651" s="14"/>
      <c r="AH651" s="14"/>
      <c r="AI651" s="14"/>
      <c r="AJ651" s="14"/>
      <c r="AK651" s="14"/>
      <c r="AL651" s="14"/>
      <c r="AM651" s="14"/>
      <c r="AN651" s="61"/>
    </row>
    <row r="652">
      <c r="A652" s="14"/>
      <c r="B652" s="14"/>
      <c r="C652" s="14"/>
      <c r="D652" s="14"/>
      <c r="E652" s="14"/>
      <c r="F652" s="14"/>
      <c r="G652" s="14"/>
      <c r="H652" s="14"/>
      <c r="I652" s="14"/>
      <c r="J652" s="14"/>
      <c r="K652" s="14"/>
      <c r="L652" s="14"/>
      <c r="M652" s="14"/>
      <c r="N652" s="14"/>
      <c r="O652" s="14"/>
      <c r="P652" s="14"/>
      <c r="Q652" s="58"/>
      <c r="R652" s="58"/>
      <c r="S652" s="14"/>
      <c r="T652" s="14"/>
      <c r="U652" s="59"/>
      <c r="V652" s="59"/>
      <c r="W652" s="14"/>
      <c r="X652" s="14"/>
      <c r="Y652" s="60"/>
      <c r="Z652" s="60"/>
      <c r="AA652" s="60"/>
      <c r="AB652" s="60"/>
      <c r="AC652" s="60"/>
      <c r="AD652" s="60"/>
      <c r="AE652" s="60"/>
      <c r="AF652" s="14"/>
      <c r="AG652" s="14"/>
      <c r="AH652" s="14"/>
      <c r="AI652" s="14"/>
      <c r="AJ652" s="14"/>
      <c r="AK652" s="14"/>
      <c r="AL652" s="14"/>
      <c r="AM652" s="14"/>
      <c r="AN652" s="61"/>
    </row>
    <row r="653">
      <c r="A653" s="14"/>
      <c r="B653" s="14"/>
      <c r="C653" s="14"/>
      <c r="D653" s="14"/>
      <c r="E653" s="14"/>
      <c r="F653" s="14"/>
      <c r="G653" s="14"/>
      <c r="H653" s="14"/>
      <c r="I653" s="14"/>
      <c r="J653" s="14"/>
      <c r="K653" s="14"/>
      <c r="L653" s="14"/>
      <c r="M653" s="14"/>
      <c r="N653" s="14"/>
      <c r="O653" s="14"/>
      <c r="P653" s="14"/>
      <c r="Q653" s="58"/>
      <c r="R653" s="58"/>
      <c r="S653" s="14"/>
      <c r="T653" s="14"/>
      <c r="U653" s="59"/>
      <c r="V653" s="59"/>
      <c r="W653" s="14"/>
      <c r="X653" s="14"/>
      <c r="Y653" s="60"/>
      <c r="Z653" s="60"/>
      <c r="AA653" s="60"/>
      <c r="AB653" s="60"/>
      <c r="AC653" s="60"/>
      <c r="AD653" s="60"/>
      <c r="AE653" s="60"/>
      <c r="AF653" s="14"/>
      <c r="AG653" s="14"/>
      <c r="AH653" s="14"/>
      <c r="AI653" s="14"/>
      <c r="AJ653" s="14"/>
      <c r="AK653" s="14"/>
      <c r="AL653" s="14"/>
      <c r="AM653" s="14"/>
      <c r="AN653" s="61"/>
    </row>
    <row r="654">
      <c r="A654" s="14"/>
      <c r="B654" s="14"/>
      <c r="C654" s="14"/>
      <c r="D654" s="14"/>
      <c r="E654" s="14"/>
      <c r="F654" s="14"/>
      <c r="G654" s="14"/>
      <c r="H654" s="14"/>
      <c r="I654" s="14"/>
      <c r="J654" s="14"/>
      <c r="K654" s="14"/>
      <c r="L654" s="14"/>
      <c r="M654" s="14"/>
      <c r="N654" s="14"/>
      <c r="O654" s="14"/>
      <c r="P654" s="14"/>
      <c r="Q654" s="58"/>
      <c r="R654" s="58"/>
      <c r="S654" s="14"/>
      <c r="T654" s="14"/>
      <c r="U654" s="59"/>
      <c r="V654" s="59"/>
      <c r="W654" s="14"/>
      <c r="X654" s="14"/>
      <c r="Y654" s="60"/>
      <c r="Z654" s="60"/>
      <c r="AA654" s="60"/>
      <c r="AB654" s="60"/>
      <c r="AC654" s="60"/>
      <c r="AD654" s="60"/>
      <c r="AE654" s="60"/>
      <c r="AF654" s="14"/>
      <c r="AG654" s="14"/>
      <c r="AH654" s="14"/>
      <c r="AI654" s="14"/>
      <c r="AJ654" s="14"/>
      <c r="AK654" s="14"/>
      <c r="AL654" s="14"/>
      <c r="AM654" s="14"/>
      <c r="AN654" s="61"/>
    </row>
    <row r="655">
      <c r="A655" s="14"/>
      <c r="B655" s="14"/>
      <c r="C655" s="14"/>
      <c r="D655" s="14"/>
      <c r="E655" s="14"/>
      <c r="F655" s="14"/>
      <c r="G655" s="14"/>
      <c r="H655" s="14"/>
      <c r="I655" s="14"/>
      <c r="J655" s="14"/>
      <c r="K655" s="14"/>
      <c r="L655" s="14"/>
      <c r="M655" s="14"/>
      <c r="N655" s="14"/>
      <c r="O655" s="14"/>
      <c r="P655" s="14"/>
      <c r="Q655" s="58"/>
      <c r="R655" s="58"/>
      <c r="S655" s="14"/>
      <c r="T655" s="14"/>
      <c r="U655" s="59"/>
      <c r="V655" s="59"/>
      <c r="W655" s="14"/>
      <c r="X655" s="14"/>
      <c r="Y655" s="60"/>
      <c r="Z655" s="60"/>
      <c r="AA655" s="60"/>
      <c r="AB655" s="60"/>
      <c r="AC655" s="60"/>
      <c r="AD655" s="60"/>
      <c r="AE655" s="60"/>
      <c r="AF655" s="14"/>
      <c r="AG655" s="14"/>
      <c r="AH655" s="14"/>
      <c r="AI655" s="14"/>
      <c r="AJ655" s="14"/>
      <c r="AK655" s="14"/>
      <c r="AL655" s="14"/>
      <c r="AM655" s="14"/>
      <c r="AN655" s="61"/>
    </row>
    <row r="656">
      <c r="A656" s="14"/>
      <c r="B656" s="14"/>
      <c r="C656" s="14"/>
      <c r="D656" s="14"/>
      <c r="E656" s="14"/>
      <c r="F656" s="14"/>
      <c r="G656" s="14"/>
      <c r="H656" s="14"/>
      <c r="I656" s="14"/>
      <c r="J656" s="14"/>
      <c r="K656" s="14"/>
      <c r="L656" s="14"/>
      <c r="M656" s="14"/>
      <c r="N656" s="14"/>
      <c r="O656" s="14"/>
      <c r="P656" s="14"/>
      <c r="Q656" s="58"/>
      <c r="R656" s="58"/>
      <c r="S656" s="14"/>
      <c r="T656" s="14"/>
      <c r="U656" s="59"/>
      <c r="V656" s="59"/>
      <c r="W656" s="14"/>
      <c r="X656" s="14"/>
      <c r="Y656" s="60"/>
      <c r="Z656" s="60"/>
      <c r="AA656" s="60"/>
      <c r="AB656" s="60"/>
      <c r="AC656" s="60"/>
      <c r="AD656" s="60"/>
      <c r="AE656" s="60"/>
      <c r="AF656" s="14"/>
      <c r="AG656" s="14"/>
      <c r="AH656" s="14"/>
      <c r="AI656" s="14"/>
      <c r="AJ656" s="14"/>
      <c r="AK656" s="14"/>
      <c r="AL656" s="14"/>
      <c r="AM656" s="14"/>
      <c r="AN656" s="61"/>
    </row>
    <row r="657">
      <c r="A657" s="14"/>
      <c r="B657" s="14"/>
      <c r="C657" s="14"/>
      <c r="D657" s="14"/>
      <c r="E657" s="14"/>
      <c r="F657" s="14"/>
      <c r="G657" s="14"/>
      <c r="H657" s="14"/>
      <c r="I657" s="14"/>
      <c r="J657" s="14"/>
      <c r="K657" s="14"/>
      <c r="L657" s="14"/>
      <c r="M657" s="14"/>
      <c r="N657" s="14"/>
      <c r="O657" s="14"/>
      <c r="P657" s="14"/>
      <c r="Q657" s="58"/>
      <c r="R657" s="58"/>
      <c r="S657" s="14"/>
      <c r="T657" s="14"/>
      <c r="U657" s="59"/>
      <c r="V657" s="59"/>
      <c r="W657" s="14"/>
      <c r="X657" s="14"/>
      <c r="Y657" s="60"/>
      <c r="Z657" s="60"/>
      <c r="AA657" s="60"/>
      <c r="AB657" s="60"/>
      <c r="AC657" s="60"/>
      <c r="AD657" s="60"/>
      <c r="AE657" s="60"/>
      <c r="AF657" s="14"/>
      <c r="AG657" s="14"/>
      <c r="AH657" s="14"/>
      <c r="AI657" s="14"/>
      <c r="AJ657" s="14"/>
      <c r="AK657" s="14"/>
      <c r="AL657" s="14"/>
      <c r="AM657" s="14"/>
      <c r="AN657" s="61"/>
    </row>
    <row r="658">
      <c r="A658" s="14"/>
      <c r="B658" s="14"/>
      <c r="C658" s="14"/>
      <c r="D658" s="14"/>
      <c r="E658" s="14"/>
      <c r="F658" s="14"/>
      <c r="G658" s="14"/>
      <c r="H658" s="14"/>
      <c r="I658" s="14"/>
      <c r="J658" s="14"/>
      <c r="K658" s="14"/>
      <c r="L658" s="14"/>
      <c r="M658" s="14"/>
      <c r="N658" s="14"/>
      <c r="O658" s="14"/>
      <c r="P658" s="14"/>
      <c r="Q658" s="58"/>
      <c r="R658" s="58"/>
      <c r="S658" s="14"/>
      <c r="T658" s="14"/>
      <c r="U658" s="59"/>
      <c r="V658" s="59"/>
      <c r="W658" s="14"/>
      <c r="X658" s="14"/>
      <c r="Y658" s="60"/>
      <c r="Z658" s="60"/>
      <c r="AA658" s="60"/>
      <c r="AB658" s="60"/>
      <c r="AC658" s="60"/>
      <c r="AD658" s="60"/>
      <c r="AE658" s="60"/>
      <c r="AF658" s="14"/>
      <c r="AG658" s="14"/>
      <c r="AH658" s="14"/>
      <c r="AI658" s="14"/>
      <c r="AJ658" s="14"/>
      <c r="AK658" s="14"/>
      <c r="AL658" s="14"/>
      <c r="AM658" s="14"/>
      <c r="AN658" s="61"/>
    </row>
    <row r="659">
      <c r="A659" s="14"/>
      <c r="B659" s="14"/>
      <c r="C659" s="14"/>
      <c r="D659" s="14"/>
      <c r="E659" s="14"/>
      <c r="F659" s="14"/>
      <c r="G659" s="14"/>
      <c r="H659" s="14"/>
      <c r="I659" s="14"/>
      <c r="J659" s="14"/>
      <c r="K659" s="14"/>
      <c r="L659" s="14"/>
      <c r="M659" s="14"/>
      <c r="N659" s="14"/>
      <c r="O659" s="14"/>
      <c r="P659" s="14"/>
      <c r="Q659" s="58"/>
      <c r="R659" s="58"/>
      <c r="S659" s="14"/>
      <c r="T659" s="14"/>
      <c r="U659" s="59"/>
      <c r="V659" s="59"/>
      <c r="W659" s="14"/>
      <c r="X659" s="14"/>
      <c r="Y659" s="60"/>
      <c r="Z659" s="60"/>
      <c r="AA659" s="60"/>
      <c r="AB659" s="60"/>
      <c r="AC659" s="60"/>
      <c r="AD659" s="60"/>
      <c r="AE659" s="60"/>
      <c r="AF659" s="14"/>
      <c r="AG659" s="14"/>
      <c r="AH659" s="14"/>
      <c r="AI659" s="14"/>
      <c r="AJ659" s="14"/>
      <c r="AK659" s="14"/>
      <c r="AL659" s="14"/>
      <c r="AM659" s="14"/>
      <c r="AN659" s="61"/>
    </row>
    <row r="660">
      <c r="A660" s="14"/>
      <c r="B660" s="14"/>
      <c r="C660" s="14"/>
      <c r="D660" s="14"/>
      <c r="E660" s="14"/>
      <c r="F660" s="14"/>
      <c r="G660" s="14"/>
      <c r="H660" s="14"/>
      <c r="I660" s="14"/>
      <c r="J660" s="14"/>
      <c r="K660" s="14"/>
      <c r="L660" s="14"/>
      <c r="M660" s="14"/>
      <c r="N660" s="14"/>
      <c r="O660" s="14"/>
      <c r="P660" s="14"/>
      <c r="Q660" s="58"/>
      <c r="R660" s="58"/>
      <c r="S660" s="14"/>
      <c r="T660" s="14"/>
      <c r="U660" s="59"/>
      <c r="V660" s="59"/>
      <c r="W660" s="14"/>
      <c r="X660" s="14"/>
      <c r="Y660" s="60"/>
      <c r="Z660" s="60"/>
      <c r="AA660" s="60"/>
      <c r="AB660" s="60"/>
      <c r="AC660" s="60"/>
      <c r="AD660" s="60"/>
      <c r="AE660" s="60"/>
      <c r="AF660" s="14"/>
      <c r="AG660" s="14"/>
      <c r="AH660" s="14"/>
      <c r="AI660" s="14"/>
      <c r="AJ660" s="14"/>
      <c r="AK660" s="14"/>
      <c r="AL660" s="14"/>
      <c r="AM660" s="14"/>
      <c r="AN660" s="61"/>
    </row>
    <row r="661">
      <c r="A661" s="14"/>
      <c r="B661" s="14"/>
      <c r="C661" s="14"/>
      <c r="D661" s="14"/>
      <c r="E661" s="14"/>
      <c r="F661" s="14"/>
      <c r="G661" s="14"/>
      <c r="H661" s="14"/>
      <c r="I661" s="14"/>
      <c r="J661" s="14"/>
      <c r="K661" s="14"/>
      <c r="L661" s="14"/>
      <c r="M661" s="14"/>
      <c r="N661" s="14"/>
      <c r="O661" s="14"/>
      <c r="P661" s="14"/>
      <c r="Q661" s="58"/>
      <c r="R661" s="58"/>
      <c r="S661" s="14"/>
      <c r="T661" s="14"/>
      <c r="U661" s="59"/>
      <c r="V661" s="59"/>
      <c r="W661" s="14"/>
      <c r="X661" s="14"/>
      <c r="Y661" s="60"/>
      <c r="Z661" s="60"/>
      <c r="AA661" s="60"/>
      <c r="AB661" s="60"/>
      <c r="AC661" s="60"/>
      <c r="AD661" s="60"/>
      <c r="AE661" s="60"/>
      <c r="AF661" s="14"/>
      <c r="AG661" s="14"/>
      <c r="AH661" s="14"/>
      <c r="AI661" s="14"/>
      <c r="AJ661" s="14"/>
      <c r="AK661" s="14"/>
      <c r="AL661" s="14"/>
      <c r="AM661" s="14"/>
      <c r="AN661" s="61"/>
    </row>
    <row r="662">
      <c r="A662" s="14"/>
      <c r="B662" s="14"/>
      <c r="C662" s="14"/>
      <c r="D662" s="14"/>
      <c r="E662" s="14"/>
      <c r="F662" s="14"/>
      <c r="G662" s="14"/>
      <c r="H662" s="14"/>
      <c r="I662" s="14"/>
      <c r="J662" s="14"/>
      <c r="K662" s="14"/>
      <c r="L662" s="14"/>
      <c r="M662" s="14"/>
      <c r="N662" s="14"/>
      <c r="O662" s="14"/>
      <c r="P662" s="14"/>
      <c r="Q662" s="58"/>
      <c r="R662" s="58"/>
      <c r="S662" s="14"/>
      <c r="T662" s="14"/>
      <c r="U662" s="59"/>
      <c r="V662" s="59"/>
      <c r="W662" s="14"/>
      <c r="X662" s="14"/>
      <c r="Y662" s="60"/>
      <c r="Z662" s="60"/>
      <c r="AA662" s="60"/>
      <c r="AB662" s="60"/>
      <c r="AC662" s="60"/>
      <c r="AD662" s="60"/>
      <c r="AE662" s="60"/>
      <c r="AF662" s="14"/>
      <c r="AG662" s="14"/>
      <c r="AH662" s="14"/>
      <c r="AI662" s="14"/>
      <c r="AJ662" s="14"/>
      <c r="AK662" s="14"/>
      <c r="AL662" s="14"/>
      <c r="AM662" s="14"/>
      <c r="AN662" s="61"/>
    </row>
    <row r="663">
      <c r="A663" s="14"/>
      <c r="B663" s="14"/>
      <c r="C663" s="14"/>
      <c r="D663" s="14"/>
      <c r="E663" s="14"/>
      <c r="F663" s="14"/>
      <c r="G663" s="14"/>
      <c r="H663" s="14"/>
      <c r="I663" s="14"/>
      <c r="J663" s="14"/>
      <c r="K663" s="14"/>
      <c r="L663" s="14"/>
      <c r="M663" s="14"/>
      <c r="N663" s="14"/>
      <c r="O663" s="14"/>
      <c r="P663" s="14"/>
      <c r="Q663" s="58"/>
      <c r="R663" s="58"/>
      <c r="S663" s="14"/>
      <c r="T663" s="14"/>
      <c r="U663" s="59"/>
      <c r="V663" s="59"/>
      <c r="W663" s="14"/>
      <c r="X663" s="14"/>
      <c r="Y663" s="60"/>
      <c r="Z663" s="60"/>
      <c r="AA663" s="60"/>
      <c r="AB663" s="60"/>
      <c r="AC663" s="60"/>
      <c r="AD663" s="60"/>
      <c r="AE663" s="60"/>
      <c r="AF663" s="14"/>
      <c r="AG663" s="14"/>
      <c r="AH663" s="14"/>
      <c r="AI663" s="14"/>
      <c r="AJ663" s="14"/>
      <c r="AK663" s="14"/>
      <c r="AL663" s="14"/>
      <c r="AM663" s="14"/>
      <c r="AN663" s="61"/>
    </row>
    <row r="664">
      <c r="A664" s="14"/>
      <c r="B664" s="14"/>
      <c r="C664" s="14"/>
      <c r="D664" s="14"/>
      <c r="E664" s="14"/>
      <c r="F664" s="14"/>
      <c r="G664" s="14"/>
      <c r="H664" s="14"/>
      <c r="I664" s="14"/>
      <c r="J664" s="14"/>
      <c r="K664" s="14"/>
      <c r="L664" s="14"/>
      <c r="M664" s="14"/>
      <c r="N664" s="14"/>
      <c r="O664" s="14"/>
      <c r="P664" s="14"/>
      <c r="Q664" s="58"/>
      <c r="R664" s="58"/>
      <c r="S664" s="14"/>
      <c r="T664" s="14"/>
      <c r="U664" s="59"/>
      <c r="V664" s="59"/>
      <c r="W664" s="14"/>
      <c r="X664" s="14"/>
      <c r="Y664" s="60"/>
      <c r="Z664" s="60"/>
      <c r="AA664" s="60"/>
      <c r="AB664" s="60"/>
      <c r="AC664" s="60"/>
      <c r="AD664" s="60"/>
      <c r="AE664" s="60"/>
      <c r="AF664" s="14"/>
      <c r="AG664" s="14"/>
      <c r="AH664" s="14"/>
      <c r="AI664" s="14"/>
      <c r="AJ664" s="14"/>
      <c r="AK664" s="14"/>
      <c r="AL664" s="14"/>
      <c r="AM664" s="14"/>
      <c r="AN664" s="61"/>
    </row>
    <row r="665">
      <c r="A665" s="14"/>
      <c r="B665" s="14"/>
      <c r="C665" s="14"/>
      <c r="D665" s="14"/>
      <c r="E665" s="14"/>
      <c r="F665" s="14"/>
      <c r="G665" s="14"/>
      <c r="H665" s="14"/>
      <c r="I665" s="14"/>
      <c r="J665" s="14"/>
      <c r="K665" s="14"/>
      <c r="L665" s="14"/>
      <c r="M665" s="14"/>
      <c r="N665" s="14"/>
      <c r="O665" s="14"/>
      <c r="P665" s="14"/>
      <c r="Q665" s="58"/>
      <c r="R665" s="58"/>
      <c r="S665" s="14"/>
      <c r="T665" s="14"/>
      <c r="U665" s="59"/>
      <c r="V665" s="59"/>
      <c r="W665" s="14"/>
      <c r="X665" s="14"/>
      <c r="Y665" s="60"/>
      <c r="Z665" s="60"/>
      <c r="AA665" s="60"/>
      <c r="AB665" s="60"/>
      <c r="AC665" s="60"/>
      <c r="AD665" s="60"/>
      <c r="AE665" s="60"/>
      <c r="AF665" s="14"/>
      <c r="AG665" s="14"/>
      <c r="AH665" s="14"/>
      <c r="AI665" s="14"/>
      <c r="AJ665" s="14"/>
      <c r="AK665" s="14"/>
      <c r="AL665" s="14"/>
      <c r="AM665" s="14"/>
      <c r="AN665" s="61"/>
    </row>
    <row r="666">
      <c r="A666" s="14"/>
      <c r="B666" s="14"/>
      <c r="C666" s="14"/>
      <c r="D666" s="14"/>
      <c r="E666" s="14"/>
      <c r="F666" s="14"/>
      <c r="G666" s="14"/>
      <c r="H666" s="14"/>
      <c r="I666" s="14"/>
      <c r="J666" s="14"/>
      <c r="K666" s="14"/>
      <c r="L666" s="14"/>
      <c r="M666" s="14"/>
      <c r="N666" s="14"/>
      <c r="O666" s="14"/>
      <c r="P666" s="14"/>
      <c r="Q666" s="58"/>
      <c r="R666" s="58"/>
      <c r="S666" s="14"/>
      <c r="T666" s="14"/>
      <c r="U666" s="59"/>
      <c r="V666" s="59"/>
      <c r="W666" s="14"/>
      <c r="X666" s="14"/>
      <c r="Y666" s="60"/>
      <c r="Z666" s="60"/>
      <c r="AA666" s="60"/>
      <c r="AB666" s="60"/>
      <c r="AC666" s="60"/>
      <c r="AD666" s="60"/>
      <c r="AE666" s="60"/>
      <c r="AF666" s="14"/>
      <c r="AG666" s="14"/>
      <c r="AH666" s="14"/>
      <c r="AI666" s="14"/>
      <c r="AJ666" s="14"/>
      <c r="AK666" s="14"/>
      <c r="AL666" s="14"/>
      <c r="AM666" s="14"/>
      <c r="AN666" s="61"/>
    </row>
    <row r="667">
      <c r="A667" s="14"/>
      <c r="B667" s="14"/>
      <c r="C667" s="14"/>
      <c r="D667" s="14"/>
      <c r="E667" s="14"/>
      <c r="F667" s="14"/>
      <c r="G667" s="14"/>
      <c r="H667" s="14"/>
      <c r="I667" s="14"/>
      <c r="J667" s="14"/>
      <c r="K667" s="14"/>
      <c r="L667" s="14"/>
      <c r="M667" s="14"/>
      <c r="N667" s="14"/>
      <c r="O667" s="14"/>
      <c r="P667" s="14"/>
      <c r="Q667" s="58"/>
      <c r="R667" s="58"/>
      <c r="S667" s="14"/>
      <c r="T667" s="14"/>
      <c r="U667" s="59"/>
      <c r="V667" s="59"/>
      <c r="W667" s="14"/>
      <c r="X667" s="14"/>
      <c r="Y667" s="60"/>
      <c r="Z667" s="60"/>
      <c r="AA667" s="60"/>
      <c r="AB667" s="60"/>
      <c r="AC667" s="60"/>
      <c r="AD667" s="60"/>
      <c r="AE667" s="60"/>
      <c r="AF667" s="14"/>
      <c r="AG667" s="14"/>
      <c r="AH667" s="14"/>
      <c r="AI667" s="14"/>
      <c r="AJ667" s="14"/>
      <c r="AK667" s="14"/>
      <c r="AL667" s="14"/>
      <c r="AM667" s="14"/>
      <c r="AN667" s="61"/>
    </row>
    <row r="668">
      <c r="A668" s="14"/>
      <c r="B668" s="14"/>
      <c r="C668" s="14"/>
      <c r="D668" s="14"/>
      <c r="E668" s="14"/>
      <c r="F668" s="14"/>
      <c r="G668" s="14"/>
      <c r="H668" s="14"/>
      <c r="I668" s="14"/>
      <c r="J668" s="14"/>
      <c r="K668" s="14"/>
      <c r="L668" s="14"/>
      <c r="M668" s="14"/>
      <c r="N668" s="14"/>
      <c r="O668" s="14"/>
      <c r="P668" s="14"/>
      <c r="Q668" s="58"/>
      <c r="R668" s="58"/>
      <c r="S668" s="14"/>
      <c r="T668" s="14"/>
      <c r="U668" s="59"/>
      <c r="V668" s="59"/>
      <c r="W668" s="14"/>
      <c r="X668" s="14"/>
      <c r="Y668" s="60"/>
      <c r="Z668" s="60"/>
      <c r="AA668" s="60"/>
      <c r="AB668" s="60"/>
      <c r="AC668" s="60"/>
      <c r="AD668" s="60"/>
      <c r="AE668" s="60"/>
      <c r="AF668" s="14"/>
      <c r="AG668" s="14"/>
      <c r="AH668" s="14"/>
      <c r="AI668" s="14"/>
      <c r="AJ668" s="14"/>
      <c r="AK668" s="14"/>
      <c r="AL668" s="14"/>
      <c r="AM668" s="14"/>
      <c r="AN668" s="61"/>
    </row>
    <row r="669">
      <c r="A669" s="14"/>
      <c r="B669" s="14"/>
      <c r="C669" s="14"/>
      <c r="D669" s="14"/>
      <c r="E669" s="14"/>
      <c r="F669" s="14"/>
      <c r="G669" s="14"/>
      <c r="H669" s="14"/>
      <c r="I669" s="14"/>
      <c r="J669" s="14"/>
      <c r="K669" s="14"/>
      <c r="L669" s="14"/>
      <c r="M669" s="14"/>
      <c r="N669" s="14"/>
      <c r="O669" s="14"/>
      <c r="P669" s="14"/>
      <c r="Q669" s="58"/>
      <c r="R669" s="58"/>
      <c r="S669" s="14"/>
      <c r="T669" s="14"/>
      <c r="U669" s="59"/>
      <c r="V669" s="59"/>
      <c r="W669" s="14"/>
      <c r="X669" s="14"/>
      <c r="Y669" s="60"/>
      <c r="Z669" s="60"/>
      <c r="AA669" s="60"/>
      <c r="AB669" s="60"/>
      <c r="AC669" s="60"/>
      <c r="AD669" s="60"/>
      <c r="AE669" s="60"/>
      <c r="AF669" s="14"/>
      <c r="AG669" s="14"/>
      <c r="AH669" s="14"/>
      <c r="AI669" s="14"/>
      <c r="AJ669" s="14"/>
      <c r="AK669" s="14"/>
      <c r="AL669" s="14"/>
      <c r="AM669" s="14"/>
      <c r="AN669" s="61"/>
    </row>
    <row r="670">
      <c r="A670" s="14"/>
      <c r="B670" s="14"/>
      <c r="C670" s="14"/>
      <c r="D670" s="14"/>
      <c r="E670" s="14"/>
      <c r="F670" s="14"/>
      <c r="G670" s="14"/>
      <c r="H670" s="14"/>
      <c r="I670" s="14"/>
      <c r="J670" s="14"/>
      <c r="K670" s="14"/>
      <c r="L670" s="14"/>
      <c r="M670" s="14"/>
      <c r="N670" s="14"/>
      <c r="O670" s="14"/>
      <c r="P670" s="14"/>
      <c r="Q670" s="58"/>
      <c r="R670" s="58"/>
      <c r="S670" s="14"/>
      <c r="T670" s="14"/>
      <c r="U670" s="59"/>
      <c r="V670" s="59"/>
      <c r="W670" s="14"/>
      <c r="X670" s="14"/>
      <c r="Y670" s="60"/>
      <c r="Z670" s="60"/>
      <c r="AA670" s="60"/>
      <c r="AB670" s="60"/>
      <c r="AC670" s="60"/>
      <c r="AD670" s="60"/>
      <c r="AE670" s="60"/>
      <c r="AF670" s="14"/>
      <c r="AG670" s="14"/>
      <c r="AH670" s="14"/>
      <c r="AI670" s="14"/>
      <c r="AJ670" s="14"/>
      <c r="AK670" s="14"/>
      <c r="AL670" s="14"/>
      <c r="AM670" s="14"/>
      <c r="AN670" s="61"/>
    </row>
    <row r="671">
      <c r="A671" s="14"/>
      <c r="B671" s="14"/>
      <c r="C671" s="14"/>
      <c r="D671" s="14"/>
      <c r="E671" s="14"/>
      <c r="F671" s="14"/>
      <c r="G671" s="14"/>
      <c r="H671" s="14"/>
      <c r="I671" s="14"/>
      <c r="J671" s="14"/>
      <c r="K671" s="14"/>
      <c r="L671" s="14"/>
      <c r="M671" s="14"/>
      <c r="N671" s="14"/>
      <c r="O671" s="14"/>
      <c r="P671" s="14"/>
      <c r="Q671" s="58"/>
      <c r="R671" s="58"/>
      <c r="S671" s="14"/>
      <c r="T671" s="14"/>
      <c r="U671" s="59"/>
      <c r="V671" s="59"/>
      <c r="W671" s="14"/>
      <c r="X671" s="14"/>
      <c r="Y671" s="60"/>
      <c r="Z671" s="60"/>
      <c r="AA671" s="60"/>
      <c r="AB671" s="60"/>
      <c r="AC671" s="60"/>
      <c r="AD671" s="60"/>
      <c r="AE671" s="60"/>
      <c r="AF671" s="14"/>
      <c r="AG671" s="14"/>
      <c r="AH671" s="14"/>
      <c r="AI671" s="14"/>
      <c r="AJ671" s="14"/>
      <c r="AK671" s="14"/>
      <c r="AL671" s="14"/>
      <c r="AM671" s="14"/>
      <c r="AN671" s="61"/>
    </row>
    <row r="672">
      <c r="A672" s="14"/>
      <c r="B672" s="14"/>
      <c r="C672" s="14"/>
      <c r="D672" s="14"/>
      <c r="E672" s="14"/>
      <c r="F672" s="14"/>
      <c r="G672" s="14"/>
      <c r="H672" s="14"/>
      <c r="I672" s="14"/>
      <c r="J672" s="14"/>
      <c r="K672" s="14"/>
      <c r="L672" s="14"/>
      <c r="M672" s="14"/>
      <c r="N672" s="14"/>
      <c r="O672" s="14"/>
      <c r="P672" s="14"/>
      <c r="Q672" s="58"/>
      <c r="R672" s="58"/>
      <c r="S672" s="14"/>
      <c r="T672" s="14"/>
      <c r="U672" s="59"/>
      <c r="V672" s="59"/>
      <c r="W672" s="14"/>
      <c r="X672" s="14"/>
      <c r="Y672" s="60"/>
      <c r="Z672" s="60"/>
      <c r="AA672" s="60"/>
      <c r="AB672" s="60"/>
      <c r="AC672" s="60"/>
      <c r="AD672" s="60"/>
      <c r="AE672" s="60"/>
      <c r="AF672" s="14"/>
      <c r="AG672" s="14"/>
      <c r="AH672" s="14"/>
      <c r="AI672" s="14"/>
      <c r="AJ672" s="14"/>
      <c r="AK672" s="14"/>
      <c r="AL672" s="14"/>
      <c r="AM672" s="14"/>
      <c r="AN672" s="61"/>
    </row>
    <row r="673">
      <c r="A673" s="14"/>
      <c r="B673" s="14"/>
      <c r="C673" s="14"/>
      <c r="D673" s="14"/>
      <c r="E673" s="14"/>
      <c r="F673" s="14"/>
      <c r="G673" s="14"/>
      <c r="H673" s="14"/>
      <c r="I673" s="14"/>
      <c r="J673" s="14"/>
      <c r="K673" s="14"/>
      <c r="L673" s="14"/>
      <c r="M673" s="14"/>
      <c r="N673" s="14"/>
      <c r="O673" s="14"/>
      <c r="P673" s="14"/>
      <c r="Q673" s="58"/>
      <c r="R673" s="58"/>
      <c r="S673" s="14"/>
      <c r="T673" s="14"/>
      <c r="U673" s="59"/>
      <c r="V673" s="59"/>
      <c r="W673" s="14"/>
      <c r="X673" s="14"/>
      <c r="Y673" s="60"/>
      <c r="Z673" s="60"/>
      <c r="AA673" s="60"/>
      <c r="AB673" s="60"/>
      <c r="AC673" s="60"/>
      <c r="AD673" s="60"/>
      <c r="AE673" s="60"/>
      <c r="AF673" s="14"/>
      <c r="AG673" s="14"/>
      <c r="AH673" s="14"/>
      <c r="AI673" s="14"/>
      <c r="AJ673" s="14"/>
      <c r="AK673" s="14"/>
      <c r="AL673" s="14"/>
      <c r="AM673" s="14"/>
      <c r="AN673" s="61"/>
    </row>
    <row r="674">
      <c r="A674" s="14"/>
      <c r="B674" s="14"/>
      <c r="C674" s="14"/>
      <c r="D674" s="14"/>
      <c r="E674" s="14"/>
      <c r="F674" s="14"/>
      <c r="G674" s="14"/>
      <c r="H674" s="14"/>
      <c r="I674" s="14"/>
      <c r="J674" s="14"/>
      <c r="K674" s="14"/>
      <c r="L674" s="14"/>
      <c r="M674" s="14"/>
      <c r="N674" s="14"/>
      <c r="O674" s="14"/>
      <c r="P674" s="14"/>
      <c r="Q674" s="58"/>
      <c r="R674" s="58"/>
      <c r="S674" s="14"/>
      <c r="T674" s="14"/>
      <c r="U674" s="59"/>
      <c r="V674" s="59"/>
      <c r="W674" s="14"/>
      <c r="X674" s="14"/>
      <c r="Y674" s="60"/>
      <c r="Z674" s="60"/>
      <c r="AA674" s="60"/>
      <c r="AB674" s="60"/>
      <c r="AC674" s="60"/>
      <c r="AD674" s="60"/>
      <c r="AE674" s="60"/>
      <c r="AF674" s="14"/>
      <c r="AG674" s="14"/>
      <c r="AH674" s="14"/>
      <c r="AI674" s="14"/>
      <c r="AJ674" s="14"/>
      <c r="AK674" s="14"/>
      <c r="AL674" s="14"/>
      <c r="AM674" s="14"/>
      <c r="AN674" s="61"/>
    </row>
    <row r="675">
      <c r="A675" s="14"/>
      <c r="B675" s="14"/>
      <c r="C675" s="14"/>
      <c r="D675" s="14"/>
      <c r="E675" s="14"/>
      <c r="F675" s="14"/>
      <c r="G675" s="14"/>
      <c r="H675" s="14"/>
      <c r="I675" s="14"/>
      <c r="J675" s="14"/>
      <c r="K675" s="14"/>
      <c r="L675" s="14"/>
      <c r="M675" s="14"/>
      <c r="N675" s="14"/>
      <c r="O675" s="14"/>
      <c r="P675" s="14"/>
      <c r="Q675" s="58"/>
      <c r="R675" s="58"/>
      <c r="S675" s="14"/>
      <c r="T675" s="14"/>
      <c r="U675" s="59"/>
      <c r="V675" s="59"/>
      <c r="W675" s="14"/>
      <c r="X675" s="14"/>
      <c r="Y675" s="60"/>
      <c r="Z675" s="60"/>
      <c r="AA675" s="60"/>
      <c r="AB675" s="60"/>
      <c r="AC675" s="60"/>
      <c r="AD675" s="60"/>
      <c r="AE675" s="60"/>
      <c r="AF675" s="14"/>
      <c r="AG675" s="14"/>
      <c r="AH675" s="14"/>
      <c r="AI675" s="14"/>
      <c r="AJ675" s="14"/>
      <c r="AK675" s="14"/>
      <c r="AL675" s="14"/>
      <c r="AM675" s="14"/>
      <c r="AN675" s="61"/>
    </row>
    <row r="676">
      <c r="A676" s="14"/>
      <c r="B676" s="14"/>
      <c r="C676" s="14"/>
      <c r="D676" s="14"/>
      <c r="E676" s="14"/>
      <c r="F676" s="14"/>
      <c r="G676" s="14"/>
      <c r="H676" s="14"/>
      <c r="I676" s="14"/>
      <c r="J676" s="14"/>
      <c r="K676" s="14"/>
      <c r="L676" s="14"/>
      <c r="M676" s="14"/>
      <c r="N676" s="14"/>
      <c r="O676" s="14"/>
      <c r="P676" s="14"/>
      <c r="Q676" s="58"/>
      <c r="R676" s="58"/>
      <c r="S676" s="14"/>
      <c r="T676" s="14"/>
      <c r="U676" s="59"/>
      <c r="V676" s="59"/>
      <c r="W676" s="14"/>
      <c r="X676" s="14"/>
      <c r="Y676" s="60"/>
      <c r="Z676" s="60"/>
      <c r="AA676" s="60"/>
      <c r="AB676" s="60"/>
      <c r="AC676" s="60"/>
      <c r="AD676" s="60"/>
      <c r="AE676" s="60"/>
      <c r="AF676" s="14"/>
      <c r="AG676" s="14"/>
      <c r="AH676" s="14"/>
      <c r="AI676" s="14"/>
      <c r="AJ676" s="14"/>
      <c r="AK676" s="14"/>
      <c r="AL676" s="14"/>
      <c r="AM676" s="14"/>
      <c r="AN676" s="61"/>
    </row>
    <row r="677">
      <c r="A677" s="14"/>
      <c r="B677" s="14"/>
      <c r="C677" s="14"/>
      <c r="D677" s="14"/>
      <c r="E677" s="14"/>
      <c r="F677" s="14"/>
      <c r="G677" s="14"/>
      <c r="H677" s="14"/>
      <c r="I677" s="14"/>
      <c r="J677" s="14"/>
      <c r="K677" s="14"/>
      <c r="L677" s="14"/>
      <c r="M677" s="14"/>
      <c r="N677" s="14"/>
      <c r="O677" s="14"/>
      <c r="P677" s="14"/>
      <c r="Q677" s="58"/>
      <c r="R677" s="58"/>
      <c r="S677" s="14"/>
      <c r="T677" s="14"/>
      <c r="U677" s="59"/>
      <c r="V677" s="59"/>
      <c r="W677" s="14"/>
      <c r="X677" s="14"/>
      <c r="Y677" s="60"/>
      <c r="Z677" s="60"/>
      <c r="AA677" s="60"/>
      <c r="AB677" s="60"/>
      <c r="AC677" s="60"/>
      <c r="AD677" s="60"/>
      <c r="AE677" s="60"/>
      <c r="AF677" s="14"/>
      <c r="AG677" s="14"/>
      <c r="AH677" s="14"/>
      <c r="AI677" s="14"/>
      <c r="AJ677" s="14"/>
      <c r="AK677" s="14"/>
      <c r="AL677" s="14"/>
      <c r="AM677" s="14"/>
      <c r="AN677" s="61"/>
    </row>
    <row r="678">
      <c r="A678" s="14"/>
      <c r="B678" s="14"/>
      <c r="C678" s="14"/>
      <c r="D678" s="14"/>
      <c r="E678" s="14"/>
      <c r="F678" s="14"/>
      <c r="G678" s="14"/>
      <c r="H678" s="14"/>
      <c r="I678" s="14"/>
      <c r="J678" s="14"/>
      <c r="K678" s="14"/>
      <c r="L678" s="14"/>
      <c r="M678" s="14"/>
      <c r="N678" s="14"/>
      <c r="O678" s="14"/>
      <c r="P678" s="14"/>
      <c r="Q678" s="58"/>
      <c r="R678" s="58"/>
      <c r="S678" s="14"/>
      <c r="T678" s="14"/>
      <c r="U678" s="59"/>
      <c r="V678" s="59"/>
      <c r="W678" s="14"/>
      <c r="X678" s="14"/>
      <c r="Y678" s="60"/>
      <c r="Z678" s="60"/>
      <c r="AA678" s="60"/>
      <c r="AB678" s="60"/>
      <c r="AC678" s="60"/>
      <c r="AD678" s="60"/>
      <c r="AE678" s="60"/>
      <c r="AF678" s="14"/>
      <c r="AG678" s="14"/>
      <c r="AH678" s="14"/>
      <c r="AI678" s="14"/>
      <c r="AJ678" s="14"/>
      <c r="AK678" s="14"/>
      <c r="AL678" s="14"/>
      <c r="AM678" s="14"/>
      <c r="AN678" s="61"/>
    </row>
    <row r="679">
      <c r="A679" s="14"/>
      <c r="B679" s="14"/>
      <c r="C679" s="14"/>
      <c r="D679" s="14"/>
      <c r="E679" s="14"/>
      <c r="F679" s="14"/>
      <c r="G679" s="14"/>
      <c r="H679" s="14"/>
      <c r="I679" s="14"/>
      <c r="J679" s="14"/>
      <c r="K679" s="14"/>
      <c r="L679" s="14"/>
      <c r="M679" s="14"/>
      <c r="N679" s="14"/>
      <c r="O679" s="14"/>
      <c r="P679" s="14"/>
      <c r="Q679" s="58"/>
      <c r="R679" s="58"/>
      <c r="S679" s="14"/>
      <c r="T679" s="14"/>
      <c r="U679" s="59"/>
      <c r="V679" s="59"/>
      <c r="W679" s="14"/>
      <c r="X679" s="14"/>
      <c r="Y679" s="60"/>
      <c r="Z679" s="60"/>
      <c r="AA679" s="60"/>
      <c r="AB679" s="60"/>
      <c r="AC679" s="60"/>
      <c r="AD679" s="60"/>
      <c r="AE679" s="60"/>
      <c r="AF679" s="14"/>
      <c r="AG679" s="14"/>
      <c r="AH679" s="14"/>
      <c r="AI679" s="14"/>
      <c r="AJ679" s="14"/>
      <c r="AK679" s="14"/>
      <c r="AL679" s="14"/>
      <c r="AM679" s="14"/>
      <c r="AN679" s="61"/>
    </row>
    <row r="680">
      <c r="A680" s="14"/>
      <c r="B680" s="14"/>
      <c r="C680" s="14"/>
      <c r="D680" s="14"/>
      <c r="E680" s="14"/>
      <c r="F680" s="14"/>
      <c r="G680" s="14"/>
      <c r="H680" s="14"/>
      <c r="I680" s="14"/>
      <c r="J680" s="14"/>
      <c r="K680" s="14"/>
      <c r="L680" s="14"/>
      <c r="M680" s="14"/>
      <c r="N680" s="14"/>
      <c r="O680" s="14"/>
      <c r="P680" s="14"/>
      <c r="Q680" s="58"/>
      <c r="R680" s="58"/>
      <c r="S680" s="14"/>
      <c r="T680" s="14"/>
      <c r="U680" s="59"/>
      <c r="V680" s="59"/>
      <c r="W680" s="14"/>
      <c r="X680" s="14"/>
      <c r="Y680" s="60"/>
      <c r="Z680" s="60"/>
      <c r="AA680" s="60"/>
      <c r="AB680" s="60"/>
      <c r="AC680" s="60"/>
      <c r="AD680" s="60"/>
      <c r="AE680" s="60"/>
      <c r="AF680" s="14"/>
      <c r="AG680" s="14"/>
      <c r="AH680" s="14"/>
      <c r="AI680" s="14"/>
      <c r="AJ680" s="14"/>
      <c r="AK680" s="14"/>
      <c r="AL680" s="14"/>
      <c r="AM680" s="14"/>
      <c r="AN680" s="61"/>
    </row>
    <row r="681">
      <c r="A681" s="14"/>
      <c r="B681" s="14"/>
      <c r="C681" s="14"/>
      <c r="D681" s="14"/>
      <c r="E681" s="14"/>
      <c r="F681" s="14"/>
      <c r="G681" s="14"/>
      <c r="H681" s="14"/>
      <c r="I681" s="14"/>
      <c r="J681" s="14"/>
      <c r="K681" s="14"/>
      <c r="L681" s="14"/>
      <c r="M681" s="14"/>
      <c r="N681" s="14"/>
      <c r="O681" s="14"/>
      <c r="P681" s="14"/>
      <c r="Q681" s="58"/>
      <c r="R681" s="58"/>
      <c r="S681" s="14"/>
      <c r="T681" s="14"/>
      <c r="U681" s="59"/>
      <c r="V681" s="59"/>
      <c r="W681" s="14"/>
      <c r="X681" s="14"/>
      <c r="Y681" s="60"/>
      <c r="Z681" s="60"/>
      <c r="AA681" s="60"/>
      <c r="AB681" s="60"/>
      <c r="AC681" s="60"/>
      <c r="AD681" s="60"/>
      <c r="AE681" s="60"/>
      <c r="AF681" s="14"/>
      <c r="AG681" s="14"/>
      <c r="AH681" s="14"/>
      <c r="AI681" s="14"/>
      <c r="AJ681" s="14"/>
      <c r="AK681" s="14"/>
      <c r="AL681" s="14"/>
      <c r="AM681" s="14"/>
      <c r="AN681" s="61"/>
    </row>
    <row r="682">
      <c r="A682" s="14"/>
      <c r="B682" s="14"/>
      <c r="C682" s="14"/>
      <c r="D682" s="14"/>
      <c r="E682" s="14"/>
      <c r="F682" s="14"/>
      <c r="G682" s="14"/>
      <c r="H682" s="14"/>
      <c r="I682" s="14"/>
      <c r="J682" s="14"/>
      <c r="K682" s="14"/>
      <c r="L682" s="14"/>
      <c r="M682" s="14"/>
      <c r="N682" s="14"/>
      <c r="O682" s="14"/>
      <c r="P682" s="14"/>
      <c r="Q682" s="58"/>
      <c r="R682" s="58"/>
      <c r="S682" s="14"/>
      <c r="T682" s="14"/>
      <c r="U682" s="59"/>
      <c r="V682" s="59"/>
      <c r="W682" s="14"/>
      <c r="X682" s="14"/>
      <c r="Y682" s="60"/>
      <c r="Z682" s="60"/>
      <c r="AA682" s="60"/>
      <c r="AB682" s="60"/>
      <c r="AC682" s="60"/>
      <c r="AD682" s="60"/>
      <c r="AE682" s="60"/>
      <c r="AF682" s="14"/>
      <c r="AG682" s="14"/>
      <c r="AH682" s="14"/>
      <c r="AI682" s="14"/>
      <c r="AJ682" s="14"/>
      <c r="AK682" s="14"/>
      <c r="AL682" s="14"/>
      <c r="AM682" s="14"/>
      <c r="AN682" s="61"/>
    </row>
    <row r="683">
      <c r="A683" s="14"/>
      <c r="B683" s="14"/>
      <c r="C683" s="14"/>
      <c r="D683" s="14"/>
      <c r="E683" s="14"/>
      <c r="F683" s="14"/>
      <c r="G683" s="14"/>
      <c r="H683" s="14"/>
      <c r="I683" s="14"/>
      <c r="J683" s="14"/>
      <c r="K683" s="14"/>
      <c r="L683" s="14"/>
      <c r="M683" s="14"/>
      <c r="N683" s="14"/>
      <c r="O683" s="14"/>
      <c r="P683" s="14"/>
      <c r="Q683" s="58"/>
      <c r="R683" s="58"/>
      <c r="S683" s="14"/>
      <c r="T683" s="14"/>
      <c r="U683" s="59"/>
      <c r="V683" s="59"/>
      <c r="W683" s="14"/>
      <c r="X683" s="14"/>
      <c r="Y683" s="60"/>
      <c r="Z683" s="60"/>
      <c r="AA683" s="60"/>
      <c r="AB683" s="60"/>
      <c r="AC683" s="60"/>
      <c r="AD683" s="60"/>
      <c r="AE683" s="60"/>
      <c r="AF683" s="14"/>
      <c r="AG683" s="14"/>
      <c r="AH683" s="14"/>
      <c r="AI683" s="14"/>
      <c r="AJ683" s="14"/>
      <c r="AK683" s="14"/>
      <c r="AL683" s="14"/>
      <c r="AM683" s="14"/>
      <c r="AN683" s="61"/>
    </row>
    <row r="684">
      <c r="A684" s="14"/>
      <c r="B684" s="14"/>
      <c r="C684" s="14"/>
      <c r="D684" s="14"/>
      <c r="E684" s="14"/>
      <c r="F684" s="14"/>
      <c r="G684" s="14"/>
      <c r="H684" s="14"/>
      <c r="I684" s="14"/>
      <c r="J684" s="14"/>
      <c r="K684" s="14"/>
      <c r="L684" s="14"/>
      <c r="M684" s="14"/>
      <c r="N684" s="14"/>
      <c r="O684" s="14"/>
      <c r="P684" s="14"/>
      <c r="Q684" s="58"/>
      <c r="R684" s="58"/>
      <c r="S684" s="14"/>
      <c r="T684" s="14"/>
      <c r="U684" s="59"/>
      <c r="V684" s="59"/>
      <c r="W684" s="14"/>
      <c r="X684" s="14"/>
      <c r="Y684" s="60"/>
      <c r="Z684" s="60"/>
      <c r="AA684" s="60"/>
      <c r="AB684" s="60"/>
      <c r="AC684" s="60"/>
      <c r="AD684" s="60"/>
      <c r="AE684" s="60"/>
      <c r="AF684" s="14"/>
      <c r="AG684" s="14"/>
      <c r="AH684" s="14"/>
      <c r="AI684" s="14"/>
      <c r="AJ684" s="14"/>
      <c r="AK684" s="14"/>
      <c r="AL684" s="14"/>
      <c r="AM684" s="14"/>
      <c r="AN684" s="61"/>
    </row>
    <row r="685">
      <c r="A685" s="14"/>
      <c r="B685" s="14"/>
      <c r="C685" s="14"/>
      <c r="D685" s="14"/>
      <c r="E685" s="14"/>
      <c r="F685" s="14"/>
      <c r="G685" s="14"/>
      <c r="H685" s="14"/>
      <c r="I685" s="14"/>
      <c r="J685" s="14"/>
      <c r="K685" s="14"/>
      <c r="L685" s="14"/>
      <c r="M685" s="14"/>
      <c r="N685" s="14"/>
      <c r="O685" s="14"/>
      <c r="P685" s="14"/>
      <c r="Q685" s="58"/>
      <c r="R685" s="58"/>
      <c r="S685" s="14"/>
      <c r="T685" s="14"/>
      <c r="U685" s="59"/>
      <c r="V685" s="59"/>
      <c r="W685" s="14"/>
      <c r="X685" s="14"/>
      <c r="Y685" s="60"/>
      <c r="Z685" s="60"/>
      <c r="AA685" s="60"/>
      <c r="AB685" s="60"/>
      <c r="AC685" s="60"/>
      <c r="AD685" s="60"/>
      <c r="AE685" s="60"/>
      <c r="AF685" s="14"/>
      <c r="AG685" s="14"/>
      <c r="AH685" s="14"/>
      <c r="AI685" s="14"/>
      <c r="AJ685" s="14"/>
      <c r="AK685" s="14"/>
      <c r="AL685" s="14"/>
      <c r="AM685" s="14"/>
      <c r="AN685" s="61"/>
    </row>
    <row r="686">
      <c r="A686" s="14"/>
      <c r="B686" s="14"/>
      <c r="C686" s="14"/>
      <c r="D686" s="14"/>
      <c r="E686" s="14"/>
      <c r="F686" s="14"/>
      <c r="G686" s="14"/>
      <c r="H686" s="14"/>
      <c r="I686" s="14"/>
      <c r="J686" s="14"/>
      <c r="K686" s="14"/>
      <c r="L686" s="14"/>
      <c r="M686" s="14"/>
      <c r="N686" s="14"/>
      <c r="O686" s="14"/>
      <c r="P686" s="14"/>
      <c r="Q686" s="58"/>
      <c r="R686" s="58"/>
      <c r="S686" s="14"/>
      <c r="T686" s="14"/>
      <c r="U686" s="59"/>
      <c r="V686" s="59"/>
      <c r="W686" s="14"/>
      <c r="X686" s="14"/>
      <c r="Y686" s="60"/>
      <c r="Z686" s="60"/>
      <c r="AA686" s="60"/>
      <c r="AB686" s="60"/>
      <c r="AC686" s="60"/>
      <c r="AD686" s="60"/>
      <c r="AE686" s="60"/>
      <c r="AF686" s="14"/>
      <c r="AG686" s="14"/>
      <c r="AH686" s="14"/>
      <c r="AI686" s="14"/>
      <c r="AJ686" s="14"/>
      <c r="AK686" s="14"/>
      <c r="AL686" s="14"/>
      <c r="AM686" s="14"/>
      <c r="AN686" s="61"/>
    </row>
    <row r="687">
      <c r="A687" s="14"/>
      <c r="B687" s="14"/>
      <c r="C687" s="14"/>
      <c r="D687" s="14"/>
      <c r="E687" s="14"/>
      <c r="F687" s="14"/>
      <c r="G687" s="14"/>
      <c r="H687" s="14"/>
      <c r="I687" s="14"/>
      <c r="J687" s="14"/>
      <c r="K687" s="14"/>
      <c r="L687" s="14"/>
      <c r="M687" s="14"/>
      <c r="N687" s="14"/>
      <c r="O687" s="14"/>
      <c r="P687" s="14"/>
      <c r="Q687" s="58"/>
      <c r="R687" s="58"/>
      <c r="S687" s="14"/>
      <c r="T687" s="14"/>
      <c r="U687" s="59"/>
      <c r="V687" s="59"/>
      <c r="W687" s="14"/>
      <c r="X687" s="14"/>
      <c r="Y687" s="60"/>
      <c r="Z687" s="60"/>
      <c r="AA687" s="60"/>
      <c r="AB687" s="60"/>
      <c r="AC687" s="60"/>
      <c r="AD687" s="60"/>
      <c r="AE687" s="60"/>
      <c r="AF687" s="14"/>
      <c r="AG687" s="14"/>
      <c r="AH687" s="14"/>
      <c r="AI687" s="14"/>
      <c r="AJ687" s="14"/>
      <c r="AK687" s="14"/>
      <c r="AL687" s="14"/>
      <c r="AM687" s="14"/>
      <c r="AN687" s="61"/>
    </row>
    <row r="688">
      <c r="A688" s="14"/>
      <c r="B688" s="14"/>
      <c r="C688" s="14"/>
      <c r="D688" s="14"/>
      <c r="E688" s="14"/>
      <c r="F688" s="14"/>
      <c r="G688" s="14"/>
      <c r="H688" s="14"/>
      <c r="I688" s="14"/>
      <c r="J688" s="14"/>
      <c r="K688" s="14"/>
      <c r="L688" s="14"/>
      <c r="M688" s="14"/>
      <c r="N688" s="14"/>
      <c r="O688" s="14"/>
      <c r="P688" s="14"/>
      <c r="Q688" s="58"/>
      <c r="R688" s="58"/>
      <c r="S688" s="14"/>
      <c r="T688" s="14"/>
      <c r="U688" s="59"/>
      <c r="V688" s="59"/>
      <c r="W688" s="14"/>
      <c r="X688" s="14"/>
      <c r="Y688" s="60"/>
      <c r="Z688" s="60"/>
      <c r="AA688" s="60"/>
      <c r="AB688" s="60"/>
      <c r="AC688" s="60"/>
      <c r="AD688" s="60"/>
      <c r="AE688" s="60"/>
      <c r="AF688" s="14"/>
      <c r="AG688" s="14"/>
      <c r="AH688" s="14"/>
      <c r="AI688" s="14"/>
      <c r="AJ688" s="14"/>
      <c r="AK688" s="14"/>
      <c r="AL688" s="14"/>
      <c r="AM688" s="14"/>
      <c r="AN688" s="61"/>
    </row>
    <row r="689">
      <c r="A689" s="14"/>
      <c r="B689" s="14"/>
      <c r="C689" s="14"/>
      <c r="D689" s="14"/>
      <c r="E689" s="14"/>
      <c r="F689" s="14"/>
      <c r="G689" s="14"/>
      <c r="H689" s="14"/>
      <c r="I689" s="14"/>
      <c r="J689" s="14"/>
      <c r="K689" s="14"/>
      <c r="L689" s="14"/>
      <c r="M689" s="14"/>
      <c r="N689" s="14"/>
      <c r="O689" s="14"/>
      <c r="P689" s="14"/>
      <c r="Q689" s="58"/>
      <c r="R689" s="58"/>
      <c r="S689" s="14"/>
      <c r="T689" s="14"/>
      <c r="U689" s="59"/>
      <c r="V689" s="59"/>
      <c r="W689" s="14"/>
      <c r="X689" s="14"/>
      <c r="Y689" s="60"/>
      <c r="Z689" s="60"/>
      <c r="AA689" s="60"/>
      <c r="AB689" s="60"/>
      <c r="AC689" s="60"/>
      <c r="AD689" s="60"/>
      <c r="AE689" s="60"/>
      <c r="AF689" s="14"/>
      <c r="AG689" s="14"/>
      <c r="AH689" s="14"/>
      <c r="AI689" s="14"/>
      <c r="AJ689" s="14"/>
      <c r="AK689" s="14"/>
      <c r="AL689" s="14"/>
      <c r="AM689" s="14"/>
      <c r="AN689" s="61"/>
    </row>
    <row r="690">
      <c r="A690" s="14"/>
      <c r="B690" s="14"/>
      <c r="C690" s="14"/>
      <c r="D690" s="14"/>
      <c r="E690" s="14"/>
      <c r="F690" s="14"/>
      <c r="G690" s="14"/>
      <c r="H690" s="14"/>
      <c r="I690" s="14"/>
      <c r="J690" s="14"/>
      <c r="K690" s="14"/>
      <c r="L690" s="14"/>
      <c r="M690" s="14"/>
      <c r="N690" s="14"/>
      <c r="O690" s="14"/>
      <c r="P690" s="14"/>
      <c r="Q690" s="58"/>
      <c r="R690" s="58"/>
      <c r="S690" s="14"/>
      <c r="T690" s="14"/>
      <c r="U690" s="59"/>
      <c r="V690" s="59"/>
      <c r="W690" s="14"/>
      <c r="X690" s="14"/>
      <c r="Y690" s="60"/>
      <c r="Z690" s="60"/>
      <c r="AA690" s="60"/>
      <c r="AB690" s="60"/>
      <c r="AC690" s="60"/>
      <c r="AD690" s="60"/>
      <c r="AE690" s="60"/>
      <c r="AF690" s="14"/>
      <c r="AG690" s="14"/>
      <c r="AH690" s="14"/>
      <c r="AI690" s="14"/>
      <c r="AJ690" s="14"/>
      <c r="AK690" s="14"/>
      <c r="AL690" s="14"/>
      <c r="AM690" s="14"/>
      <c r="AN690" s="61"/>
    </row>
    <row r="691">
      <c r="A691" s="14"/>
      <c r="B691" s="14"/>
      <c r="C691" s="14"/>
      <c r="D691" s="14"/>
      <c r="E691" s="14"/>
      <c r="F691" s="14"/>
      <c r="G691" s="14"/>
      <c r="H691" s="14"/>
      <c r="I691" s="14"/>
      <c r="J691" s="14"/>
      <c r="K691" s="14"/>
      <c r="L691" s="14"/>
      <c r="M691" s="14"/>
      <c r="N691" s="14"/>
      <c r="O691" s="14"/>
      <c r="P691" s="14"/>
      <c r="Q691" s="58"/>
      <c r="R691" s="58"/>
      <c r="S691" s="14"/>
      <c r="T691" s="14"/>
      <c r="U691" s="59"/>
      <c r="V691" s="59"/>
      <c r="W691" s="14"/>
      <c r="X691" s="14"/>
      <c r="Y691" s="60"/>
      <c r="Z691" s="60"/>
      <c r="AA691" s="60"/>
      <c r="AB691" s="60"/>
      <c r="AC691" s="60"/>
      <c r="AD691" s="60"/>
      <c r="AE691" s="60"/>
      <c r="AF691" s="14"/>
      <c r="AG691" s="14"/>
      <c r="AH691" s="14"/>
      <c r="AI691" s="14"/>
      <c r="AJ691" s="14"/>
      <c r="AK691" s="14"/>
      <c r="AL691" s="14"/>
      <c r="AM691" s="14"/>
      <c r="AN691" s="61"/>
    </row>
    <row r="692">
      <c r="A692" s="14"/>
      <c r="B692" s="14"/>
      <c r="C692" s="14"/>
      <c r="D692" s="14"/>
      <c r="E692" s="14"/>
      <c r="F692" s="14"/>
      <c r="G692" s="14"/>
      <c r="H692" s="14"/>
      <c r="I692" s="14"/>
      <c r="J692" s="14"/>
      <c r="K692" s="14"/>
      <c r="L692" s="14"/>
      <c r="M692" s="14"/>
      <c r="N692" s="14"/>
      <c r="O692" s="14"/>
      <c r="P692" s="14"/>
      <c r="Q692" s="58"/>
      <c r="R692" s="58"/>
      <c r="S692" s="14"/>
      <c r="T692" s="14"/>
      <c r="U692" s="59"/>
      <c r="V692" s="59"/>
      <c r="W692" s="14"/>
      <c r="X692" s="14"/>
      <c r="Y692" s="60"/>
      <c r="Z692" s="60"/>
      <c r="AA692" s="60"/>
      <c r="AB692" s="60"/>
      <c r="AC692" s="60"/>
      <c r="AD692" s="60"/>
      <c r="AE692" s="60"/>
      <c r="AF692" s="14"/>
      <c r="AG692" s="14"/>
      <c r="AH692" s="14"/>
      <c r="AI692" s="14"/>
      <c r="AJ692" s="14"/>
      <c r="AK692" s="14"/>
      <c r="AL692" s="14"/>
      <c r="AM692" s="14"/>
      <c r="AN692" s="61"/>
    </row>
    <row r="693">
      <c r="A693" s="14"/>
      <c r="B693" s="14"/>
      <c r="C693" s="14"/>
      <c r="D693" s="14"/>
      <c r="E693" s="14"/>
      <c r="F693" s="14"/>
      <c r="G693" s="14"/>
      <c r="H693" s="14"/>
      <c r="I693" s="14"/>
      <c r="J693" s="14"/>
      <c r="K693" s="14"/>
      <c r="L693" s="14"/>
      <c r="M693" s="14"/>
      <c r="N693" s="14"/>
      <c r="O693" s="14"/>
      <c r="P693" s="14"/>
      <c r="Q693" s="58"/>
      <c r="R693" s="58"/>
      <c r="S693" s="14"/>
      <c r="T693" s="14"/>
      <c r="U693" s="59"/>
      <c r="V693" s="59"/>
      <c r="W693" s="14"/>
      <c r="X693" s="14"/>
      <c r="Y693" s="60"/>
      <c r="Z693" s="60"/>
      <c r="AA693" s="60"/>
      <c r="AB693" s="60"/>
      <c r="AC693" s="60"/>
      <c r="AD693" s="60"/>
      <c r="AE693" s="60"/>
      <c r="AF693" s="14"/>
      <c r="AG693" s="14"/>
      <c r="AH693" s="14"/>
      <c r="AI693" s="14"/>
      <c r="AJ693" s="14"/>
      <c r="AK693" s="14"/>
      <c r="AL693" s="14"/>
      <c r="AM693" s="14"/>
      <c r="AN693" s="61"/>
    </row>
    <row r="694">
      <c r="A694" s="14"/>
      <c r="B694" s="14"/>
      <c r="C694" s="14"/>
      <c r="D694" s="14"/>
      <c r="E694" s="14"/>
      <c r="F694" s="14"/>
      <c r="G694" s="14"/>
      <c r="H694" s="14"/>
      <c r="I694" s="14"/>
      <c r="J694" s="14"/>
      <c r="K694" s="14"/>
      <c r="L694" s="14"/>
      <c r="M694" s="14"/>
      <c r="N694" s="14"/>
      <c r="O694" s="14"/>
      <c r="P694" s="14"/>
      <c r="Q694" s="58"/>
      <c r="R694" s="58"/>
      <c r="S694" s="14"/>
      <c r="T694" s="14"/>
      <c r="U694" s="59"/>
      <c r="V694" s="59"/>
      <c r="W694" s="14"/>
      <c r="X694" s="14"/>
      <c r="Y694" s="60"/>
      <c r="Z694" s="60"/>
      <c r="AA694" s="60"/>
      <c r="AB694" s="60"/>
      <c r="AC694" s="60"/>
      <c r="AD694" s="60"/>
      <c r="AE694" s="60"/>
      <c r="AF694" s="14"/>
      <c r="AG694" s="14"/>
      <c r="AH694" s="14"/>
      <c r="AI694" s="14"/>
      <c r="AJ694" s="14"/>
      <c r="AK694" s="14"/>
      <c r="AL694" s="14"/>
      <c r="AM694" s="14"/>
      <c r="AN694" s="61"/>
    </row>
    <row r="695">
      <c r="A695" s="14"/>
      <c r="B695" s="14"/>
      <c r="C695" s="14"/>
      <c r="D695" s="14"/>
      <c r="E695" s="14"/>
      <c r="F695" s="14"/>
      <c r="G695" s="14"/>
      <c r="H695" s="14"/>
      <c r="I695" s="14"/>
      <c r="J695" s="14"/>
      <c r="K695" s="14"/>
      <c r="L695" s="14"/>
      <c r="M695" s="14"/>
      <c r="N695" s="14"/>
      <c r="O695" s="14"/>
      <c r="P695" s="14"/>
      <c r="Q695" s="58"/>
      <c r="R695" s="58"/>
      <c r="S695" s="14"/>
      <c r="T695" s="14"/>
      <c r="U695" s="59"/>
      <c r="V695" s="59"/>
      <c r="W695" s="14"/>
      <c r="X695" s="14"/>
      <c r="Y695" s="60"/>
      <c r="Z695" s="60"/>
      <c r="AA695" s="60"/>
      <c r="AB695" s="60"/>
      <c r="AC695" s="60"/>
      <c r="AD695" s="60"/>
      <c r="AE695" s="60"/>
      <c r="AF695" s="14"/>
      <c r="AG695" s="14"/>
      <c r="AH695" s="14"/>
      <c r="AI695" s="14"/>
      <c r="AJ695" s="14"/>
      <c r="AK695" s="14"/>
      <c r="AL695" s="14"/>
      <c r="AM695" s="14"/>
      <c r="AN695" s="61"/>
    </row>
    <row r="696">
      <c r="A696" s="14"/>
      <c r="B696" s="14"/>
      <c r="C696" s="14"/>
      <c r="D696" s="14"/>
      <c r="E696" s="14"/>
      <c r="F696" s="14"/>
      <c r="G696" s="14"/>
      <c r="H696" s="14"/>
      <c r="I696" s="14"/>
      <c r="J696" s="14"/>
      <c r="K696" s="14"/>
      <c r="L696" s="14"/>
      <c r="M696" s="14"/>
      <c r="N696" s="14"/>
      <c r="O696" s="14"/>
      <c r="P696" s="14"/>
      <c r="Q696" s="58"/>
      <c r="R696" s="58"/>
      <c r="S696" s="14"/>
      <c r="T696" s="14"/>
      <c r="U696" s="59"/>
      <c r="V696" s="59"/>
      <c r="W696" s="14"/>
      <c r="X696" s="14"/>
      <c r="Y696" s="60"/>
      <c r="Z696" s="60"/>
      <c r="AA696" s="60"/>
      <c r="AB696" s="60"/>
      <c r="AC696" s="60"/>
      <c r="AD696" s="60"/>
      <c r="AE696" s="60"/>
      <c r="AF696" s="14"/>
      <c r="AG696" s="14"/>
      <c r="AH696" s="14"/>
      <c r="AI696" s="14"/>
      <c r="AJ696" s="14"/>
      <c r="AK696" s="14"/>
      <c r="AL696" s="14"/>
      <c r="AM696" s="14"/>
      <c r="AN696" s="61"/>
    </row>
    <row r="697">
      <c r="A697" s="14"/>
      <c r="B697" s="14"/>
      <c r="C697" s="14"/>
      <c r="D697" s="14"/>
      <c r="E697" s="14"/>
      <c r="F697" s="14"/>
      <c r="G697" s="14"/>
      <c r="H697" s="14"/>
      <c r="I697" s="14"/>
      <c r="J697" s="14"/>
      <c r="K697" s="14"/>
      <c r="L697" s="14"/>
      <c r="M697" s="14"/>
      <c r="N697" s="14"/>
      <c r="O697" s="14"/>
      <c r="P697" s="14"/>
      <c r="Q697" s="58"/>
      <c r="R697" s="58"/>
      <c r="S697" s="14"/>
      <c r="T697" s="14"/>
      <c r="U697" s="59"/>
      <c r="V697" s="59"/>
      <c r="W697" s="14"/>
      <c r="X697" s="14"/>
      <c r="Y697" s="60"/>
      <c r="Z697" s="60"/>
      <c r="AA697" s="60"/>
      <c r="AB697" s="60"/>
      <c r="AC697" s="60"/>
      <c r="AD697" s="60"/>
      <c r="AE697" s="60"/>
      <c r="AF697" s="14"/>
      <c r="AG697" s="14"/>
      <c r="AH697" s="14"/>
      <c r="AI697" s="14"/>
      <c r="AJ697" s="14"/>
      <c r="AK697" s="14"/>
      <c r="AL697" s="14"/>
      <c r="AM697" s="14"/>
      <c r="AN697" s="61"/>
    </row>
    <row r="698">
      <c r="A698" s="14"/>
      <c r="B698" s="14"/>
      <c r="C698" s="14"/>
      <c r="D698" s="14"/>
      <c r="E698" s="14"/>
      <c r="F698" s="14"/>
      <c r="G698" s="14"/>
      <c r="H698" s="14"/>
      <c r="I698" s="14"/>
      <c r="J698" s="14"/>
      <c r="K698" s="14"/>
      <c r="L698" s="14"/>
      <c r="M698" s="14"/>
      <c r="N698" s="14"/>
      <c r="O698" s="14"/>
      <c r="P698" s="14"/>
      <c r="Q698" s="58"/>
      <c r="R698" s="58"/>
      <c r="S698" s="14"/>
      <c r="T698" s="14"/>
      <c r="U698" s="59"/>
      <c r="V698" s="59"/>
      <c r="W698" s="14"/>
      <c r="X698" s="14"/>
      <c r="Y698" s="60"/>
      <c r="Z698" s="60"/>
      <c r="AA698" s="60"/>
      <c r="AB698" s="60"/>
      <c r="AC698" s="60"/>
      <c r="AD698" s="60"/>
      <c r="AE698" s="60"/>
      <c r="AF698" s="14"/>
      <c r="AG698" s="14"/>
      <c r="AH698" s="14"/>
      <c r="AI698" s="14"/>
      <c r="AJ698" s="14"/>
      <c r="AK698" s="14"/>
      <c r="AL698" s="14"/>
      <c r="AM698" s="14"/>
      <c r="AN698" s="61"/>
    </row>
    <row r="699">
      <c r="A699" s="14"/>
      <c r="B699" s="14"/>
      <c r="C699" s="14"/>
      <c r="D699" s="14"/>
      <c r="E699" s="14"/>
      <c r="F699" s="14"/>
      <c r="G699" s="14"/>
      <c r="H699" s="14"/>
      <c r="I699" s="14"/>
      <c r="J699" s="14"/>
      <c r="K699" s="14"/>
      <c r="L699" s="14"/>
      <c r="M699" s="14"/>
      <c r="N699" s="14"/>
      <c r="O699" s="14"/>
      <c r="P699" s="14"/>
      <c r="Q699" s="58"/>
      <c r="R699" s="58"/>
      <c r="S699" s="14"/>
      <c r="T699" s="14"/>
      <c r="U699" s="59"/>
      <c r="V699" s="59"/>
      <c r="W699" s="14"/>
      <c r="X699" s="14"/>
      <c r="Y699" s="60"/>
      <c r="Z699" s="60"/>
      <c r="AA699" s="60"/>
      <c r="AB699" s="60"/>
      <c r="AC699" s="60"/>
      <c r="AD699" s="60"/>
      <c r="AE699" s="60"/>
      <c r="AF699" s="14"/>
      <c r="AG699" s="14"/>
      <c r="AH699" s="14"/>
      <c r="AI699" s="14"/>
      <c r="AJ699" s="14"/>
      <c r="AK699" s="14"/>
      <c r="AL699" s="14"/>
      <c r="AM699" s="14"/>
      <c r="AN699" s="61"/>
    </row>
    <row r="700">
      <c r="A700" s="14"/>
      <c r="B700" s="14"/>
      <c r="C700" s="14"/>
      <c r="D700" s="14"/>
      <c r="E700" s="14"/>
      <c r="F700" s="14"/>
      <c r="G700" s="14"/>
      <c r="H700" s="14"/>
      <c r="I700" s="14"/>
      <c r="J700" s="14"/>
      <c r="K700" s="14"/>
      <c r="L700" s="14"/>
      <c r="M700" s="14"/>
      <c r="N700" s="14"/>
      <c r="O700" s="14"/>
      <c r="P700" s="14"/>
      <c r="Q700" s="58"/>
      <c r="R700" s="58"/>
      <c r="S700" s="14"/>
      <c r="T700" s="14"/>
      <c r="U700" s="59"/>
      <c r="V700" s="59"/>
      <c r="W700" s="14"/>
      <c r="X700" s="14"/>
      <c r="Y700" s="60"/>
      <c r="Z700" s="60"/>
      <c r="AA700" s="60"/>
      <c r="AB700" s="60"/>
      <c r="AC700" s="60"/>
      <c r="AD700" s="60"/>
      <c r="AE700" s="60"/>
      <c r="AF700" s="14"/>
      <c r="AG700" s="14"/>
      <c r="AH700" s="14"/>
      <c r="AI700" s="14"/>
      <c r="AJ700" s="14"/>
      <c r="AK700" s="14"/>
      <c r="AL700" s="14"/>
      <c r="AM700" s="14"/>
      <c r="AN700" s="61"/>
    </row>
    <row r="701">
      <c r="A701" s="14"/>
      <c r="B701" s="14"/>
      <c r="C701" s="14"/>
      <c r="D701" s="14"/>
      <c r="E701" s="14"/>
      <c r="F701" s="14"/>
      <c r="G701" s="14"/>
      <c r="H701" s="14"/>
      <c r="I701" s="14"/>
      <c r="J701" s="14"/>
      <c r="K701" s="14"/>
      <c r="L701" s="14"/>
      <c r="M701" s="14"/>
      <c r="N701" s="14"/>
      <c r="O701" s="14"/>
      <c r="P701" s="14"/>
      <c r="Q701" s="58"/>
      <c r="R701" s="58"/>
      <c r="S701" s="14"/>
      <c r="T701" s="14"/>
      <c r="U701" s="59"/>
      <c r="V701" s="59"/>
      <c r="W701" s="14"/>
      <c r="X701" s="14"/>
      <c r="Y701" s="60"/>
      <c r="Z701" s="60"/>
      <c r="AA701" s="60"/>
      <c r="AB701" s="60"/>
      <c r="AC701" s="60"/>
      <c r="AD701" s="60"/>
      <c r="AE701" s="60"/>
      <c r="AF701" s="14"/>
      <c r="AG701" s="14"/>
      <c r="AH701" s="14"/>
      <c r="AI701" s="14"/>
      <c r="AJ701" s="14"/>
      <c r="AK701" s="14"/>
      <c r="AL701" s="14"/>
      <c r="AM701" s="14"/>
      <c r="AN701" s="61"/>
    </row>
    <row r="702">
      <c r="A702" s="14"/>
      <c r="B702" s="14"/>
      <c r="C702" s="14"/>
      <c r="D702" s="14"/>
      <c r="E702" s="14"/>
      <c r="F702" s="14"/>
      <c r="G702" s="14"/>
      <c r="H702" s="14"/>
      <c r="I702" s="14"/>
      <c r="J702" s="14"/>
      <c r="K702" s="14"/>
      <c r="L702" s="14"/>
      <c r="M702" s="14"/>
      <c r="N702" s="14"/>
      <c r="O702" s="14"/>
      <c r="P702" s="14"/>
      <c r="Q702" s="58"/>
      <c r="R702" s="58"/>
      <c r="S702" s="14"/>
      <c r="T702" s="14"/>
      <c r="U702" s="59"/>
      <c r="V702" s="59"/>
      <c r="W702" s="14"/>
      <c r="X702" s="14"/>
      <c r="Y702" s="60"/>
      <c r="Z702" s="60"/>
      <c r="AA702" s="60"/>
      <c r="AB702" s="60"/>
      <c r="AC702" s="60"/>
      <c r="AD702" s="60"/>
      <c r="AE702" s="60"/>
      <c r="AF702" s="14"/>
      <c r="AG702" s="14"/>
      <c r="AH702" s="14"/>
      <c r="AI702" s="14"/>
      <c r="AJ702" s="14"/>
      <c r="AK702" s="14"/>
      <c r="AL702" s="14"/>
      <c r="AM702" s="14"/>
      <c r="AN702" s="61"/>
    </row>
    <row r="703">
      <c r="A703" s="14"/>
      <c r="B703" s="14"/>
      <c r="C703" s="14"/>
      <c r="D703" s="14"/>
      <c r="E703" s="14"/>
      <c r="F703" s="14"/>
      <c r="G703" s="14"/>
      <c r="H703" s="14"/>
      <c r="I703" s="14"/>
      <c r="J703" s="14"/>
      <c r="K703" s="14"/>
      <c r="L703" s="14"/>
      <c r="M703" s="14"/>
      <c r="N703" s="14"/>
      <c r="O703" s="14"/>
      <c r="P703" s="14"/>
      <c r="Q703" s="58"/>
      <c r="R703" s="58"/>
      <c r="S703" s="14"/>
      <c r="T703" s="14"/>
      <c r="U703" s="59"/>
      <c r="V703" s="59"/>
      <c r="W703" s="14"/>
      <c r="X703" s="14"/>
      <c r="Y703" s="60"/>
      <c r="Z703" s="60"/>
      <c r="AA703" s="60"/>
      <c r="AB703" s="60"/>
      <c r="AC703" s="60"/>
      <c r="AD703" s="60"/>
      <c r="AE703" s="60"/>
      <c r="AF703" s="14"/>
      <c r="AG703" s="14"/>
      <c r="AH703" s="14"/>
      <c r="AI703" s="14"/>
      <c r="AJ703" s="14"/>
      <c r="AK703" s="14"/>
      <c r="AL703" s="14"/>
      <c r="AM703" s="14"/>
      <c r="AN703" s="61"/>
    </row>
    <row r="704">
      <c r="A704" s="14"/>
      <c r="B704" s="14"/>
      <c r="C704" s="14"/>
      <c r="D704" s="14"/>
      <c r="E704" s="14"/>
      <c r="F704" s="14"/>
      <c r="G704" s="14"/>
      <c r="H704" s="14"/>
      <c r="I704" s="14"/>
      <c r="J704" s="14"/>
      <c r="K704" s="14"/>
      <c r="L704" s="14"/>
      <c r="M704" s="14"/>
      <c r="N704" s="14"/>
      <c r="O704" s="14"/>
      <c r="P704" s="14"/>
      <c r="Q704" s="58"/>
      <c r="R704" s="58"/>
      <c r="S704" s="14"/>
      <c r="T704" s="14"/>
      <c r="U704" s="59"/>
      <c r="V704" s="59"/>
      <c r="W704" s="14"/>
      <c r="X704" s="14"/>
      <c r="Y704" s="60"/>
      <c r="Z704" s="60"/>
      <c r="AA704" s="60"/>
      <c r="AB704" s="60"/>
      <c r="AC704" s="60"/>
      <c r="AD704" s="60"/>
      <c r="AE704" s="60"/>
      <c r="AF704" s="14"/>
      <c r="AG704" s="14"/>
      <c r="AH704" s="14"/>
      <c r="AI704" s="14"/>
      <c r="AJ704" s="14"/>
      <c r="AK704" s="14"/>
      <c r="AL704" s="14"/>
      <c r="AM704" s="14"/>
      <c r="AN704" s="61"/>
    </row>
    <row r="705">
      <c r="A705" s="14"/>
      <c r="B705" s="14"/>
      <c r="C705" s="14"/>
      <c r="D705" s="14"/>
      <c r="E705" s="14"/>
      <c r="F705" s="14"/>
      <c r="G705" s="14"/>
      <c r="H705" s="14"/>
      <c r="I705" s="14"/>
      <c r="J705" s="14"/>
      <c r="K705" s="14"/>
      <c r="L705" s="14"/>
      <c r="M705" s="14"/>
      <c r="N705" s="14"/>
      <c r="O705" s="14"/>
      <c r="P705" s="14"/>
      <c r="Q705" s="58"/>
      <c r="R705" s="58"/>
      <c r="S705" s="14"/>
      <c r="T705" s="14"/>
      <c r="U705" s="59"/>
      <c r="V705" s="59"/>
      <c r="W705" s="14"/>
      <c r="X705" s="14"/>
      <c r="Y705" s="60"/>
      <c r="Z705" s="60"/>
      <c r="AA705" s="60"/>
      <c r="AB705" s="60"/>
      <c r="AC705" s="60"/>
      <c r="AD705" s="60"/>
      <c r="AE705" s="60"/>
      <c r="AF705" s="14"/>
      <c r="AG705" s="14"/>
      <c r="AH705" s="14"/>
      <c r="AI705" s="14"/>
      <c r="AJ705" s="14"/>
      <c r="AK705" s="14"/>
      <c r="AL705" s="14"/>
      <c r="AM705" s="14"/>
      <c r="AN705" s="61"/>
    </row>
    <row r="706">
      <c r="A706" s="14"/>
      <c r="B706" s="14"/>
      <c r="C706" s="14"/>
      <c r="D706" s="14"/>
      <c r="E706" s="14"/>
      <c r="F706" s="14"/>
      <c r="G706" s="14"/>
      <c r="H706" s="14"/>
      <c r="I706" s="14"/>
      <c r="J706" s="14"/>
      <c r="K706" s="14"/>
      <c r="L706" s="14"/>
      <c r="M706" s="14"/>
      <c r="N706" s="14"/>
      <c r="O706" s="14"/>
      <c r="P706" s="14"/>
      <c r="Q706" s="58"/>
      <c r="R706" s="58"/>
      <c r="S706" s="14"/>
      <c r="T706" s="14"/>
      <c r="U706" s="59"/>
      <c r="V706" s="59"/>
      <c r="W706" s="14"/>
      <c r="X706" s="14"/>
      <c r="Y706" s="60"/>
      <c r="Z706" s="60"/>
      <c r="AA706" s="60"/>
      <c r="AB706" s="60"/>
      <c r="AC706" s="60"/>
      <c r="AD706" s="60"/>
      <c r="AE706" s="60"/>
      <c r="AF706" s="14"/>
      <c r="AG706" s="14"/>
      <c r="AH706" s="14"/>
      <c r="AI706" s="14"/>
      <c r="AJ706" s="14"/>
      <c r="AK706" s="14"/>
      <c r="AL706" s="14"/>
      <c r="AM706" s="14"/>
      <c r="AN706" s="61"/>
    </row>
    <row r="707">
      <c r="A707" s="14"/>
      <c r="B707" s="14"/>
      <c r="C707" s="14"/>
      <c r="D707" s="14"/>
      <c r="E707" s="14"/>
      <c r="F707" s="14"/>
      <c r="G707" s="14"/>
      <c r="H707" s="14"/>
      <c r="I707" s="14"/>
      <c r="J707" s="14"/>
      <c r="K707" s="14"/>
      <c r="L707" s="14"/>
      <c r="M707" s="14"/>
      <c r="N707" s="14"/>
      <c r="O707" s="14"/>
      <c r="P707" s="14"/>
      <c r="Q707" s="58"/>
      <c r="R707" s="58"/>
      <c r="S707" s="14"/>
      <c r="T707" s="14"/>
      <c r="U707" s="59"/>
      <c r="V707" s="59"/>
      <c r="W707" s="14"/>
      <c r="X707" s="14"/>
      <c r="Y707" s="60"/>
      <c r="Z707" s="60"/>
      <c r="AA707" s="60"/>
      <c r="AB707" s="60"/>
      <c r="AC707" s="60"/>
      <c r="AD707" s="60"/>
      <c r="AE707" s="60"/>
      <c r="AF707" s="14"/>
      <c r="AG707" s="14"/>
      <c r="AH707" s="14"/>
      <c r="AI707" s="14"/>
      <c r="AJ707" s="14"/>
      <c r="AK707" s="14"/>
      <c r="AL707" s="14"/>
      <c r="AM707" s="14"/>
      <c r="AN707" s="61"/>
    </row>
    <row r="708">
      <c r="A708" s="14"/>
      <c r="B708" s="14"/>
      <c r="C708" s="14"/>
      <c r="D708" s="14"/>
      <c r="E708" s="14"/>
      <c r="F708" s="14"/>
      <c r="G708" s="14"/>
      <c r="H708" s="14"/>
      <c r="I708" s="14"/>
      <c r="J708" s="14"/>
      <c r="K708" s="14"/>
      <c r="L708" s="14"/>
      <c r="M708" s="14"/>
      <c r="N708" s="14"/>
      <c r="O708" s="14"/>
      <c r="P708" s="14"/>
      <c r="Q708" s="58"/>
      <c r="R708" s="58"/>
      <c r="S708" s="14"/>
      <c r="T708" s="14"/>
      <c r="U708" s="59"/>
      <c r="V708" s="59"/>
      <c r="W708" s="14"/>
      <c r="X708" s="14"/>
      <c r="Y708" s="60"/>
      <c r="Z708" s="60"/>
      <c r="AA708" s="60"/>
      <c r="AB708" s="60"/>
      <c r="AC708" s="60"/>
      <c r="AD708" s="60"/>
      <c r="AE708" s="60"/>
      <c r="AF708" s="14"/>
      <c r="AG708" s="14"/>
      <c r="AH708" s="14"/>
      <c r="AI708" s="14"/>
      <c r="AJ708" s="14"/>
      <c r="AK708" s="14"/>
      <c r="AL708" s="14"/>
      <c r="AM708" s="14"/>
      <c r="AN708" s="61"/>
    </row>
    <row r="709">
      <c r="A709" s="14"/>
      <c r="B709" s="14"/>
      <c r="C709" s="14"/>
      <c r="D709" s="14"/>
      <c r="E709" s="14"/>
      <c r="F709" s="14"/>
      <c r="G709" s="14"/>
      <c r="H709" s="14"/>
      <c r="I709" s="14"/>
      <c r="J709" s="14"/>
      <c r="K709" s="14"/>
      <c r="L709" s="14"/>
      <c r="M709" s="14"/>
      <c r="N709" s="14"/>
      <c r="O709" s="14"/>
      <c r="P709" s="14"/>
      <c r="Q709" s="58"/>
      <c r="R709" s="58"/>
      <c r="S709" s="14"/>
      <c r="T709" s="14"/>
      <c r="U709" s="59"/>
      <c r="V709" s="59"/>
      <c r="W709" s="14"/>
      <c r="X709" s="14"/>
      <c r="Y709" s="60"/>
      <c r="Z709" s="60"/>
      <c r="AA709" s="60"/>
      <c r="AB709" s="60"/>
      <c r="AC709" s="60"/>
      <c r="AD709" s="60"/>
      <c r="AE709" s="60"/>
      <c r="AF709" s="14"/>
      <c r="AG709" s="14"/>
      <c r="AH709" s="14"/>
      <c r="AI709" s="14"/>
      <c r="AJ709" s="14"/>
      <c r="AK709" s="14"/>
      <c r="AL709" s="14"/>
      <c r="AM709" s="14"/>
      <c r="AN709" s="61"/>
    </row>
    <row r="710">
      <c r="A710" s="14"/>
      <c r="B710" s="14"/>
      <c r="C710" s="14"/>
      <c r="D710" s="14"/>
      <c r="E710" s="14"/>
      <c r="F710" s="14"/>
      <c r="G710" s="14"/>
      <c r="H710" s="14"/>
      <c r="I710" s="14"/>
      <c r="J710" s="14"/>
      <c r="K710" s="14"/>
      <c r="L710" s="14"/>
      <c r="M710" s="14"/>
      <c r="N710" s="14"/>
      <c r="O710" s="14"/>
      <c r="P710" s="14"/>
      <c r="Q710" s="58"/>
      <c r="R710" s="58"/>
      <c r="S710" s="14"/>
      <c r="T710" s="14"/>
      <c r="U710" s="59"/>
      <c r="V710" s="59"/>
      <c r="W710" s="14"/>
      <c r="X710" s="14"/>
      <c r="Y710" s="60"/>
      <c r="Z710" s="60"/>
      <c r="AA710" s="60"/>
      <c r="AB710" s="60"/>
      <c r="AC710" s="60"/>
      <c r="AD710" s="60"/>
      <c r="AE710" s="60"/>
      <c r="AF710" s="14"/>
      <c r="AG710" s="14"/>
      <c r="AH710" s="14"/>
      <c r="AI710" s="14"/>
      <c r="AJ710" s="14"/>
      <c r="AK710" s="14"/>
      <c r="AL710" s="14"/>
      <c r="AM710" s="14"/>
      <c r="AN710" s="61"/>
    </row>
    <row r="711">
      <c r="A711" s="14"/>
      <c r="B711" s="14"/>
      <c r="C711" s="14"/>
      <c r="D711" s="14"/>
      <c r="E711" s="14"/>
      <c r="F711" s="14"/>
      <c r="G711" s="14"/>
      <c r="H711" s="14"/>
      <c r="I711" s="14"/>
      <c r="J711" s="14"/>
      <c r="K711" s="14"/>
      <c r="L711" s="14"/>
      <c r="M711" s="14"/>
      <c r="N711" s="14"/>
      <c r="O711" s="14"/>
      <c r="P711" s="14"/>
      <c r="Q711" s="58"/>
      <c r="R711" s="58"/>
      <c r="S711" s="14"/>
      <c r="T711" s="14"/>
      <c r="U711" s="59"/>
      <c r="V711" s="59"/>
      <c r="W711" s="14"/>
      <c r="X711" s="14"/>
      <c r="Y711" s="60"/>
      <c r="Z711" s="60"/>
      <c r="AA711" s="60"/>
      <c r="AB711" s="60"/>
      <c r="AC711" s="60"/>
      <c r="AD711" s="60"/>
      <c r="AE711" s="60"/>
      <c r="AF711" s="14"/>
      <c r="AG711" s="14"/>
      <c r="AH711" s="14"/>
      <c r="AI711" s="14"/>
      <c r="AJ711" s="14"/>
      <c r="AK711" s="14"/>
      <c r="AL711" s="14"/>
      <c r="AM711" s="14"/>
      <c r="AN711" s="61"/>
    </row>
    <row r="712">
      <c r="A712" s="14"/>
      <c r="B712" s="14"/>
      <c r="C712" s="14"/>
      <c r="D712" s="14"/>
      <c r="E712" s="14"/>
      <c r="F712" s="14"/>
      <c r="G712" s="14"/>
      <c r="H712" s="14"/>
      <c r="I712" s="14"/>
      <c r="J712" s="14"/>
      <c r="K712" s="14"/>
      <c r="L712" s="14"/>
      <c r="M712" s="14"/>
      <c r="N712" s="14"/>
      <c r="O712" s="14"/>
      <c r="P712" s="14"/>
      <c r="Q712" s="58"/>
      <c r="R712" s="58"/>
      <c r="S712" s="14"/>
      <c r="T712" s="14"/>
      <c r="U712" s="59"/>
      <c r="V712" s="59"/>
      <c r="W712" s="14"/>
      <c r="X712" s="14"/>
      <c r="Y712" s="60"/>
      <c r="Z712" s="60"/>
      <c r="AA712" s="60"/>
      <c r="AB712" s="60"/>
      <c r="AC712" s="60"/>
      <c r="AD712" s="60"/>
      <c r="AE712" s="60"/>
      <c r="AF712" s="14"/>
      <c r="AG712" s="14"/>
      <c r="AH712" s="14"/>
      <c r="AI712" s="14"/>
      <c r="AJ712" s="14"/>
      <c r="AK712" s="14"/>
      <c r="AL712" s="14"/>
      <c r="AM712" s="14"/>
      <c r="AN712" s="61"/>
    </row>
    <row r="713">
      <c r="A713" s="14"/>
      <c r="B713" s="14"/>
      <c r="C713" s="14"/>
      <c r="D713" s="14"/>
      <c r="E713" s="14"/>
      <c r="F713" s="14"/>
      <c r="G713" s="14"/>
      <c r="H713" s="14"/>
      <c r="I713" s="14"/>
      <c r="J713" s="14"/>
      <c r="K713" s="14"/>
      <c r="L713" s="14"/>
      <c r="M713" s="14"/>
      <c r="N713" s="14"/>
      <c r="O713" s="14"/>
      <c r="P713" s="14"/>
      <c r="Q713" s="58"/>
      <c r="R713" s="58"/>
      <c r="S713" s="14"/>
      <c r="T713" s="14"/>
      <c r="U713" s="59"/>
      <c r="V713" s="59"/>
      <c r="W713" s="14"/>
      <c r="X713" s="14"/>
      <c r="Y713" s="60"/>
      <c r="Z713" s="60"/>
      <c r="AA713" s="60"/>
      <c r="AB713" s="60"/>
      <c r="AC713" s="60"/>
      <c r="AD713" s="60"/>
      <c r="AE713" s="60"/>
      <c r="AF713" s="14"/>
      <c r="AG713" s="14"/>
      <c r="AH713" s="14"/>
      <c r="AI713" s="14"/>
      <c r="AJ713" s="14"/>
      <c r="AK713" s="14"/>
      <c r="AL713" s="14"/>
      <c r="AM713" s="14"/>
      <c r="AN713" s="61"/>
    </row>
    <row r="714">
      <c r="A714" s="14"/>
      <c r="B714" s="14"/>
      <c r="C714" s="14"/>
      <c r="D714" s="14"/>
      <c r="E714" s="14"/>
      <c r="F714" s="14"/>
      <c r="G714" s="14"/>
      <c r="H714" s="14"/>
      <c r="I714" s="14"/>
      <c r="J714" s="14"/>
      <c r="K714" s="14"/>
      <c r="L714" s="14"/>
      <c r="M714" s="14"/>
      <c r="N714" s="14"/>
      <c r="O714" s="14"/>
      <c r="P714" s="14"/>
      <c r="Q714" s="58"/>
      <c r="R714" s="58"/>
      <c r="S714" s="14"/>
      <c r="T714" s="14"/>
      <c r="U714" s="59"/>
      <c r="V714" s="59"/>
      <c r="W714" s="14"/>
      <c r="X714" s="14"/>
      <c r="Y714" s="60"/>
      <c r="Z714" s="60"/>
      <c r="AA714" s="60"/>
      <c r="AB714" s="60"/>
      <c r="AC714" s="60"/>
      <c r="AD714" s="60"/>
      <c r="AE714" s="60"/>
      <c r="AF714" s="14"/>
      <c r="AG714" s="14"/>
      <c r="AH714" s="14"/>
      <c r="AI714" s="14"/>
      <c r="AJ714" s="14"/>
      <c r="AK714" s="14"/>
      <c r="AL714" s="14"/>
      <c r="AM714" s="14"/>
      <c r="AN714" s="61"/>
    </row>
    <row r="715">
      <c r="A715" s="14"/>
      <c r="B715" s="14"/>
      <c r="C715" s="14"/>
      <c r="D715" s="14"/>
      <c r="E715" s="14"/>
      <c r="F715" s="14"/>
      <c r="G715" s="14"/>
      <c r="H715" s="14"/>
      <c r="I715" s="14"/>
      <c r="J715" s="14"/>
      <c r="K715" s="14"/>
      <c r="L715" s="14"/>
      <c r="M715" s="14"/>
      <c r="N715" s="14"/>
      <c r="O715" s="14"/>
      <c r="P715" s="14"/>
      <c r="Q715" s="58"/>
      <c r="R715" s="58"/>
      <c r="S715" s="14"/>
      <c r="T715" s="14"/>
      <c r="U715" s="59"/>
      <c r="V715" s="59"/>
      <c r="W715" s="14"/>
      <c r="X715" s="14"/>
      <c r="Y715" s="60"/>
      <c r="Z715" s="60"/>
      <c r="AA715" s="60"/>
      <c r="AB715" s="60"/>
      <c r="AC715" s="60"/>
      <c r="AD715" s="60"/>
      <c r="AE715" s="60"/>
      <c r="AF715" s="14"/>
      <c r="AG715" s="14"/>
      <c r="AH715" s="14"/>
      <c r="AI715" s="14"/>
      <c r="AJ715" s="14"/>
      <c r="AK715" s="14"/>
      <c r="AL715" s="14"/>
      <c r="AM715" s="14"/>
      <c r="AN715" s="61"/>
    </row>
    <row r="716">
      <c r="A716" s="14"/>
      <c r="B716" s="14"/>
      <c r="C716" s="14"/>
      <c r="D716" s="14"/>
      <c r="E716" s="14"/>
      <c r="F716" s="14"/>
      <c r="G716" s="14"/>
      <c r="H716" s="14"/>
      <c r="I716" s="14"/>
      <c r="J716" s="14"/>
      <c r="K716" s="14"/>
      <c r="L716" s="14"/>
      <c r="M716" s="14"/>
      <c r="N716" s="14"/>
      <c r="O716" s="14"/>
      <c r="P716" s="14"/>
      <c r="Q716" s="58"/>
      <c r="R716" s="58"/>
      <c r="S716" s="14"/>
      <c r="T716" s="14"/>
      <c r="U716" s="59"/>
      <c r="V716" s="59"/>
      <c r="W716" s="14"/>
      <c r="X716" s="14"/>
      <c r="Y716" s="60"/>
      <c r="Z716" s="60"/>
      <c r="AA716" s="60"/>
      <c r="AB716" s="60"/>
      <c r="AC716" s="60"/>
      <c r="AD716" s="60"/>
      <c r="AE716" s="60"/>
      <c r="AF716" s="14"/>
      <c r="AG716" s="14"/>
      <c r="AH716" s="14"/>
      <c r="AI716" s="14"/>
      <c r="AJ716" s="14"/>
      <c r="AK716" s="14"/>
      <c r="AL716" s="14"/>
      <c r="AM716" s="14"/>
      <c r="AN716" s="61"/>
    </row>
    <row r="717">
      <c r="A717" s="14"/>
      <c r="B717" s="14"/>
      <c r="C717" s="14"/>
      <c r="D717" s="14"/>
      <c r="E717" s="14"/>
      <c r="F717" s="14"/>
      <c r="G717" s="14"/>
      <c r="H717" s="14"/>
      <c r="I717" s="14"/>
      <c r="J717" s="14"/>
      <c r="K717" s="14"/>
      <c r="L717" s="14"/>
      <c r="M717" s="14"/>
      <c r="N717" s="14"/>
      <c r="O717" s="14"/>
      <c r="P717" s="14"/>
      <c r="Q717" s="58"/>
      <c r="R717" s="58"/>
      <c r="S717" s="14"/>
      <c r="T717" s="14"/>
      <c r="U717" s="59"/>
      <c r="V717" s="59"/>
      <c r="W717" s="14"/>
      <c r="X717" s="14"/>
      <c r="Y717" s="60"/>
      <c r="Z717" s="60"/>
      <c r="AA717" s="60"/>
      <c r="AB717" s="60"/>
      <c r="AC717" s="60"/>
      <c r="AD717" s="60"/>
      <c r="AE717" s="60"/>
      <c r="AF717" s="14"/>
      <c r="AG717" s="14"/>
      <c r="AH717" s="14"/>
      <c r="AI717" s="14"/>
      <c r="AJ717" s="14"/>
      <c r="AK717" s="14"/>
      <c r="AL717" s="14"/>
      <c r="AM717" s="14"/>
      <c r="AN717" s="61"/>
    </row>
    <row r="718">
      <c r="A718" s="14"/>
      <c r="B718" s="14"/>
      <c r="C718" s="14"/>
      <c r="D718" s="14"/>
      <c r="E718" s="14"/>
      <c r="F718" s="14"/>
      <c r="G718" s="14"/>
      <c r="H718" s="14"/>
      <c r="I718" s="14"/>
      <c r="J718" s="14"/>
      <c r="K718" s="14"/>
      <c r="L718" s="14"/>
      <c r="M718" s="14"/>
      <c r="N718" s="14"/>
      <c r="O718" s="14"/>
      <c r="P718" s="14"/>
      <c r="Q718" s="58"/>
      <c r="R718" s="58"/>
      <c r="S718" s="14"/>
      <c r="T718" s="14"/>
      <c r="U718" s="59"/>
      <c r="V718" s="59"/>
      <c r="W718" s="14"/>
      <c r="X718" s="14"/>
      <c r="Y718" s="60"/>
      <c r="Z718" s="60"/>
      <c r="AA718" s="60"/>
      <c r="AB718" s="60"/>
      <c r="AC718" s="60"/>
      <c r="AD718" s="60"/>
      <c r="AE718" s="60"/>
      <c r="AF718" s="14"/>
      <c r="AG718" s="14"/>
      <c r="AH718" s="14"/>
      <c r="AI718" s="14"/>
      <c r="AJ718" s="14"/>
      <c r="AK718" s="14"/>
      <c r="AL718" s="14"/>
      <c r="AM718" s="14"/>
      <c r="AN718" s="61"/>
    </row>
    <row r="719">
      <c r="A719" s="14"/>
      <c r="B719" s="14"/>
      <c r="C719" s="14"/>
      <c r="D719" s="14"/>
      <c r="E719" s="14"/>
      <c r="F719" s="14"/>
      <c r="G719" s="14"/>
      <c r="H719" s="14"/>
      <c r="I719" s="14"/>
      <c r="J719" s="14"/>
      <c r="K719" s="14"/>
      <c r="L719" s="14"/>
      <c r="M719" s="14"/>
      <c r="N719" s="14"/>
      <c r="O719" s="14"/>
      <c r="P719" s="14"/>
      <c r="Q719" s="58"/>
      <c r="R719" s="58"/>
      <c r="S719" s="14"/>
      <c r="T719" s="14"/>
      <c r="U719" s="59"/>
      <c r="V719" s="59"/>
      <c r="W719" s="14"/>
      <c r="X719" s="14"/>
      <c r="Y719" s="60"/>
      <c r="Z719" s="60"/>
      <c r="AA719" s="60"/>
      <c r="AB719" s="60"/>
      <c r="AC719" s="60"/>
      <c r="AD719" s="60"/>
      <c r="AE719" s="60"/>
      <c r="AF719" s="14"/>
      <c r="AG719" s="14"/>
      <c r="AH719" s="14"/>
      <c r="AI719" s="14"/>
      <c r="AJ719" s="14"/>
      <c r="AK719" s="14"/>
      <c r="AL719" s="14"/>
      <c r="AM719" s="14"/>
      <c r="AN719" s="61"/>
    </row>
    <row r="720">
      <c r="A720" s="14"/>
      <c r="B720" s="14"/>
      <c r="C720" s="14"/>
      <c r="D720" s="14"/>
      <c r="E720" s="14"/>
      <c r="F720" s="14"/>
      <c r="G720" s="14"/>
      <c r="H720" s="14"/>
      <c r="I720" s="14"/>
      <c r="J720" s="14"/>
      <c r="K720" s="14"/>
      <c r="L720" s="14"/>
      <c r="M720" s="14"/>
      <c r="N720" s="14"/>
      <c r="O720" s="14"/>
      <c r="P720" s="14"/>
      <c r="Q720" s="58"/>
      <c r="R720" s="58"/>
      <c r="S720" s="14"/>
      <c r="T720" s="14"/>
      <c r="U720" s="59"/>
      <c r="V720" s="59"/>
      <c r="W720" s="14"/>
      <c r="X720" s="14"/>
      <c r="Y720" s="60"/>
      <c r="Z720" s="60"/>
      <c r="AA720" s="60"/>
      <c r="AB720" s="60"/>
      <c r="AC720" s="60"/>
      <c r="AD720" s="60"/>
      <c r="AE720" s="60"/>
      <c r="AF720" s="14"/>
      <c r="AG720" s="14"/>
      <c r="AH720" s="14"/>
      <c r="AI720" s="14"/>
      <c r="AJ720" s="14"/>
      <c r="AK720" s="14"/>
      <c r="AL720" s="14"/>
      <c r="AM720" s="14"/>
      <c r="AN720" s="61"/>
    </row>
    <row r="721">
      <c r="A721" s="14"/>
      <c r="B721" s="14"/>
      <c r="C721" s="14"/>
      <c r="D721" s="14"/>
      <c r="E721" s="14"/>
      <c r="F721" s="14"/>
      <c r="G721" s="14"/>
      <c r="H721" s="14"/>
      <c r="I721" s="14"/>
      <c r="J721" s="14"/>
      <c r="K721" s="14"/>
      <c r="L721" s="14"/>
      <c r="M721" s="14"/>
      <c r="N721" s="14"/>
      <c r="O721" s="14"/>
      <c r="P721" s="14"/>
      <c r="Q721" s="58"/>
      <c r="R721" s="58"/>
      <c r="S721" s="14"/>
      <c r="T721" s="14"/>
      <c r="U721" s="59"/>
      <c r="V721" s="59"/>
      <c r="W721" s="14"/>
      <c r="X721" s="14"/>
      <c r="Y721" s="60"/>
      <c r="Z721" s="60"/>
      <c r="AA721" s="60"/>
      <c r="AB721" s="60"/>
      <c r="AC721" s="60"/>
      <c r="AD721" s="60"/>
      <c r="AE721" s="60"/>
      <c r="AF721" s="14"/>
      <c r="AG721" s="14"/>
      <c r="AH721" s="14"/>
      <c r="AI721" s="14"/>
      <c r="AJ721" s="14"/>
      <c r="AK721" s="14"/>
      <c r="AL721" s="14"/>
      <c r="AM721" s="14"/>
      <c r="AN721" s="61"/>
    </row>
    <row r="722">
      <c r="A722" s="14"/>
      <c r="B722" s="14"/>
      <c r="C722" s="14"/>
      <c r="D722" s="14"/>
      <c r="E722" s="14"/>
      <c r="F722" s="14"/>
      <c r="G722" s="14"/>
      <c r="H722" s="14"/>
      <c r="I722" s="14"/>
      <c r="J722" s="14"/>
      <c r="K722" s="14"/>
      <c r="L722" s="14"/>
      <c r="M722" s="14"/>
      <c r="N722" s="14"/>
      <c r="O722" s="14"/>
      <c r="P722" s="14"/>
      <c r="Q722" s="58"/>
      <c r="R722" s="58"/>
      <c r="S722" s="14"/>
      <c r="T722" s="14"/>
      <c r="U722" s="59"/>
      <c r="V722" s="59"/>
      <c r="W722" s="14"/>
      <c r="X722" s="14"/>
      <c r="Y722" s="60"/>
      <c r="Z722" s="60"/>
      <c r="AA722" s="60"/>
      <c r="AB722" s="60"/>
      <c r="AC722" s="60"/>
      <c r="AD722" s="60"/>
      <c r="AE722" s="60"/>
      <c r="AF722" s="14"/>
      <c r="AG722" s="14"/>
      <c r="AH722" s="14"/>
      <c r="AI722" s="14"/>
      <c r="AJ722" s="14"/>
      <c r="AK722" s="14"/>
      <c r="AL722" s="14"/>
      <c r="AM722" s="14"/>
      <c r="AN722" s="61"/>
    </row>
    <row r="723">
      <c r="A723" s="14"/>
      <c r="B723" s="14"/>
      <c r="C723" s="14"/>
      <c r="D723" s="14"/>
      <c r="E723" s="14"/>
      <c r="F723" s="14"/>
      <c r="G723" s="14"/>
      <c r="H723" s="14"/>
      <c r="I723" s="14"/>
      <c r="J723" s="14"/>
      <c r="K723" s="14"/>
      <c r="L723" s="14"/>
      <c r="M723" s="14"/>
      <c r="N723" s="14"/>
      <c r="O723" s="14"/>
      <c r="P723" s="14"/>
      <c r="Q723" s="58"/>
      <c r="R723" s="58"/>
      <c r="S723" s="14"/>
      <c r="T723" s="14"/>
      <c r="U723" s="59"/>
      <c r="V723" s="59"/>
      <c r="W723" s="14"/>
      <c r="X723" s="14"/>
      <c r="Y723" s="60"/>
      <c r="Z723" s="60"/>
      <c r="AA723" s="60"/>
      <c r="AB723" s="60"/>
      <c r="AC723" s="60"/>
      <c r="AD723" s="60"/>
      <c r="AE723" s="60"/>
      <c r="AF723" s="14"/>
      <c r="AG723" s="14"/>
      <c r="AH723" s="14"/>
      <c r="AI723" s="14"/>
      <c r="AJ723" s="14"/>
      <c r="AK723" s="14"/>
      <c r="AL723" s="14"/>
      <c r="AM723" s="14"/>
      <c r="AN723" s="61"/>
    </row>
    <row r="724">
      <c r="A724" s="14"/>
      <c r="B724" s="14"/>
      <c r="C724" s="14"/>
      <c r="D724" s="14"/>
      <c r="E724" s="14"/>
      <c r="F724" s="14"/>
      <c r="G724" s="14"/>
      <c r="H724" s="14"/>
      <c r="I724" s="14"/>
      <c r="J724" s="14"/>
      <c r="K724" s="14"/>
      <c r="L724" s="14"/>
      <c r="M724" s="14"/>
      <c r="N724" s="14"/>
      <c r="O724" s="14"/>
      <c r="P724" s="14"/>
      <c r="Q724" s="58"/>
      <c r="R724" s="58"/>
      <c r="S724" s="14"/>
      <c r="T724" s="14"/>
      <c r="U724" s="59"/>
      <c r="V724" s="59"/>
      <c r="W724" s="14"/>
      <c r="X724" s="14"/>
      <c r="Y724" s="60"/>
      <c r="Z724" s="60"/>
      <c r="AA724" s="60"/>
      <c r="AB724" s="60"/>
      <c r="AC724" s="60"/>
      <c r="AD724" s="60"/>
      <c r="AE724" s="60"/>
      <c r="AF724" s="14"/>
      <c r="AG724" s="14"/>
      <c r="AH724" s="14"/>
      <c r="AI724" s="14"/>
      <c r="AJ724" s="14"/>
      <c r="AK724" s="14"/>
      <c r="AL724" s="14"/>
      <c r="AM724" s="14"/>
      <c r="AN724" s="61"/>
    </row>
    <row r="725">
      <c r="A725" s="14"/>
      <c r="B725" s="14"/>
      <c r="C725" s="14"/>
      <c r="D725" s="14"/>
      <c r="E725" s="14"/>
      <c r="F725" s="14"/>
      <c r="G725" s="14"/>
      <c r="H725" s="14"/>
      <c r="I725" s="14"/>
      <c r="J725" s="14"/>
      <c r="K725" s="14"/>
      <c r="L725" s="14"/>
      <c r="M725" s="14"/>
      <c r="N725" s="14"/>
      <c r="O725" s="14"/>
      <c r="P725" s="14"/>
      <c r="Q725" s="58"/>
      <c r="R725" s="58"/>
      <c r="S725" s="14"/>
      <c r="T725" s="14"/>
      <c r="U725" s="59"/>
      <c r="V725" s="59"/>
      <c r="W725" s="14"/>
      <c r="X725" s="14"/>
      <c r="Y725" s="60"/>
      <c r="Z725" s="60"/>
      <c r="AA725" s="60"/>
      <c r="AB725" s="60"/>
      <c r="AC725" s="60"/>
      <c r="AD725" s="60"/>
      <c r="AE725" s="60"/>
      <c r="AF725" s="14"/>
      <c r="AG725" s="14"/>
      <c r="AH725" s="14"/>
      <c r="AI725" s="14"/>
      <c r="AJ725" s="14"/>
      <c r="AK725" s="14"/>
      <c r="AL725" s="14"/>
      <c r="AM725" s="14"/>
      <c r="AN725" s="61"/>
    </row>
    <row r="726">
      <c r="A726" s="14"/>
      <c r="B726" s="14"/>
      <c r="C726" s="14"/>
      <c r="D726" s="14"/>
      <c r="E726" s="14"/>
      <c r="F726" s="14"/>
      <c r="G726" s="14"/>
      <c r="H726" s="14"/>
      <c r="I726" s="14"/>
      <c r="J726" s="14"/>
      <c r="K726" s="14"/>
      <c r="L726" s="14"/>
      <c r="M726" s="14"/>
      <c r="N726" s="14"/>
      <c r="O726" s="14"/>
      <c r="P726" s="14"/>
      <c r="Q726" s="58"/>
      <c r="R726" s="58"/>
      <c r="S726" s="14"/>
      <c r="T726" s="14"/>
      <c r="U726" s="59"/>
      <c r="V726" s="59"/>
      <c r="W726" s="14"/>
      <c r="X726" s="14"/>
      <c r="Y726" s="60"/>
      <c r="Z726" s="60"/>
      <c r="AA726" s="60"/>
      <c r="AB726" s="60"/>
      <c r="AC726" s="60"/>
      <c r="AD726" s="60"/>
      <c r="AE726" s="60"/>
      <c r="AF726" s="14"/>
      <c r="AG726" s="14"/>
      <c r="AH726" s="14"/>
      <c r="AI726" s="14"/>
      <c r="AJ726" s="14"/>
      <c r="AK726" s="14"/>
      <c r="AL726" s="14"/>
      <c r="AM726" s="14"/>
      <c r="AN726" s="61"/>
    </row>
    <row r="727">
      <c r="A727" s="14"/>
      <c r="B727" s="14"/>
      <c r="C727" s="14"/>
      <c r="D727" s="14"/>
      <c r="E727" s="14"/>
      <c r="F727" s="14"/>
      <c r="G727" s="14"/>
      <c r="H727" s="14"/>
      <c r="I727" s="14"/>
      <c r="J727" s="14"/>
      <c r="K727" s="14"/>
      <c r="L727" s="14"/>
      <c r="M727" s="14"/>
      <c r="N727" s="14"/>
      <c r="O727" s="14"/>
      <c r="P727" s="14"/>
      <c r="Q727" s="58"/>
      <c r="R727" s="58"/>
      <c r="S727" s="14"/>
      <c r="T727" s="14"/>
      <c r="U727" s="59"/>
      <c r="V727" s="59"/>
      <c r="W727" s="14"/>
      <c r="X727" s="14"/>
      <c r="Y727" s="60"/>
      <c r="Z727" s="60"/>
      <c r="AA727" s="60"/>
      <c r="AB727" s="60"/>
      <c r="AC727" s="60"/>
      <c r="AD727" s="60"/>
      <c r="AE727" s="60"/>
      <c r="AF727" s="14"/>
      <c r="AG727" s="14"/>
      <c r="AH727" s="14"/>
      <c r="AI727" s="14"/>
      <c r="AJ727" s="14"/>
      <c r="AK727" s="14"/>
      <c r="AL727" s="14"/>
      <c r="AM727" s="14"/>
      <c r="AN727" s="61"/>
    </row>
    <row r="728">
      <c r="A728" s="14"/>
      <c r="B728" s="14"/>
      <c r="C728" s="14"/>
      <c r="D728" s="14"/>
      <c r="E728" s="14"/>
      <c r="F728" s="14"/>
      <c r="G728" s="14"/>
      <c r="H728" s="14"/>
      <c r="I728" s="14"/>
      <c r="J728" s="14"/>
      <c r="K728" s="14"/>
      <c r="L728" s="14"/>
      <c r="M728" s="14"/>
      <c r="N728" s="14"/>
      <c r="O728" s="14"/>
      <c r="P728" s="14"/>
      <c r="Q728" s="58"/>
      <c r="R728" s="58"/>
      <c r="S728" s="14"/>
      <c r="T728" s="14"/>
      <c r="U728" s="59"/>
      <c r="V728" s="59"/>
      <c r="W728" s="14"/>
      <c r="X728" s="14"/>
      <c r="Y728" s="60"/>
      <c r="Z728" s="60"/>
      <c r="AA728" s="60"/>
      <c r="AB728" s="60"/>
      <c r="AC728" s="60"/>
      <c r="AD728" s="60"/>
      <c r="AE728" s="60"/>
      <c r="AF728" s="14"/>
      <c r="AG728" s="14"/>
      <c r="AH728" s="14"/>
      <c r="AI728" s="14"/>
      <c r="AJ728" s="14"/>
      <c r="AK728" s="14"/>
      <c r="AL728" s="14"/>
      <c r="AM728" s="14"/>
      <c r="AN728" s="61"/>
    </row>
    <row r="729">
      <c r="A729" s="14"/>
      <c r="B729" s="14"/>
      <c r="C729" s="14"/>
      <c r="D729" s="14"/>
      <c r="E729" s="14"/>
      <c r="F729" s="14"/>
      <c r="G729" s="14"/>
      <c r="H729" s="14"/>
      <c r="I729" s="14"/>
      <c r="J729" s="14"/>
      <c r="K729" s="14"/>
      <c r="L729" s="14"/>
      <c r="M729" s="14"/>
      <c r="N729" s="14"/>
      <c r="O729" s="14"/>
      <c r="P729" s="14"/>
      <c r="Q729" s="58"/>
      <c r="R729" s="58"/>
      <c r="S729" s="14"/>
      <c r="T729" s="14"/>
      <c r="U729" s="59"/>
      <c r="V729" s="59"/>
      <c r="W729" s="14"/>
      <c r="X729" s="14"/>
      <c r="Y729" s="60"/>
      <c r="Z729" s="60"/>
      <c r="AA729" s="60"/>
      <c r="AB729" s="60"/>
      <c r="AC729" s="60"/>
      <c r="AD729" s="60"/>
      <c r="AE729" s="60"/>
      <c r="AF729" s="14"/>
      <c r="AG729" s="14"/>
      <c r="AH729" s="14"/>
      <c r="AI729" s="14"/>
      <c r="AJ729" s="14"/>
      <c r="AK729" s="14"/>
      <c r="AL729" s="14"/>
      <c r="AM729" s="14"/>
      <c r="AN729" s="61"/>
    </row>
    <row r="730">
      <c r="A730" s="14"/>
      <c r="B730" s="14"/>
      <c r="C730" s="14"/>
      <c r="D730" s="14"/>
      <c r="E730" s="14"/>
      <c r="F730" s="14"/>
      <c r="G730" s="14"/>
      <c r="H730" s="14"/>
      <c r="I730" s="14"/>
      <c r="J730" s="14"/>
      <c r="K730" s="14"/>
      <c r="L730" s="14"/>
      <c r="M730" s="14"/>
      <c r="N730" s="14"/>
      <c r="O730" s="14"/>
      <c r="P730" s="14"/>
      <c r="Q730" s="58"/>
      <c r="R730" s="58"/>
      <c r="S730" s="14"/>
      <c r="T730" s="14"/>
      <c r="U730" s="59"/>
      <c r="V730" s="59"/>
      <c r="W730" s="14"/>
      <c r="X730" s="14"/>
      <c r="Y730" s="60"/>
      <c r="Z730" s="60"/>
      <c r="AA730" s="60"/>
      <c r="AB730" s="60"/>
      <c r="AC730" s="60"/>
      <c r="AD730" s="60"/>
      <c r="AE730" s="60"/>
      <c r="AF730" s="14"/>
      <c r="AG730" s="14"/>
      <c r="AH730" s="14"/>
      <c r="AI730" s="14"/>
      <c r="AJ730" s="14"/>
      <c r="AK730" s="14"/>
      <c r="AL730" s="14"/>
      <c r="AM730" s="14"/>
      <c r="AN730" s="61"/>
    </row>
    <row r="731">
      <c r="A731" s="14"/>
      <c r="B731" s="14"/>
      <c r="C731" s="14"/>
      <c r="D731" s="14"/>
      <c r="E731" s="14"/>
      <c r="F731" s="14"/>
      <c r="G731" s="14"/>
      <c r="H731" s="14"/>
      <c r="I731" s="14"/>
      <c r="J731" s="14"/>
      <c r="K731" s="14"/>
      <c r="L731" s="14"/>
      <c r="M731" s="14"/>
      <c r="N731" s="14"/>
      <c r="O731" s="14"/>
      <c r="P731" s="14"/>
      <c r="Q731" s="58"/>
      <c r="R731" s="58"/>
      <c r="S731" s="14"/>
      <c r="T731" s="14"/>
      <c r="U731" s="59"/>
      <c r="V731" s="59"/>
      <c r="W731" s="14"/>
      <c r="X731" s="14"/>
      <c r="Y731" s="60"/>
      <c r="Z731" s="60"/>
      <c r="AA731" s="60"/>
      <c r="AB731" s="60"/>
      <c r="AC731" s="60"/>
      <c r="AD731" s="60"/>
      <c r="AE731" s="60"/>
      <c r="AF731" s="14"/>
      <c r="AG731" s="14"/>
      <c r="AH731" s="14"/>
      <c r="AI731" s="14"/>
      <c r="AJ731" s="14"/>
      <c r="AK731" s="14"/>
      <c r="AL731" s="14"/>
      <c r="AM731" s="14"/>
      <c r="AN731" s="61"/>
    </row>
    <row r="732">
      <c r="A732" s="14"/>
      <c r="B732" s="14"/>
      <c r="C732" s="14"/>
      <c r="D732" s="14"/>
      <c r="E732" s="14"/>
      <c r="F732" s="14"/>
      <c r="G732" s="14"/>
      <c r="H732" s="14"/>
      <c r="I732" s="14"/>
      <c r="J732" s="14"/>
      <c r="K732" s="14"/>
      <c r="L732" s="14"/>
      <c r="M732" s="14"/>
      <c r="N732" s="14"/>
      <c r="O732" s="14"/>
      <c r="P732" s="14"/>
      <c r="Q732" s="58"/>
      <c r="R732" s="58"/>
      <c r="S732" s="14"/>
      <c r="T732" s="14"/>
      <c r="U732" s="59"/>
      <c r="V732" s="59"/>
      <c r="W732" s="14"/>
      <c r="X732" s="14"/>
      <c r="Y732" s="60"/>
      <c r="Z732" s="60"/>
      <c r="AA732" s="60"/>
      <c r="AB732" s="60"/>
      <c r="AC732" s="60"/>
      <c r="AD732" s="60"/>
      <c r="AE732" s="60"/>
      <c r="AF732" s="14"/>
      <c r="AG732" s="14"/>
      <c r="AH732" s="14"/>
      <c r="AI732" s="14"/>
      <c r="AJ732" s="14"/>
      <c r="AK732" s="14"/>
      <c r="AL732" s="14"/>
      <c r="AM732" s="14"/>
      <c r="AN732" s="61"/>
    </row>
    <row r="733">
      <c r="A733" s="14"/>
      <c r="B733" s="14"/>
      <c r="C733" s="14"/>
      <c r="D733" s="14"/>
      <c r="E733" s="14"/>
      <c r="F733" s="14"/>
      <c r="G733" s="14"/>
      <c r="H733" s="14"/>
      <c r="I733" s="14"/>
      <c r="J733" s="14"/>
      <c r="K733" s="14"/>
      <c r="L733" s="14"/>
      <c r="M733" s="14"/>
      <c r="N733" s="14"/>
      <c r="O733" s="14"/>
      <c r="P733" s="14"/>
      <c r="Q733" s="58"/>
      <c r="R733" s="58"/>
      <c r="S733" s="14"/>
      <c r="T733" s="14"/>
      <c r="U733" s="59"/>
      <c r="V733" s="59"/>
      <c r="W733" s="14"/>
      <c r="X733" s="14"/>
      <c r="Y733" s="60"/>
      <c r="Z733" s="60"/>
      <c r="AA733" s="60"/>
      <c r="AB733" s="60"/>
      <c r="AC733" s="60"/>
      <c r="AD733" s="60"/>
      <c r="AE733" s="60"/>
      <c r="AF733" s="14"/>
      <c r="AG733" s="14"/>
      <c r="AH733" s="14"/>
      <c r="AI733" s="14"/>
      <c r="AJ733" s="14"/>
      <c r="AK733" s="14"/>
      <c r="AL733" s="14"/>
      <c r="AM733" s="14"/>
      <c r="AN733" s="61"/>
    </row>
    <row r="734">
      <c r="A734" s="14"/>
      <c r="B734" s="14"/>
      <c r="C734" s="14"/>
      <c r="D734" s="14"/>
      <c r="E734" s="14"/>
      <c r="F734" s="14"/>
      <c r="G734" s="14"/>
      <c r="H734" s="14"/>
      <c r="I734" s="14"/>
      <c r="J734" s="14"/>
      <c r="K734" s="14"/>
      <c r="L734" s="14"/>
      <c r="M734" s="14"/>
      <c r="N734" s="14"/>
      <c r="O734" s="14"/>
      <c r="P734" s="14"/>
      <c r="Q734" s="58"/>
      <c r="R734" s="58"/>
      <c r="S734" s="14"/>
      <c r="T734" s="14"/>
      <c r="U734" s="59"/>
      <c r="V734" s="59"/>
      <c r="W734" s="14"/>
      <c r="X734" s="14"/>
      <c r="Y734" s="60"/>
      <c r="Z734" s="60"/>
      <c r="AA734" s="60"/>
      <c r="AB734" s="60"/>
      <c r="AC734" s="60"/>
      <c r="AD734" s="60"/>
      <c r="AE734" s="60"/>
      <c r="AF734" s="14"/>
      <c r="AG734" s="14"/>
      <c r="AH734" s="14"/>
      <c r="AI734" s="14"/>
      <c r="AJ734" s="14"/>
      <c r="AK734" s="14"/>
      <c r="AL734" s="14"/>
      <c r="AM734" s="14"/>
      <c r="AN734" s="61"/>
    </row>
    <row r="735">
      <c r="A735" s="14"/>
      <c r="B735" s="14"/>
      <c r="C735" s="14"/>
      <c r="D735" s="14"/>
      <c r="E735" s="14"/>
      <c r="F735" s="14"/>
      <c r="G735" s="14"/>
      <c r="H735" s="14"/>
      <c r="I735" s="14"/>
      <c r="J735" s="14"/>
      <c r="K735" s="14"/>
      <c r="L735" s="14"/>
      <c r="M735" s="14"/>
      <c r="N735" s="14"/>
      <c r="O735" s="14"/>
      <c r="P735" s="14"/>
      <c r="Q735" s="58"/>
      <c r="R735" s="58"/>
      <c r="S735" s="14"/>
      <c r="T735" s="14"/>
      <c r="U735" s="59"/>
      <c r="V735" s="59"/>
      <c r="W735" s="14"/>
      <c r="X735" s="14"/>
      <c r="Y735" s="60"/>
      <c r="Z735" s="60"/>
      <c r="AA735" s="60"/>
      <c r="AB735" s="60"/>
      <c r="AC735" s="60"/>
      <c r="AD735" s="60"/>
      <c r="AE735" s="60"/>
      <c r="AF735" s="14"/>
      <c r="AG735" s="14"/>
      <c r="AH735" s="14"/>
      <c r="AI735" s="14"/>
      <c r="AJ735" s="14"/>
      <c r="AK735" s="14"/>
      <c r="AL735" s="14"/>
      <c r="AM735" s="14"/>
      <c r="AN735" s="61"/>
    </row>
    <row r="736">
      <c r="A736" s="14"/>
      <c r="B736" s="14"/>
      <c r="C736" s="14"/>
      <c r="D736" s="14"/>
      <c r="E736" s="14"/>
      <c r="F736" s="14"/>
      <c r="G736" s="14"/>
      <c r="H736" s="14"/>
      <c r="I736" s="14"/>
      <c r="J736" s="14"/>
      <c r="K736" s="14"/>
      <c r="L736" s="14"/>
      <c r="M736" s="14"/>
      <c r="N736" s="14"/>
      <c r="O736" s="14"/>
      <c r="P736" s="14"/>
      <c r="Q736" s="58"/>
      <c r="R736" s="58"/>
      <c r="S736" s="14"/>
      <c r="T736" s="14"/>
      <c r="U736" s="59"/>
      <c r="V736" s="59"/>
      <c r="W736" s="14"/>
      <c r="X736" s="14"/>
      <c r="Y736" s="60"/>
      <c r="Z736" s="60"/>
      <c r="AA736" s="60"/>
      <c r="AB736" s="60"/>
      <c r="AC736" s="60"/>
      <c r="AD736" s="60"/>
      <c r="AE736" s="60"/>
      <c r="AF736" s="14"/>
      <c r="AG736" s="14"/>
      <c r="AH736" s="14"/>
      <c r="AI736" s="14"/>
      <c r="AJ736" s="14"/>
      <c r="AK736" s="14"/>
      <c r="AL736" s="14"/>
      <c r="AM736" s="14"/>
      <c r="AN736" s="61"/>
    </row>
    <row r="737">
      <c r="A737" s="14"/>
      <c r="B737" s="14"/>
      <c r="C737" s="14"/>
      <c r="D737" s="14"/>
      <c r="E737" s="14"/>
      <c r="F737" s="14"/>
      <c r="G737" s="14"/>
      <c r="H737" s="14"/>
      <c r="I737" s="14"/>
      <c r="J737" s="14"/>
      <c r="K737" s="14"/>
      <c r="L737" s="14"/>
      <c r="M737" s="14"/>
      <c r="N737" s="14"/>
      <c r="O737" s="14"/>
      <c r="P737" s="14"/>
      <c r="Q737" s="58"/>
      <c r="R737" s="58"/>
      <c r="S737" s="14"/>
      <c r="T737" s="14"/>
      <c r="U737" s="59"/>
      <c r="V737" s="59"/>
      <c r="W737" s="14"/>
      <c r="X737" s="14"/>
      <c r="Y737" s="60"/>
      <c r="Z737" s="60"/>
      <c r="AA737" s="60"/>
      <c r="AB737" s="60"/>
      <c r="AC737" s="60"/>
      <c r="AD737" s="60"/>
      <c r="AE737" s="60"/>
      <c r="AF737" s="14"/>
      <c r="AG737" s="14"/>
      <c r="AH737" s="14"/>
      <c r="AI737" s="14"/>
      <c r="AJ737" s="14"/>
      <c r="AK737" s="14"/>
      <c r="AL737" s="14"/>
      <c r="AM737" s="14"/>
      <c r="AN737" s="61"/>
    </row>
    <row r="738">
      <c r="A738" s="14"/>
      <c r="B738" s="14"/>
      <c r="C738" s="14"/>
      <c r="D738" s="14"/>
      <c r="E738" s="14"/>
      <c r="F738" s="14"/>
      <c r="G738" s="14"/>
      <c r="H738" s="14"/>
      <c r="I738" s="14"/>
      <c r="J738" s="14"/>
      <c r="K738" s="14"/>
      <c r="L738" s="14"/>
      <c r="M738" s="14"/>
      <c r="N738" s="14"/>
      <c r="O738" s="14"/>
      <c r="P738" s="14"/>
      <c r="Q738" s="58"/>
      <c r="R738" s="58"/>
      <c r="S738" s="14"/>
      <c r="T738" s="14"/>
      <c r="U738" s="59"/>
      <c r="V738" s="59"/>
      <c r="W738" s="14"/>
      <c r="X738" s="14"/>
      <c r="Y738" s="60"/>
      <c r="Z738" s="60"/>
      <c r="AA738" s="60"/>
      <c r="AB738" s="60"/>
      <c r="AC738" s="60"/>
      <c r="AD738" s="60"/>
      <c r="AE738" s="60"/>
      <c r="AF738" s="14"/>
      <c r="AG738" s="14"/>
      <c r="AH738" s="14"/>
      <c r="AI738" s="14"/>
      <c r="AJ738" s="14"/>
      <c r="AK738" s="14"/>
      <c r="AL738" s="14"/>
      <c r="AM738" s="14"/>
      <c r="AN738" s="61"/>
    </row>
    <row r="739">
      <c r="A739" s="14"/>
      <c r="B739" s="14"/>
      <c r="C739" s="14"/>
      <c r="D739" s="14"/>
      <c r="E739" s="14"/>
      <c r="F739" s="14"/>
      <c r="G739" s="14"/>
      <c r="H739" s="14"/>
      <c r="I739" s="14"/>
      <c r="J739" s="14"/>
      <c r="K739" s="14"/>
      <c r="L739" s="14"/>
      <c r="M739" s="14"/>
      <c r="N739" s="14"/>
      <c r="O739" s="14"/>
      <c r="P739" s="14"/>
      <c r="Q739" s="58"/>
      <c r="R739" s="58"/>
      <c r="S739" s="14"/>
      <c r="T739" s="14"/>
      <c r="U739" s="59"/>
      <c r="V739" s="59"/>
      <c r="W739" s="14"/>
      <c r="X739" s="14"/>
      <c r="Y739" s="60"/>
      <c r="Z739" s="60"/>
      <c r="AA739" s="60"/>
      <c r="AB739" s="60"/>
      <c r="AC739" s="60"/>
      <c r="AD739" s="60"/>
      <c r="AE739" s="60"/>
      <c r="AF739" s="14"/>
      <c r="AG739" s="14"/>
      <c r="AH739" s="14"/>
      <c r="AI739" s="14"/>
      <c r="AJ739" s="14"/>
      <c r="AK739" s="14"/>
      <c r="AL739" s="14"/>
      <c r="AM739" s="14"/>
      <c r="AN739" s="61"/>
    </row>
    <row r="740">
      <c r="A740" s="14"/>
      <c r="B740" s="14"/>
      <c r="C740" s="14"/>
      <c r="D740" s="14"/>
      <c r="E740" s="14"/>
      <c r="F740" s="14"/>
      <c r="G740" s="14"/>
      <c r="H740" s="14"/>
      <c r="I740" s="14"/>
      <c r="J740" s="14"/>
      <c r="K740" s="14"/>
      <c r="L740" s="14"/>
      <c r="M740" s="14"/>
      <c r="N740" s="14"/>
      <c r="O740" s="14"/>
      <c r="P740" s="14"/>
      <c r="Q740" s="58"/>
      <c r="R740" s="58"/>
      <c r="S740" s="14"/>
      <c r="T740" s="14"/>
      <c r="U740" s="59"/>
      <c r="V740" s="59"/>
      <c r="W740" s="14"/>
      <c r="X740" s="14"/>
      <c r="Y740" s="60"/>
      <c r="Z740" s="60"/>
      <c r="AA740" s="60"/>
      <c r="AB740" s="60"/>
      <c r="AC740" s="60"/>
      <c r="AD740" s="60"/>
      <c r="AE740" s="60"/>
      <c r="AF740" s="14"/>
      <c r="AG740" s="14"/>
      <c r="AH740" s="14"/>
      <c r="AI740" s="14"/>
      <c r="AJ740" s="14"/>
      <c r="AK740" s="14"/>
      <c r="AL740" s="14"/>
      <c r="AM740" s="14"/>
      <c r="AN740" s="61"/>
    </row>
  </sheetData>
  <dataValidations>
    <dataValidation type="list" allowBlank="1" sqref="D2:D343">
      <formula1>"A aprovar,Aprovado,Realizado,Cancelado,Adiado,Não Aprovado"</formula1>
    </dataValidation>
    <dataValidation type="custom" allowBlank="1" showDropDown="1" sqref="Q2:R343">
      <formula1>OR(NOT(ISERROR(DATEVALUE(Q2))), AND(ISNUMBER(Q2), LEFT(CELL("format", Q2))="D"))</formula1>
    </dataValidation>
    <dataValidation type="custom" allowBlank="1" showDropDown="1" sqref="W2:AE343 AI2:AL343">
      <formula1>AND(ISNUMBER(W2),(NOT(OR(NOT(ISERROR(DATEVALUE(W2))), AND(ISNUMBER(W2), LEFT(CELL("format", W2))="D")))))</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9.75"/>
    <col customWidth="1" min="3" max="3" width="41.0"/>
    <col customWidth="1" min="4" max="4" width="22.5"/>
    <col customWidth="1" min="6" max="6" width="24.0"/>
    <col customWidth="1" min="7" max="7" width="24.75"/>
    <col customWidth="1" min="8" max="8" width="27.75"/>
    <col customWidth="1" min="9" max="9" width="16.5"/>
    <col customWidth="1" min="10" max="10" width="17.63"/>
    <col customWidth="1" min="12" max="12" width="14.25"/>
    <col customWidth="1" min="13" max="13" width="18.38"/>
    <col customWidth="1" min="14" max="14" width="16.63"/>
    <col customWidth="1" min="16" max="16" width="25.13"/>
    <col customWidth="1" min="17" max="17" width="16.8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sheetData>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5" max="55" width="33.38"/>
  </cols>
  <sheetData>
    <row r="1">
      <c r="A1" s="65" t="s">
        <v>1738</v>
      </c>
      <c r="C1" s="65" t="s">
        <v>1739</v>
      </c>
      <c r="E1" s="65" t="s">
        <v>1740</v>
      </c>
      <c r="G1" s="65" t="s">
        <v>1741</v>
      </c>
      <c r="I1" s="65" t="s">
        <v>1742</v>
      </c>
      <c r="K1" s="65" t="s">
        <v>1743</v>
      </c>
      <c r="M1" s="65" t="s">
        <v>1744</v>
      </c>
      <c r="O1" s="65" t="s">
        <v>1745</v>
      </c>
      <c r="Q1" s="65" t="s">
        <v>1746</v>
      </c>
      <c r="S1" s="65" t="s">
        <v>1747</v>
      </c>
      <c r="U1" s="65" t="s">
        <v>1748</v>
      </c>
      <c r="W1" s="65" t="s">
        <v>1749</v>
      </c>
      <c r="Y1" s="65" t="s">
        <v>1750</v>
      </c>
      <c r="AA1" s="65" t="s">
        <v>1751</v>
      </c>
      <c r="AC1" s="65" t="s">
        <v>1752</v>
      </c>
      <c r="AE1" s="65" t="s">
        <v>1753</v>
      </c>
      <c r="AG1" s="65" t="s">
        <v>1754</v>
      </c>
      <c r="AI1" s="65" t="s">
        <v>1755</v>
      </c>
      <c r="AK1" s="65" t="s">
        <v>1756</v>
      </c>
      <c r="AM1" s="65" t="s">
        <v>1757</v>
      </c>
      <c r="AO1" s="65" t="s">
        <v>1758</v>
      </c>
      <c r="AQ1" s="65" t="s">
        <v>1759</v>
      </c>
      <c r="AS1" s="65" t="s">
        <v>1760</v>
      </c>
      <c r="AU1" s="65" t="s">
        <v>1761</v>
      </c>
      <c r="AW1" s="65" t="s">
        <v>1762</v>
      </c>
      <c r="AY1" s="65" t="s">
        <v>1763</v>
      </c>
      <c r="BA1" s="65" t="s">
        <v>1764</v>
      </c>
      <c r="BC1" s="66" t="s">
        <v>1765</v>
      </c>
    </row>
    <row r="2">
      <c r="A2" s="1" t="s">
        <v>1766</v>
      </c>
      <c r="B2" s="3">
        <v>290.55</v>
      </c>
      <c r="C2" s="1" t="s">
        <v>1767</v>
      </c>
      <c r="D2" s="3">
        <v>290.55</v>
      </c>
      <c r="E2" s="1" t="s">
        <v>1768</v>
      </c>
      <c r="F2" s="3">
        <v>290.55</v>
      </c>
      <c r="G2" s="1" t="s">
        <v>1769</v>
      </c>
      <c r="H2" s="3">
        <v>290.55</v>
      </c>
      <c r="I2" s="1" t="s">
        <v>1770</v>
      </c>
      <c r="J2" s="3">
        <v>290.55</v>
      </c>
      <c r="K2" s="1" t="s">
        <v>1771</v>
      </c>
      <c r="L2" s="3">
        <v>290.55</v>
      </c>
      <c r="M2" s="1" t="s">
        <v>473</v>
      </c>
      <c r="N2" s="3">
        <v>468.12</v>
      </c>
      <c r="O2" s="1" t="s">
        <v>1772</v>
      </c>
      <c r="P2" s="3">
        <v>290.55</v>
      </c>
      <c r="Q2" s="1" t="s">
        <v>1773</v>
      </c>
      <c r="R2" s="3">
        <v>290.55</v>
      </c>
      <c r="S2" s="1" t="s">
        <v>1774</v>
      </c>
      <c r="T2" s="3">
        <v>290.55</v>
      </c>
      <c r="U2" s="1" t="s">
        <v>1775</v>
      </c>
      <c r="V2" s="3">
        <v>290.55</v>
      </c>
      <c r="W2" s="1" t="s">
        <v>1776</v>
      </c>
      <c r="X2" s="3">
        <v>290.55</v>
      </c>
      <c r="Y2" s="1" t="s">
        <v>1777</v>
      </c>
      <c r="Z2" s="3">
        <v>290.55</v>
      </c>
      <c r="AA2" s="1" t="s">
        <v>1778</v>
      </c>
      <c r="AB2" s="3">
        <v>290.55</v>
      </c>
      <c r="AC2" s="1" t="s">
        <v>1767</v>
      </c>
      <c r="AD2" s="3">
        <v>290.55</v>
      </c>
      <c r="AE2" s="1" t="s">
        <v>3</v>
      </c>
      <c r="AF2" s="3">
        <v>290.55</v>
      </c>
      <c r="AG2" s="1" t="s">
        <v>1779</v>
      </c>
      <c r="AH2" s="3">
        <v>290.55</v>
      </c>
      <c r="AI2" s="1" t="s">
        <v>1780</v>
      </c>
      <c r="AJ2" s="3">
        <v>290.55</v>
      </c>
      <c r="AK2" s="1" t="s">
        <v>1781</v>
      </c>
      <c r="AL2" s="3">
        <v>290.55</v>
      </c>
      <c r="AM2" s="1" t="s">
        <v>1782</v>
      </c>
      <c r="AN2" s="3">
        <v>290.55</v>
      </c>
      <c r="AO2" s="1" t="s">
        <v>1783</v>
      </c>
      <c r="AP2" s="3">
        <v>290.55</v>
      </c>
      <c r="AQ2" s="1" t="s">
        <v>1784</v>
      </c>
      <c r="AR2" s="3">
        <v>290.55</v>
      </c>
      <c r="AS2" s="1" t="s">
        <v>1785</v>
      </c>
      <c r="AT2" s="3">
        <v>290.55</v>
      </c>
      <c r="AU2" s="1" t="s">
        <v>1786</v>
      </c>
      <c r="AV2" s="3">
        <v>290.55</v>
      </c>
      <c r="AW2" s="1" t="s">
        <v>1787</v>
      </c>
      <c r="AX2" s="3">
        <v>290.55</v>
      </c>
      <c r="AY2" s="1" t="s">
        <v>1788</v>
      </c>
      <c r="AZ2" s="3">
        <v>290.55</v>
      </c>
      <c r="BA2" s="1" t="s">
        <v>1789</v>
      </c>
      <c r="BB2" s="3">
        <v>290.55</v>
      </c>
      <c r="BC2" s="67" t="s">
        <v>1790</v>
      </c>
      <c r="BD2" s="67">
        <v>385.32</v>
      </c>
      <c r="BE2" s="67">
        <f t="shared" ref="BE2:BE854" si="1">BD2*5.5</f>
        <v>2119.26</v>
      </c>
    </row>
    <row r="3">
      <c r="A3" s="1" t="s">
        <v>1791</v>
      </c>
      <c r="B3" s="3">
        <v>290.55</v>
      </c>
      <c r="C3" s="1" t="s">
        <v>1792</v>
      </c>
      <c r="D3" s="3">
        <v>290.55</v>
      </c>
      <c r="E3" s="1" t="s">
        <v>1793</v>
      </c>
      <c r="F3" s="3">
        <v>290.55</v>
      </c>
      <c r="G3" s="1" t="s">
        <v>1794</v>
      </c>
      <c r="H3" s="3">
        <v>290.55</v>
      </c>
      <c r="I3" s="1" t="s">
        <v>1795</v>
      </c>
      <c r="J3" s="3">
        <v>290.55</v>
      </c>
      <c r="K3" s="1" t="s">
        <v>1796</v>
      </c>
      <c r="L3" s="3">
        <v>290.55</v>
      </c>
      <c r="M3" s="1"/>
      <c r="N3" s="1"/>
      <c r="O3" s="1" t="s">
        <v>1797</v>
      </c>
      <c r="P3" s="3">
        <v>290.55</v>
      </c>
      <c r="Q3" s="1" t="s">
        <v>1798</v>
      </c>
      <c r="R3" s="3">
        <v>290.55</v>
      </c>
      <c r="S3" s="1" t="s">
        <v>1799</v>
      </c>
      <c r="T3" s="3">
        <v>290.55</v>
      </c>
      <c r="U3" s="1" t="s">
        <v>1800</v>
      </c>
      <c r="V3" s="3">
        <v>290.55</v>
      </c>
      <c r="W3" s="1" t="s">
        <v>1801</v>
      </c>
      <c r="X3" s="3">
        <v>290.55</v>
      </c>
      <c r="Y3" s="1" t="s">
        <v>1802</v>
      </c>
      <c r="Z3" s="3">
        <v>290.55</v>
      </c>
      <c r="AA3" s="1" t="s">
        <v>1803</v>
      </c>
      <c r="AB3" s="3">
        <v>290.55</v>
      </c>
      <c r="AC3" s="1" t="s">
        <v>1804</v>
      </c>
      <c r="AD3" s="3">
        <v>290.55</v>
      </c>
      <c r="AE3" s="1" t="s">
        <v>5</v>
      </c>
      <c r="AF3" s="3">
        <v>290.55</v>
      </c>
      <c r="AG3" s="1" t="s">
        <v>1805</v>
      </c>
      <c r="AH3" s="3">
        <v>290.55</v>
      </c>
      <c r="AI3" s="1" t="s">
        <v>1806</v>
      </c>
      <c r="AJ3" s="3">
        <v>290.55</v>
      </c>
      <c r="AK3" s="1" t="s">
        <v>1807</v>
      </c>
      <c r="AL3" s="3">
        <v>290.55</v>
      </c>
      <c r="AM3" s="1" t="s">
        <v>1808</v>
      </c>
      <c r="AN3" s="3">
        <v>290.55</v>
      </c>
      <c r="AO3" s="1" t="s">
        <v>1809</v>
      </c>
      <c r="AP3" s="3">
        <v>290.55</v>
      </c>
      <c r="AQ3" s="1" t="s">
        <v>1810</v>
      </c>
      <c r="AR3" s="3">
        <v>290.55</v>
      </c>
      <c r="AS3" s="1" t="s">
        <v>1811</v>
      </c>
      <c r="AT3" s="3">
        <v>290.55</v>
      </c>
      <c r="AU3" s="1" t="s">
        <v>1812</v>
      </c>
      <c r="AV3" s="3">
        <v>290.55</v>
      </c>
      <c r="AW3" s="1" t="s">
        <v>1813</v>
      </c>
      <c r="AX3" s="3">
        <v>290.55</v>
      </c>
      <c r="AY3" s="1" t="s">
        <v>1814</v>
      </c>
      <c r="AZ3" s="3">
        <v>290.55</v>
      </c>
      <c r="BA3" s="1" t="s">
        <v>1815</v>
      </c>
      <c r="BB3" s="3">
        <v>290.55</v>
      </c>
      <c r="BC3" s="67" t="s">
        <v>1816</v>
      </c>
      <c r="BD3" s="67">
        <v>385.32</v>
      </c>
      <c r="BE3" s="67">
        <f t="shared" si="1"/>
        <v>2119.26</v>
      </c>
    </row>
    <row r="4">
      <c r="A4" s="1" t="s">
        <v>1817</v>
      </c>
      <c r="B4" s="3">
        <v>290.55</v>
      </c>
      <c r="C4" s="1" t="s">
        <v>1818</v>
      </c>
      <c r="D4" s="3">
        <v>290.55</v>
      </c>
      <c r="E4" s="1" t="s">
        <v>1819</v>
      </c>
      <c r="F4" s="3">
        <v>290.55</v>
      </c>
      <c r="G4" s="1" t="s">
        <v>1820</v>
      </c>
      <c r="H4" s="3">
        <v>290.55</v>
      </c>
      <c r="I4" s="1" t="s">
        <v>1821</v>
      </c>
      <c r="J4" s="3">
        <v>290.55</v>
      </c>
      <c r="K4" s="1" t="s">
        <v>1822</v>
      </c>
      <c r="L4" s="3">
        <v>290.55</v>
      </c>
      <c r="M4" s="1"/>
      <c r="N4" s="1"/>
      <c r="O4" s="1" t="s">
        <v>1823</v>
      </c>
      <c r="P4" s="3">
        <v>290.55</v>
      </c>
      <c r="Q4" s="1" t="s">
        <v>1824</v>
      </c>
      <c r="R4" s="3">
        <v>290.55</v>
      </c>
      <c r="S4" s="1" t="s">
        <v>1825</v>
      </c>
      <c r="T4" s="3">
        <v>290.55</v>
      </c>
      <c r="U4" s="1" t="s">
        <v>1826</v>
      </c>
      <c r="V4" s="3">
        <v>290.55</v>
      </c>
      <c r="W4" s="1" t="s">
        <v>1827</v>
      </c>
      <c r="X4" s="3">
        <v>290.55</v>
      </c>
      <c r="Y4" s="1" t="s">
        <v>1828</v>
      </c>
      <c r="Z4" s="3">
        <v>290.55</v>
      </c>
      <c r="AA4" s="1" t="s">
        <v>1829</v>
      </c>
      <c r="AB4" s="3">
        <v>290.55</v>
      </c>
      <c r="AC4" s="1" t="s">
        <v>1830</v>
      </c>
      <c r="AD4" s="3">
        <v>290.55</v>
      </c>
      <c r="AE4" s="1" t="s">
        <v>7</v>
      </c>
      <c r="AF4" s="3">
        <v>290.55</v>
      </c>
      <c r="AG4" s="1" t="s">
        <v>1831</v>
      </c>
      <c r="AH4" s="3">
        <v>290.55</v>
      </c>
      <c r="AI4" s="1" t="s">
        <v>1767</v>
      </c>
      <c r="AJ4" s="3">
        <v>290.55</v>
      </c>
      <c r="AK4" s="1" t="s">
        <v>1832</v>
      </c>
      <c r="AL4" s="3">
        <v>290.55</v>
      </c>
      <c r="AM4" s="1" t="s">
        <v>1833</v>
      </c>
      <c r="AN4" s="3">
        <v>290.55</v>
      </c>
      <c r="AO4" s="1" t="s">
        <v>1834</v>
      </c>
      <c r="AP4" s="3">
        <v>290.55</v>
      </c>
      <c r="AQ4" s="1" t="s">
        <v>11</v>
      </c>
      <c r="AR4" s="3">
        <v>290.55</v>
      </c>
      <c r="AS4" s="1" t="s">
        <v>1835</v>
      </c>
      <c r="AT4" s="3">
        <v>371.26</v>
      </c>
      <c r="AU4" s="1" t="s">
        <v>1836</v>
      </c>
      <c r="AV4" s="3">
        <v>290.55</v>
      </c>
      <c r="AW4" s="1" t="s">
        <v>1837</v>
      </c>
      <c r="AX4" s="3">
        <v>290.55</v>
      </c>
      <c r="AY4" s="1" t="s">
        <v>1838</v>
      </c>
      <c r="AZ4" s="3">
        <v>371.26</v>
      </c>
      <c r="BA4" s="1" t="s">
        <v>1839</v>
      </c>
      <c r="BB4" s="3">
        <v>290.55</v>
      </c>
      <c r="BC4" s="67" t="s">
        <v>1840</v>
      </c>
      <c r="BD4" s="67">
        <v>398.91</v>
      </c>
      <c r="BE4" s="67">
        <f t="shared" si="1"/>
        <v>2194.005</v>
      </c>
    </row>
    <row r="5">
      <c r="A5" s="1" t="s">
        <v>1841</v>
      </c>
      <c r="B5" s="3">
        <v>290.55</v>
      </c>
      <c r="C5" s="1" t="s">
        <v>44</v>
      </c>
      <c r="D5" s="3">
        <v>290.55</v>
      </c>
      <c r="E5" s="1" t="s">
        <v>1842</v>
      </c>
      <c r="F5" s="3">
        <v>290.55</v>
      </c>
      <c r="G5" s="1" t="s">
        <v>1843</v>
      </c>
      <c r="H5" s="3">
        <v>290.55</v>
      </c>
      <c r="I5" s="1" t="s">
        <v>1844</v>
      </c>
      <c r="J5" s="3">
        <v>290.55</v>
      </c>
      <c r="K5" s="1" t="s">
        <v>1845</v>
      </c>
      <c r="L5" s="3">
        <v>290.55</v>
      </c>
      <c r="M5" s="1"/>
      <c r="N5" s="1"/>
      <c r="O5" s="1" t="s">
        <v>1846</v>
      </c>
      <c r="P5" s="3">
        <v>290.55</v>
      </c>
      <c r="Q5" s="1" t="s">
        <v>1847</v>
      </c>
      <c r="R5" s="3">
        <v>290.55</v>
      </c>
      <c r="S5" s="1" t="s">
        <v>1848</v>
      </c>
      <c r="T5" s="3">
        <v>290.55</v>
      </c>
      <c r="U5" s="1" t="s">
        <v>1849</v>
      </c>
      <c r="V5" s="3">
        <v>290.55</v>
      </c>
      <c r="W5" s="1" t="s">
        <v>1850</v>
      </c>
      <c r="X5" s="3">
        <v>290.55</v>
      </c>
      <c r="Y5" s="1" t="s">
        <v>1851</v>
      </c>
      <c r="Z5" s="3">
        <v>290.55</v>
      </c>
      <c r="AA5" s="1" t="s">
        <v>1852</v>
      </c>
      <c r="AB5" s="3">
        <v>290.55</v>
      </c>
      <c r="AC5" s="1" t="s">
        <v>1853</v>
      </c>
      <c r="AD5" s="3">
        <v>290.55</v>
      </c>
      <c r="AE5" s="1" t="s">
        <v>8</v>
      </c>
      <c r="AF5" s="3">
        <v>290.55</v>
      </c>
      <c r="AG5" s="1" t="s">
        <v>1854</v>
      </c>
      <c r="AH5" s="3">
        <v>290.55</v>
      </c>
      <c r="AI5" s="1" t="s">
        <v>1855</v>
      </c>
      <c r="AJ5" s="3">
        <v>290.55</v>
      </c>
      <c r="AK5" s="1" t="s">
        <v>1856</v>
      </c>
      <c r="AL5" s="3">
        <v>290.55</v>
      </c>
      <c r="AM5" s="1" t="s">
        <v>1857</v>
      </c>
      <c r="AN5" s="3">
        <v>290.55</v>
      </c>
      <c r="AO5" s="1" t="s">
        <v>1858</v>
      </c>
      <c r="AP5" s="3">
        <v>290.55</v>
      </c>
      <c r="AQ5" s="1" t="s">
        <v>1859</v>
      </c>
      <c r="AR5" s="3">
        <v>290.55</v>
      </c>
      <c r="AS5" s="1" t="s">
        <v>1860</v>
      </c>
      <c r="AT5" s="3">
        <v>290.55</v>
      </c>
      <c r="AU5" s="1" t="s">
        <v>1861</v>
      </c>
      <c r="AV5" s="3">
        <v>290.55</v>
      </c>
      <c r="AW5" s="1" t="s">
        <v>1862</v>
      </c>
      <c r="AX5" s="3">
        <v>290.55</v>
      </c>
      <c r="AY5" s="1" t="s">
        <v>1863</v>
      </c>
      <c r="AZ5" s="3">
        <v>290.55</v>
      </c>
      <c r="BA5" s="1" t="s">
        <v>1864</v>
      </c>
      <c r="BB5" s="3">
        <v>290.55</v>
      </c>
      <c r="BC5" s="67" t="s">
        <v>1865</v>
      </c>
      <c r="BD5" s="67">
        <v>398.91</v>
      </c>
      <c r="BE5" s="67">
        <f t="shared" si="1"/>
        <v>2194.005</v>
      </c>
    </row>
    <row r="6">
      <c r="A6" s="1" t="s">
        <v>1866</v>
      </c>
      <c r="B6" s="3">
        <v>290.55</v>
      </c>
      <c r="C6" s="1" t="s">
        <v>1867</v>
      </c>
      <c r="D6" s="3">
        <v>290.55</v>
      </c>
      <c r="E6" s="1" t="s">
        <v>1868</v>
      </c>
      <c r="F6" s="3">
        <v>290.55</v>
      </c>
      <c r="G6" s="1" t="s">
        <v>1869</v>
      </c>
      <c r="H6" s="3">
        <v>290.55</v>
      </c>
      <c r="I6" s="1" t="s">
        <v>1870</v>
      </c>
      <c r="J6" s="3">
        <v>290.55</v>
      </c>
      <c r="K6" s="1" t="s">
        <v>1871</v>
      </c>
      <c r="L6" s="3">
        <v>290.55</v>
      </c>
      <c r="M6" s="1"/>
      <c r="N6" s="1"/>
      <c r="O6" s="1" t="s">
        <v>1872</v>
      </c>
      <c r="P6" s="3">
        <v>290.55</v>
      </c>
      <c r="Q6" s="1" t="s">
        <v>1873</v>
      </c>
      <c r="R6" s="3">
        <v>290.55</v>
      </c>
      <c r="S6" s="1" t="s">
        <v>1874</v>
      </c>
      <c r="T6" s="3">
        <v>290.55</v>
      </c>
      <c r="U6" s="1" t="s">
        <v>1875</v>
      </c>
      <c r="V6" s="3">
        <v>290.55</v>
      </c>
      <c r="W6" s="1" t="s">
        <v>1876</v>
      </c>
      <c r="X6" s="3">
        <v>290.55</v>
      </c>
      <c r="Y6" s="1" t="s">
        <v>1877</v>
      </c>
      <c r="Z6" s="3">
        <v>290.55</v>
      </c>
      <c r="AA6" s="1" t="s">
        <v>1878</v>
      </c>
      <c r="AB6" s="3">
        <v>290.55</v>
      </c>
      <c r="AC6" s="1" t="s">
        <v>1879</v>
      </c>
      <c r="AD6" s="3">
        <v>290.55</v>
      </c>
      <c r="AE6" s="1" t="s">
        <v>9</v>
      </c>
      <c r="AF6" s="3">
        <v>290.55</v>
      </c>
      <c r="AG6" s="1" t="s">
        <v>1880</v>
      </c>
      <c r="AH6" s="3">
        <v>290.55</v>
      </c>
      <c r="AI6" s="1" t="s">
        <v>1881</v>
      </c>
      <c r="AJ6" s="3">
        <v>290.55</v>
      </c>
      <c r="AK6" s="1" t="s">
        <v>1882</v>
      </c>
      <c r="AL6" s="3">
        <v>290.55</v>
      </c>
      <c r="AM6" s="1" t="s">
        <v>1883</v>
      </c>
      <c r="AN6" s="3">
        <v>290.55</v>
      </c>
      <c r="AO6" s="1" t="s">
        <v>1884</v>
      </c>
      <c r="AP6" s="3">
        <v>290.55</v>
      </c>
      <c r="AQ6" s="1" t="s">
        <v>1885</v>
      </c>
      <c r="AR6" s="3">
        <v>290.55</v>
      </c>
      <c r="AS6" s="1" t="s">
        <v>1886</v>
      </c>
      <c r="AT6" s="3">
        <v>290.55</v>
      </c>
      <c r="AU6" s="1" t="s">
        <v>1887</v>
      </c>
      <c r="AV6" s="3">
        <v>290.55</v>
      </c>
      <c r="AW6" s="1" t="s">
        <v>1888</v>
      </c>
      <c r="AX6" s="3">
        <v>290.55</v>
      </c>
      <c r="AY6" s="1" t="s">
        <v>1889</v>
      </c>
      <c r="AZ6" s="3">
        <v>290.55</v>
      </c>
      <c r="BA6" s="1" t="s">
        <v>1890</v>
      </c>
      <c r="BB6" s="3">
        <v>290.55</v>
      </c>
      <c r="BC6" s="67" t="s">
        <v>1891</v>
      </c>
      <c r="BD6" s="67">
        <v>398.91</v>
      </c>
      <c r="BE6" s="67">
        <f t="shared" si="1"/>
        <v>2194.005</v>
      </c>
    </row>
    <row r="7">
      <c r="A7" s="1" t="s">
        <v>110</v>
      </c>
      <c r="B7" s="3">
        <v>290.55</v>
      </c>
      <c r="C7" s="1" t="s">
        <v>1892</v>
      </c>
      <c r="D7" s="3">
        <v>290.55</v>
      </c>
      <c r="E7" s="1" t="s">
        <v>1893</v>
      </c>
      <c r="F7" s="3">
        <v>290.55</v>
      </c>
      <c r="G7" s="1" t="s">
        <v>1894</v>
      </c>
      <c r="H7" s="3">
        <v>290.55</v>
      </c>
      <c r="I7" s="1" t="s">
        <v>1895</v>
      </c>
      <c r="J7" s="3">
        <v>290.55</v>
      </c>
      <c r="K7" s="1" t="s">
        <v>1896</v>
      </c>
      <c r="L7" s="3">
        <v>290.55</v>
      </c>
      <c r="M7" s="1"/>
      <c r="N7" s="1"/>
      <c r="O7" s="1" t="s">
        <v>1897</v>
      </c>
      <c r="P7" s="3">
        <v>290.55</v>
      </c>
      <c r="Q7" s="1" t="s">
        <v>1898</v>
      </c>
      <c r="R7" s="3">
        <v>290.55</v>
      </c>
      <c r="S7" s="1" t="s">
        <v>1899</v>
      </c>
      <c r="T7" s="3">
        <v>290.55</v>
      </c>
      <c r="U7" s="1" t="s">
        <v>1900</v>
      </c>
      <c r="V7" s="3">
        <v>290.55</v>
      </c>
      <c r="W7" s="1" t="s">
        <v>1901</v>
      </c>
      <c r="X7" s="3">
        <v>290.55</v>
      </c>
      <c r="Y7" s="1" t="s">
        <v>1800</v>
      </c>
      <c r="Z7" s="3">
        <v>290.55</v>
      </c>
      <c r="AA7" s="1" t="s">
        <v>1902</v>
      </c>
      <c r="AB7" s="3">
        <v>290.55</v>
      </c>
      <c r="AC7" s="1" t="s">
        <v>1903</v>
      </c>
      <c r="AD7" s="3">
        <v>290.55</v>
      </c>
      <c r="AE7" s="1" t="s">
        <v>11</v>
      </c>
      <c r="AF7" s="3">
        <v>290.55</v>
      </c>
      <c r="AG7" s="1" t="s">
        <v>1904</v>
      </c>
      <c r="AH7" s="3">
        <v>290.55</v>
      </c>
      <c r="AI7" s="1" t="s">
        <v>1905</v>
      </c>
      <c r="AJ7" s="3">
        <v>290.55</v>
      </c>
      <c r="AK7" s="1" t="s">
        <v>1906</v>
      </c>
      <c r="AL7" s="3">
        <v>290.55</v>
      </c>
      <c r="AM7" s="1" t="s">
        <v>1907</v>
      </c>
      <c r="AN7" s="3">
        <v>290.55</v>
      </c>
      <c r="AO7" s="1" t="s">
        <v>1908</v>
      </c>
      <c r="AP7" s="3">
        <v>290.55</v>
      </c>
      <c r="AQ7" s="1" t="s">
        <v>1909</v>
      </c>
      <c r="AR7" s="3">
        <v>290.55</v>
      </c>
      <c r="AS7" s="1" t="s">
        <v>1910</v>
      </c>
      <c r="AT7" s="3">
        <v>290.55</v>
      </c>
      <c r="AU7" s="1" t="s">
        <v>1911</v>
      </c>
      <c r="AV7" s="3">
        <v>290.55</v>
      </c>
      <c r="AW7" s="1" t="s">
        <v>1912</v>
      </c>
      <c r="AX7" s="3">
        <v>290.55</v>
      </c>
      <c r="AY7" s="1" t="s">
        <v>1913</v>
      </c>
      <c r="AZ7" s="3">
        <v>290.55</v>
      </c>
      <c r="BA7" s="1" t="s">
        <v>1914</v>
      </c>
      <c r="BB7" s="3">
        <v>290.55</v>
      </c>
      <c r="BC7" s="67" t="s">
        <v>1915</v>
      </c>
      <c r="BD7" s="67">
        <v>385.32</v>
      </c>
      <c r="BE7" s="67">
        <f t="shared" si="1"/>
        <v>2119.26</v>
      </c>
    </row>
    <row r="8">
      <c r="A8" s="1" t="s">
        <v>1916</v>
      </c>
      <c r="B8" s="3">
        <v>290.55</v>
      </c>
      <c r="C8" s="1" t="s">
        <v>1917</v>
      </c>
      <c r="D8" s="3">
        <v>290.55</v>
      </c>
      <c r="E8" s="1" t="s">
        <v>1918</v>
      </c>
      <c r="F8" s="3">
        <v>371.26</v>
      </c>
      <c r="G8" s="1" t="s">
        <v>1919</v>
      </c>
      <c r="H8" s="3">
        <v>290.55</v>
      </c>
      <c r="I8" s="1" t="s">
        <v>1920</v>
      </c>
      <c r="J8" s="3">
        <v>290.55</v>
      </c>
      <c r="K8" s="1" t="s">
        <v>1921</v>
      </c>
      <c r="L8" s="3">
        <v>290.55</v>
      </c>
      <c r="M8" s="1"/>
      <c r="N8" s="1"/>
      <c r="O8" s="1" t="s">
        <v>1922</v>
      </c>
      <c r="P8" s="3">
        <v>290.55</v>
      </c>
      <c r="Q8" s="1" t="s">
        <v>1923</v>
      </c>
      <c r="R8" s="3">
        <v>290.55</v>
      </c>
      <c r="S8" s="1" t="s">
        <v>1924</v>
      </c>
      <c r="T8" s="3">
        <v>290.55</v>
      </c>
      <c r="U8" s="1" t="s">
        <v>1925</v>
      </c>
      <c r="V8" s="3">
        <v>290.55</v>
      </c>
      <c r="W8" s="1" t="s">
        <v>1926</v>
      </c>
      <c r="X8" s="3">
        <v>290.55</v>
      </c>
      <c r="Y8" s="1" t="s">
        <v>1927</v>
      </c>
      <c r="Z8" s="3">
        <v>290.55</v>
      </c>
      <c r="AA8" s="1" t="s">
        <v>1928</v>
      </c>
      <c r="AB8" s="3">
        <v>290.55</v>
      </c>
      <c r="AC8" s="1" t="s">
        <v>1929</v>
      </c>
      <c r="AD8" s="3">
        <v>290.55</v>
      </c>
      <c r="AE8" s="1" t="s">
        <v>13</v>
      </c>
      <c r="AF8" s="3">
        <v>290.55</v>
      </c>
      <c r="AG8" s="1" t="s">
        <v>1879</v>
      </c>
      <c r="AH8" s="3">
        <v>290.55</v>
      </c>
      <c r="AI8" s="1" t="s">
        <v>1930</v>
      </c>
      <c r="AJ8" s="3">
        <v>290.55</v>
      </c>
      <c r="AK8" s="1" t="s">
        <v>1931</v>
      </c>
      <c r="AL8" s="3">
        <v>290.55</v>
      </c>
      <c r="AM8" s="1" t="s">
        <v>1932</v>
      </c>
      <c r="AN8" s="3">
        <v>290.55</v>
      </c>
      <c r="AO8" s="1" t="s">
        <v>1933</v>
      </c>
      <c r="AP8" s="3">
        <v>290.55</v>
      </c>
      <c r="AQ8" s="1" t="s">
        <v>1934</v>
      </c>
      <c r="AR8" s="3">
        <v>290.55</v>
      </c>
      <c r="AS8" s="1" t="s">
        <v>1935</v>
      </c>
      <c r="AT8" s="3">
        <v>290.55</v>
      </c>
      <c r="AU8" s="1" t="s">
        <v>1936</v>
      </c>
      <c r="AV8" s="3">
        <v>290.55</v>
      </c>
      <c r="AW8" s="1" t="s">
        <v>1937</v>
      </c>
      <c r="AX8" s="3">
        <v>290.55</v>
      </c>
      <c r="AY8" s="1" t="s">
        <v>1938</v>
      </c>
      <c r="AZ8" s="3">
        <v>290.55</v>
      </c>
      <c r="BA8" s="1" t="s">
        <v>1939</v>
      </c>
      <c r="BB8" s="3">
        <v>290.55</v>
      </c>
      <c r="BC8" s="67" t="s">
        <v>1940</v>
      </c>
      <c r="BD8" s="67">
        <v>295.09</v>
      </c>
      <c r="BE8" s="67">
        <f t="shared" si="1"/>
        <v>1622.995</v>
      </c>
    </row>
    <row r="9">
      <c r="A9" s="1" t="s">
        <v>1941</v>
      </c>
      <c r="B9" s="3">
        <v>290.55</v>
      </c>
      <c r="C9" s="1" t="s">
        <v>1942</v>
      </c>
      <c r="D9" s="3">
        <v>290.55</v>
      </c>
      <c r="E9" s="1" t="s">
        <v>1943</v>
      </c>
      <c r="F9" s="3">
        <v>290.55</v>
      </c>
      <c r="G9" s="1" t="s">
        <v>1944</v>
      </c>
      <c r="H9" s="3">
        <v>290.55</v>
      </c>
      <c r="I9" s="1" t="s">
        <v>1945</v>
      </c>
      <c r="J9" s="3">
        <v>290.55</v>
      </c>
      <c r="K9" s="1" t="s">
        <v>1946</v>
      </c>
      <c r="L9" s="3">
        <v>290.55</v>
      </c>
      <c r="M9" s="1"/>
      <c r="N9" s="1"/>
      <c r="O9" s="1" t="s">
        <v>1947</v>
      </c>
      <c r="P9" s="3">
        <v>290.55</v>
      </c>
      <c r="Q9" s="1" t="s">
        <v>1948</v>
      </c>
      <c r="R9" s="3">
        <v>290.55</v>
      </c>
      <c r="S9" s="1" t="s">
        <v>1949</v>
      </c>
      <c r="T9" s="3">
        <v>290.55</v>
      </c>
      <c r="U9" s="1" t="s">
        <v>1950</v>
      </c>
      <c r="V9" s="3">
        <v>290.55</v>
      </c>
      <c r="W9" s="1" t="s">
        <v>1951</v>
      </c>
      <c r="X9" s="3">
        <v>290.55</v>
      </c>
      <c r="Y9" s="1" t="s">
        <v>1952</v>
      </c>
      <c r="Z9" s="3">
        <v>290.55</v>
      </c>
      <c r="AA9" s="1" t="s">
        <v>1953</v>
      </c>
      <c r="AB9" s="3">
        <v>290.55</v>
      </c>
      <c r="AC9" s="1" t="s">
        <v>1954</v>
      </c>
      <c r="AD9" s="3">
        <v>290.55</v>
      </c>
      <c r="AE9" s="1" t="s">
        <v>15</v>
      </c>
      <c r="AF9" s="3">
        <v>290.55</v>
      </c>
      <c r="AG9" s="1" t="s">
        <v>1955</v>
      </c>
      <c r="AH9" s="3">
        <v>290.55</v>
      </c>
      <c r="AI9" s="1" t="s">
        <v>1956</v>
      </c>
      <c r="AJ9" s="3">
        <v>290.55</v>
      </c>
      <c r="AK9" s="1" t="s">
        <v>1957</v>
      </c>
      <c r="AL9" s="3">
        <v>290.55</v>
      </c>
      <c r="AM9" s="1" t="s">
        <v>1958</v>
      </c>
      <c r="AN9" s="3">
        <v>290.55</v>
      </c>
      <c r="AO9" s="1" t="s">
        <v>1959</v>
      </c>
      <c r="AP9" s="3">
        <v>290.55</v>
      </c>
      <c r="AQ9" s="1" t="s">
        <v>1960</v>
      </c>
      <c r="AR9" s="3">
        <v>290.55</v>
      </c>
      <c r="AS9" s="1" t="s">
        <v>1961</v>
      </c>
      <c r="AT9" s="3">
        <v>290.55</v>
      </c>
      <c r="AU9" s="1" t="s">
        <v>1962</v>
      </c>
      <c r="AV9" s="3">
        <v>290.55</v>
      </c>
      <c r="AW9" s="1" t="s">
        <v>1963</v>
      </c>
      <c r="AX9" s="3">
        <v>290.55</v>
      </c>
      <c r="AY9" s="1" t="s">
        <v>1964</v>
      </c>
      <c r="AZ9" s="3">
        <v>290.55</v>
      </c>
      <c r="BA9" s="1" t="s">
        <v>1965</v>
      </c>
      <c r="BB9" s="3">
        <v>290.55</v>
      </c>
      <c r="BC9" s="67" t="s">
        <v>1966</v>
      </c>
      <c r="BD9" s="67">
        <v>295.09</v>
      </c>
      <c r="BE9" s="67">
        <f t="shared" si="1"/>
        <v>1622.995</v>
      </c>
    </row>
    <row r="10">
      <c r="A10" s="1" t="s">
        <v>1967</v>
      </c>
      <c r="B10" s="3">
        <v>290.55</v>
      </c>
      <c r="C10" s="1" t="s">
        <v>1968</v>
      </c>
      <c r="D10" s="3">
        <v>290.55</v>
      </c>
      <c r="E10" s="1" t="s">
        <v>1969</v>
      </c>
      <c r="F10" s="3">
        <v>290.55</v>
      </c>
      <c r="G10" s="1" t="s">
        <v>1970</v>
      </c>
      <c r="H10" s="3">
        <v>290.55</v>
      </c>
      <c r="I10" s="1" t="s">
        <v>1971</v>
      </c>
      <c r="J10" s="3">
        <v>290.55</v>
      </c>
      <c r="K10" s="1" t="s">
        <v>1972</v>
      </c>
      <c r="L10" s="3">
        <v>290.55</v>
      </c>
      <c r="M10" s="1"/>
      <c r="N10" s="1"/>
      <c r="O10" s="1" t="s">
        <v>1973</v>
      </c>
      <c r="P10" s="3">
        <v>290.55</v>
      </c>
      <c r="Q10" s="1" t="s">
        <v>1974</v>
      </c>
      <c r="R10" s="3">
        <v>290.55</v>
      </c>
      <c r="S10" s="1" t="s">
        <v>1975</v>
      </c>
      <c r="T10" s="3">
        <v>290.55</v>
      </c>
      <c r="U10" s="1" t="s">
        <v>1976</v>
      </c>
      <c r="V10" s="3">
        <v>290.55</v>
      </c>
      <c r="W10" s="1" t="s">
        <v>1977</v>
      </c>
      <c r="X10" s="3">
        <v>290.55</v>
      </c>
      <c r="Y10" s="1" t="s">
        <v>1978</v>
      </c>
      <c r="Z10" s="3">
        <v>290.55</v>
      </c>
      <c r="AA10" s="1" t="s">
        <v>1979</v>
      </c>
      <c r="AB10" s="3">
        <v>290.55</v>
      </c>
      <c r="AC10" s="1" t="s">
        <v>1980</v>
      </c>
      <c r="AD10" s="3">
        <v>290.55</v>
      </c>
      <c r="AE10" s="1" t="s">
        <v>16</v>
      </c>
      <c r="AF10" s="3">
        <v>290.55</v>
      </c>
      <c r="AG10" s="1" t="s">
        <v>1981</v>
      </c>
      <c r="AH10" s="3">
        <v>290.55</v>
      </c>
      <c r="AI10" s="1" t="s">
        <v>1982</v>
      </c>
      <c r="AJ10" s="3">
        <v>290.55</v>
      </c>
      <c r="AK10" s="1" t="s">
        <v>1983</v>
      </c>
      <c r="AL10" s="3">
        <v>290.55</v>
      </c>
      <c r="AM10" s="1" t="s">
        <v>1984</v>
      </c>
      <c r="AN10" s="3">
        <v>290.55</v>
      </c>
      <c r="AO10" s="1" t="s">
        <v>1985</v>
      </c>
      <c r="AP10" s="3">
        <v>290.55</v>
      </c>
      <c r="AQ10" s="1" t="s">
        <v>1986</v>
      </c>
      <c r="AR10" s="3">
        <v>290.55</v>
      </c>
      <c r="AS10" s="1" t="s">
        <v>1987</v>
      </c>
      <c r="AT10" s="3">
        <v>290.55</v>
      </c>
      <c r="AU10" s="1" t="s">
        <v>1988</v>
      </c>
      <c r="AV10" s="3">
        <v>290.55</v>
      </c>
      <c r="AW10" s="1" t="s">
        <v>1989</v>
      </c>
      <c r="AX10" s="3">
        <v>290.55</v>
      </c>
      <c r="AY10" s="1" t="s">
        <v>1990</v>
      </c>
      <c r="AZ10" s="3">
        <v>290.55</v>
      </c>
      <c r="BA10" s="1" t="s">
        <v>1991</v>
      </c>
      <c r="BB10" s="3">
        <v>290.55</v>
      </c>
      <c r="BC10" s="67" t="s">
        <v>1992</v>
      </c>
      <c r="BD10" s="67">
        <v>385.32</v>
      </c>
      <c r="BE10" s="67">
        <f t="shared" si="1"/>
        <v>2119.26</v>
      </c>
    </row>
    <row r="11">
      <c r="A11" s="1" t="s">
        <v>1993</v>
      </c>
      <c r="B11" s="3">
        <v>290.55</v>
      </c>
      <c r="C11" s="1" t="s">
        <v>1994</v>
      </c>
      <c r="D11" s="3">
        <v>290.55</v>
      </c>
      <c r="E11" s="1" t="s">
        <v>1995</v>
      </c>
      <c r="F11" s="3">
        <v>290.55</v>
      </c>
      <c r="G11" s="1" t="s">
        <v>1996</v>
      </c>
      <c r="H11" s="3">
        <v>290.55</v>
      </c>
      <c r="I11" s="1" t="s">
        <v>1997</v>
      </c>
      <c r="J11" s="3">
        <v>290.55</v>
      </c>
      <c r="K11" s="1" t="s">
        <v>1998</v>
      </c>
      <c r="L11" s="3">
        <v>290.55</v>
      </c>
      <c r="M11" s="1"/>
      <c r="N11" s="1"/>
      <c r="O11" s="1" t="s">
        <v>1999</v>
      </c>
      <c r="P11" s="3">
        <v>290.55</v>
      </c>
      <c r="Q11" s="1" t="s">
        <v>2000</v>
      </c>
      <c r="R11" s="3">
        <v>290.55</v>
      </c>
      <c r="S11" s="1" t="s">
        <v>2001</v>
      </c>
      <c r="T11" s="3">
        <v>290.55</v>
      </c>
      <c r="U11" s="1" t="s">
        <v>2002</v>
      </c>
      <c r="V11" s="3">
        <v>290.55</v>
      </c>
      <c r="W11" s="1" t="s">
        <v>2003</v>
      </c>
      <c r="X11" s="3">
        <v>290.55</v>
      </c>
      <c r="Y11" s="1" t="s">
        <v>2004</v>
      </c>
      <c r="Z11" s="3">
        <v>290.55</v>
      </c>
      <c r="AA11" s="1" t="s">
        <v>2005</v>
      </c>
      <c r="AB11" s="3">
        <v>290.55</v>
      </c>
      <c r="AC11" s="1" t="s">
        <v>2006</v>
      </c>
      <c r="AD11" s="3">
        <v>290.55</v>
      </c>
      <c r="AE11" s="1" t="s">
        <v>17</v>
      </c>
      <c r="AF11" s="3">
        <v>290.55</v>
      </c>
      <c r="AG11" s="1" t="s">
        <v>2007</v>
      </c>
      <c r="AH11" s="3">
        <v>290.55</v>
      </c>
      <c r="AI11" s="1" t="s">
        <v>2008</v>
      </c>
      <c r="AJ11" s="3">
        <v>290.55</v>
      </c>
      <c r="AK11" s="1" t="s">
        <v>2009</v>
      </c>
      <c r="AL11" s="3">
        <v>290.55</v>
      </c>
      <c r="AM11" s="1" t="s">
        <v>1785</v>
      </c>
      <c r="AN11" s="3">
        <v>290.55</v>
      </c>
      <c r="AO11" s="1" t="s">
        <v>2010</v>
      </c>
      <c r="AP11" s="3">
        <v>290.55</v>
      </c>
      <c r="AQ11" s="1" t="s">
        <v>2011</v>
      </c>
      <c r="AR11" s="3">
        <v>290.55</v>
      </c>
      <c r="AS11" s="1" t="s">
        <v>2012</v>
      </c>
      <c r="AT11" s="3">
        <v>290.55</v>
      </c>
      <c r="AU11" s="1" t="s">
        <v>2013</v>
      </c>
      <c r="AV11" s="3">
        <v>290.55</v>
      </c>
      <c r="AW11" s="1" t="s">
        <v>2014</v>
      </c>
      <c r="AX11" s="3">
        <v>290.55</v>
      </c>
      <c r="AY11" s="1" t="s">
        <v>2015</v>
      </c>
      <c r="AZ11" s="3">
        <v>290.55</v>
      </c>
      <c r="BA11" s="1" t="s">
        <v>2016</v>
      </c>
      <c r="BB11" s="3">
        <v>290.55</v>
      </c>
      <c r="BC11" s="67" t="s">
        <v>2017</v>
      </c>
      <c r="BD11" s="67">
        <v>385.32</v>
      </c>
      <c r="BE11" s="67">
        <f t="shared" si="1"/>
        <v>2119.26</v>
      </c>
    </row>
    <row r="12">
      <c r="A12" s="1" t="s">
        <v>2018</v>
      </c>
      <c r="B12" s="3">
        <v>290.55</v>
      </c>
      <c r="C12" s="1" t="s">
        <v>2019</v>
      </c>
      <c r="D12" s="3">
        <v>290.55</v>
      </c>
      <c r="E12" s="1" t="s">
        <v>2020</v>
      </c>
      <c r="F12" s="3">
        <v>290.55</v>
      </c>
      <c r="G12" s="1" t="s">
        <v>2021</v>
      </c>
      <c r="H12" s="3">
        <v>290.55</v>
      </c>
      <c r="I12" s="1" t="s">
        <v>2022</v>
      </c>
      <c r="J12" s="3">
        <v>290.55</v>
      </c>
      <c r="K12" s="1" t="s">
        <v>2023</v>
      </c>
      <c r="L12" s="3">
        <v>290.55</v>
      </c>
      <c r="M12" s="1"/>
      <c r="N12" s="1"/>
      <c r="O12" s="1" t="s">
        <v>2024</v>
      </c>
      <c r="P12" s="3">
        <v>290.55</v>
      </c>
      <c r="Q12" s="1" t="s">
        <v>2025</v>
      </c>
      <c r="R12" s="3">
        <v>290.55</v>
      </c>
      <c r="S12" s="1" t="s">
        <v>2026</v>
      </c>
      <c r="T12" s="3">
        <v>290.55</v>
      </c>
      <c r="U12" s="1" t="s">
        <v>2027</v>
      </c>
      <c r="V12" s="3">
        <v>290.55</v>
      </c>
      <c r="W12" s="1" t="s">
        <v>46</v>
      </c>
      <c r="X12" s="3">
        <v>290.55</v>
      </c>
      <c r="Y12" s="1" t="s">
        <v>2028</v>
      </c>
      <c r="Z12" s="3">
        <v>290.55</v>
      </c>
      <c r="AA12" s="1" t="s">
        <v>2029</v>
      </c>
      <c r="AB12" s="3">
        <v>290.55</v>
      </c>
      <c r="AC12" s="1" t="s">
        <v>2030</v>
      </c>
      <c r="AD12" s="3">
        <v>290.55</v>
      </c>
      <c r="AE12" s="1" t="s">
        <v>19</v>
      </c>
      <c r="AF12" s="3">
        <v>290.55</v>
      </c>
      <c r="AG12" s="1" t="s">
        <v>2031</v>
      </c>
      <c r="AH12" s="3">
        <v>290.55</v>
      </c>
      <c r="AI12" s="1" t="s">
        <v>2032</v>
      </c>
      <c r="AJ12" s="3">
        <v>290.55</v>
      </c>
      <c r="AK12" s="1" t="s">
        <v>1889</v>
      </c>
      <c r="AL12" s="3">
        <v>290.55</v>
      </c>
      <c r="AM12" s="1" t="s">
        <v>2033</v>
      </c>
      <c r="AN12" s="3">
        <v>290.55</v>
      </c>
      <c r="AO12" s="1" t="s">
        <v>2034</v>
      </c>
      <c r="AP12" s="3">
        <v>290.55</v>
      </c>
      <c r="AQ12" s="1" t="s">
        <v>2035</v>
      </c>
      <c r="AR12" s="3">
        <v>290.55</v>
      </c>
      <c r="AS12" s="1" t="s">
        <v>2036</v>
      </c>
      <c r="AT12" s="3">
        <v>290.55</v>
      </c>
      <c r="AU12" s="1" t="s">
        <v>1922</v>
      </c>
      <c r="AV12" s="3">
        <v>290.55</v>
      </c>
      <c r="AW12" s="1" t="s">
        <v>2037</v>
      </c>
      <c r="AX12" s="3">
        <v>290.55</v>
      </c>
      <c r="AY12" s="1" t="s">
        <v>2038</v>
      </c>
      <c r="AZ12" s="3">
        <v>290.55</v>
      </c>
      <c r="BA12" s="1" t="s">
        <v>2039</v>
      </c>
      <c r="BB12" s="3">
        <v>290.55</v>
      </c>
      <c r="BC12" s="67" t="s">
        <v>2040</v>
      </c>
      <c r="BD12" s="67">
        <v>295.09</v>
      </c>
      <c r="BE12" s="67">
        <f t="shared" si="1"/>
        <v>1622.995</v>
      </c>
    </row>
    <row r="13">
      <c r="A13" s="1" t="s">
        <v>2041</v>
      </c>
      <c r="B13" s="3">
        <v>290.55</v>
      </c>
      <c r="C13" s="1" t="s">
        <v>2042</v>
      </c>
      <c r="D13" s="3">
        <v>290.55</v>
      </c>
      <c r="E13" s="1" t="s">
        <v>2043</v>
      </c>
      <c r="F13" s="3">
        <v>290.55</v>
      </c>
      <c r="G13" s="1" t="s">
        <v>2044</v>
      </c>
      <c r="H13" s="3">
        <v>290.55</v>
      </c>
      <c r="I13" s="1" t="s">
        <v>2045</v>
      </c>
      <c r="J13" s="3">
        <v>290.55</v>
      </c>
      <c r="K13" s="1" t="s">
        <v>2046</v>
      </c>
      <c r="L13" s="3">
        <v>290.55</v>
      </c>
      <c r="M13" s="1"/>
      <c r="N13" s="1"/>
      <c r="O13" s="1" t="s">
        <v>2047</v>
      </c>
      <c r="P13" s="3">
        <v>290.55</v>
      </c>
      <c r="Q13" s="1" t="s">
        <v>2048</v>
      </c>
      <c r="R13" s="3">
        <v>290.55</v>
      </c>
      <c r="S13" s="1" t="s">
        <v>2049</v>
      </c>
      <c r="T13" s="3">
        <v>290.55</v>
      </c>
      <c r="U13" s="1" t="s">
        <v>2050</v>
      </c>
      <c r="V13" s="3">
        <v>290.55</v>
      </c>
      <c r="W13" s="1" t="s">
        <v>2051</v>
      </c>
      <c r="X13" s="3">
        <v>290.55</v>
      </c>
      <c r="Y13" s="1" t="s">
        <v>2052</v>
      </c>
      <c r="Z13" s="3">
        <v>290.55</v>
      </c>
      <c r="AA13" s="1" t="s">
        <v>2053</v>
      </c>
      <c r="AB13" s="3">
        <v>290.55</v>
      </c>
      <c r="AC13" s="1" t="s">
        <v>2054</v>
      </c>
      <c r="AD13" s="3">
        <v>290.55</v>
      </c>
      <c r="AE13" s="1" t="s">
        <v>20</v>
      </c>
      <c r="AF13" s="3">
        <v>290.55</v>
      </c>
      <c r="AG13" s="1" t="s">
        <v>2055</v>
      </c>
      <c r="AH13" s="3">
        <v>290.55</v>
      </c>
      <c r="AI13" s="1" t="s">
        <v>2056</v>
      </c>
      <c r="AJ13" s="3">
        <v>290.55</v>
      </c>
      <c r="AK13" s="1" t="s">
        <v>2057</v>
      </c>
      <c r="AL13" s="3">
        <v>290.55</v>
      </c>
      <c r="AM13" s="1" t="s">
        <v>1890</v>
      </c>
      <c r="AN13" s="3">
        <v>290.55</v>
      </c>
      <c r="AO13" s="1" t="s">
        <v>2058</v>
      </c>
      <c r="AP13" s="3">
        <v>290.55</v>
      </c>
      <c r="AQ13" s="1" t="s">
        <v>2059</v>
      </c>
      <c r="AR13" s="3">
        <v>290.55</v>
      </c>
      <c r="AS13" s="1" t="s">
        <v>2060</v>
      </c>
      <c r="AT13" s="3">
        <v>290.55</v>
      </c>
      <c r="AU13" s="1" t="s">
        <v>2061</v>
      </c>
      <c r="AV13" s="3">
        <v>290.55</v>
      </c>
      <c r="AW13" s="1" t="s">
        <v>2062</v>
      </c>
      <c r="AX13" s="3">
        <v>290.55</v>
      </c>
      <c r="AY13" s="1" t="s">
        <v>2063</v>
      </c>
      <c r="AZ13" s="3">
        <v>290.55</v>
      </c>
      <c r="BA13" s="1" t="s">
        <v>2064</v>
      </c>
      <c r="BB13" s="3">
        <v>290.55</v>
      </c>
      <c r="BC13" s="67" t="s">
        <v>2065</v>
      </c>
      <c r="BD13" s="67">
        <v>398.91</v>
      </c>
      <c r="BE13" s="67">
        <f t="shared" si="1"/>
        <v>2194.005</v>
      </c>
    </row>
    <row r="14">
      <c r="A14" s="1" t="s">
        <v>2066</v>
      </c>
      <c r="B14" s="3">
        <v>290.55</v>
      </c>
      <c r="C14" s="1" t="s">
        <v>2067</v>
      </c>
      <c r="D14" s="3">
        <v>290.55</v>
      </c>
      <c r="E14" s="1" t="s">
        <v>2068</v>
      </c>
      <c r="F14" s="3">
        <v>290.55</v>
      </c>
      <c r="G14" s="1" t="s">
        <v>2069</v>
      </c>
      <c r="H14" s="3">
        <v>290.55</v>
      </c>
      <c r="I14" s="1" t="s">
        <v>2070</v>
      </c>
      <c r="J14" s="3">
        <v>290.55</v>
      </c>
      <c r="K14" s="1" t="s">
        <v>2071</v>
      </c>
      <c r="L14" s="3">
        <v>290.55</v>
      </c>
      <c r="M14" s="1"/>
      <c r="N14" s="1"/>
      <c r="O14" s="1" t="s">
        <v>54</v>
      </c>
      <c r="P14" s="3">
        <v>290.55</v>
      </c>
      <c r="Q14" s="1" t="s">
        <v>2072</v>
      </c>
      <c r="R14" s="3">
        <v>290.55</v>
      </c>
      <c r="S14" s="1" t="s">
        <v>2073</v>
      </c>
      <c r="T14" s="3">
        <v>290.55</v>
      </c>
      <c r="U14" s="1" t="s">
        <v>2074</v>
      </c>
      <c r="V14" s="3">
        <v>290.55</v>
      </c>
      <c r="W14" s="1" t="s">
        <v>2075</v>
      </c>
      <c r="X14" s="3">
        <v>290.55</v>
      </c>
      <c r="Y14" s="1" t="s">
        <v>2076</v>
      </c>
      <c r="Z14" s="3">
        <v>290.55</v>
      </c>
      <c r="AA14" s="1" t="s">
        <v>2077</v>
      </c>
      <c r="AB14" s="3">
        <v>290.55</v>
      </c>
      <c r="AC14" s="1" t="s">
        <v>37</v>
      </c>
      <c r="AD14" s="3">
        <v>290.55</v>
      </c>
      <c r="AE14" s="1" t="s">
        <v>22</v>
      </c>
      <c r="AF14" s="3">
        <v>290.55</v>
      </c>
      <c r="AG14" s="1" t="s">
        <v>2078</v>
      </c>
      <c r="AH14" s="3">
        <v>290.55</v>
      </c>
      <c r="AI14" s="1" t="s">
        <v>2079</v>
      </c>
      <c r="AJ14" s="3">
        <v>290.55</v>
      </c>
      <c r="AK14" s="1" t="s">
        <v>2080</v>
      </c>
      <c r="AL14" s="3">
        <v>290.55</v>
      </c>
      <c r="AM14" s="1" t="s">
        <v>2081</v>
      </c>
      <c r="AN14" s="3">
        <v>290.55</v>
      </c>
      <c r="AO14" s="1" t="s">
        <v>2082</v>
      </c>
      <c r="AP14" s="3">
        <v>290.55</v>
      </c>
      <c r="AQ14" s="1" t="s">
        <v>2083</v>
      </c>
      <c r="AR14" s="3">
        <v>290.55</v>
      </c>
      <c r="AS14" s="1" t="s">
        <v>2084</v>
      </c>
      <c r="AT14" s="3">
        <v>290.55</v>
      </c>
      <c r="AU14" s="1" t="s">
        <v>2085</v>
      </c>
      <c r="AV14" s="3">
        <v>290.55</v>
      </c>
      <c r="AW14" s="1" t="s">
        <v>1785</v>
      </c>
      <c r="AX14" s="3">
        <v>290.55</v>
      </c>
      <c r="AY14" s="1" t="s">
        <v>2086</v>
      </c>
      <c r="AZ14" s="3">
        <v>290.55</v>
      </c>
      <c r="BA14" s="1" t="s">
        <v>2087</v>
      </c>
      <c r="BB14" s="3">
        <v>290.55</v>
      </c>
      <c r="BC14" s="67" t="s">
        <v>2065</v>
      </c>
      <c r="BD14" s="67">
        <v>456.3</v>
      </c>
      <c r="BE14" s="67">
        <f t="shared" si="1"/>
        <v>2509.65</v>
      </c>
    </row>
    <row r="15">
      <c r="A15" s="1" t="s">
        <v>2088</v>
      </c>
      <c r="B15" s="3">
        <v>290.55</v>
      </c>
      <c r="C15" s="1" t="s">
        <v>2089</v>
      </c>
      <c r="D15" s="3">
        <v>290.55</v>
      </c>
      <c r="E15" s="1" t="s">
        <v>2090</v>
      </c>
      <c r="F15" s="3">
        <v>290.55</v>
      </c>
      <c r="G15" s="1" t="s">
        <v>2091</v>
      </c>
      <c r="H15" s="3">
        <v>290.55</v>
      </c>
      <c r="I15" s="1" t="s">
        <v>2092</v>
      </c>
      <c r="J15" s="3">
        <v>290.55</v>
      </c>
      <c r="K15" s="1" t="s">
        <v>2093</v>
      </c>
      <c r="L15" s="3">
        <v>290.55</v>
      </c>
      <c r="M15" s="1"/>
      <c r="N15" s="1"/>
      <c r="O15" s="1" t="s">
        <v>2094</v>
      </c>
      <c r="P15" s="3">
        <v>290.55</v>
      </c>
      <c r="Q15" s="1" t="s">
        <v>2095</v>
      </c>
      <c r="R15" s="3">
        <v>290.55</v>
      </c>
      <c r="S15" s="1" t="s">
        <v>2096</v>
      </c>
      <c r="T15" s="3">
        <v>290.55</v>
      </c>
      <c r="U15" s="1" t="s">
        <v>2097</v>
      </c>
      <c r="V15" s="3">
        <v>290.55</v>
      </c>
      <c r="W15" s="1" t="s">
        <v>2098</v>
      </c>
      <c r="X15" s="3">
        <v>290.55</v>
      </c>
      <c r="Y15" s="1" t="s">
        <v>2099</v>
      </c>
      <c r="Z15" s="3">
        <v>290.55</v>
      </c>
      <c r="AA15" s="1" t="s">
        <v>2100</v>
      </c>
      <c r="AB15" s="3">
        <v>290.55</v>
      </c>
      <c r="AC15" s="1" t="s">
        <v>2101</v>
      </c>
      <c r="AD15" s="3">
        <v>290.55</v>
      </c>
      <c r="AE15" s="1" t="s">
        <v>24</v>
      </c>
      <c r="AF15" s="3">
        <v>290.55</v>
      </c>
      <c r="AG15" s="1" t="s">
        <v>2102</v>
      </c>
      <c r="AH15" s="3">
        <v>290.55</v>
      </c>
      <c r="AI15" s="1" t="s">
        <v>2103</v>
      </c>
      <c r="AJ15" s="3">
        <v>290.55</v>
      </c>
      <c r="AK15" s="1" t="s">
        <v>2104</v>
      </c>
      <c r="AL15" s="3">
        <v>290.55</v>
      </c>
      <c r="AM15" s="1" t="s">
        <v>2105</v>
      </c>
      <c r="AN15" s="3">
        <v>290.55</v>
      </c>
      <c r="AO15" s="1" t="s">
        <v>2106</v>
      </c>
      <c r="AP15" s="3">
        <v>290.55</v>
      </c>
      <c r="AQ15" s="1" t="s">
        <v>2107</v>
      </c>
      <c r="AR15" s="3">
        <v>290.55</v>
      </c>
      <c r="AS15" s="1" t="s">
        <v>2108</v>
      </c>
      <c r="AT15" s="3">
        <v>290.55</v>
      </c>
      <c r="AU15" s="1" t="s">
        <v>2109</v>
      </c>
      <c r="AV15" s="3">
        <v>290.55</v>
      </c>
      <c r="AW15" s="1" t="s">
        <v>2110</v>
      </c>
      <c r="AX15" s="3">
        <v>290.55</v>
      </c>
      <c r="AY15" s="1" t="s">
        <v>2111</v>
      </c>
      <c r="AZ15" s="3">
        <v>290.55</v>
      </c>
      <c r="BA15" s="1" t="s">
        <v>2112</v>
      </c>
      <c r="BB15" s="3">
        <v>290.55</v>
      </c>
      <c r="BC15" s="67" t="s">
        <v>2113</v>
      </c>
      <c r="BD15" s="67">
        <v>295.09</v>
      </c>
      <c r="BE15" s="67">
        <f t="shared" si="1"/>
        <v>1622.995</v>
      </c>
    </row>
    <row r="16">
      <c r="A16" s="1" t="s">
        <v>2114</v>
      </c>
      <c r="B16" s="3">
        <v>290.55</v>
      </c>
      <c r="C16" s="1" t="s">
        <v>2115</v>
      </c>
      <c r="D16" s="3">
        <v>290.55</v>
      </c>
      <c r="E16" s="1" t="s">
        <v>2116</v>
      </c>
      <c r="F16" s="3">
        <v>290.55</v>
      </c>
      <c r="G16" s="1" t="s">
        <v>2117</v>
      </c>
      <c r="H16" s="3">
        <v>290.55</v>
      </c>
      <c r="I16" s="1" t="s">
        <v>2118</v>
      </c>
      <c r="J16" s="3">
        <v>290.55</v>
      </c>
      <c r="K16" s="1" t="s">
        <v>2119</v>
      </c>
      <c r="L16" s="3">
        <v>290.55</v>
      </c>
      <c r="M16" s="1"/>
      <c r="N16" s="1"/>
      <c r="O16" s="1" t="s">
        <v>2120</v>
      </c>
      <c r="P16" s="3">
        <v>290.55</v>
      </c>
      <c r="Q16" s="1" t="s">
        <v>2121</v>
      </c>
      <c r="R16" s="3">
        <v>290.55</v>
      </c>
      <c r="S16" s="1" t="s">
        <v>2087</v>
      </c>
      <c r="T16" s="3">
        <v>290.55</v>
      </c>
      <c r="U16" s="1" t="s">
        <v>2122</v>
      </c>
      <c r="V16" s="3">
        <v>290.55</v>
      </c>
      <c r="W16" s="1" t="s">
        <v>2123</v>
      </c>
      <c r="X16" s="3">
        <v>290.55</v>
      </c>
      <c r="Y16" s="1" t="s">
        <v>2124</v>
      </c>
      <c r="Z16" s="3">
        <v>290.55</v>
      </c>
      <c r="AA16" s="1" t="s">
        <v>2125</v>
      </c>
      <c r="AB16" s="3">
        <v>290.55</v>
      </c>
      <c r="AC16" s="1" t="s">
        <v>2126</v>
      </c>
      <c r="AD16" s="3">
        <v>290.55</v>
      </c>
      <c r="AE16" s="1" t="s">
        <v>25</v>
      </c>
      <c r="AF16" s="3">
        <v>290.55</v>
      </c>
      <c r="AG16" s="1" t="s">
        <v>2127</v>
      </c>
      <c r="AH16" s="3">
        <v>290.55</v>
      </c>
      <c r="AI16" s="1" t="s">
        <v>2128</v>
      </c>
      <c r="AJ16" s="3">
        <v>290.55</v>
      </c>
      <c r="AK16" s="1" t="s">
        <v>2129</v>
      </c>
      <c r="AL16" s="3">
        <v>290.55</v>
      </c>
      <c r="AM16" s="1" t="s">
        <v>2130</v>
      </c>
      <c r="AN16" s="3">
        <v>290.55</v>
      </c>
      <c r="AO16" s="1" t="s">
        <v>1518</v>
      </c>
      <c r="AP16" s="3">
        <v>290.55</v>
      </c>
      <c r="AQ16" s="1" t="s">
        <v>2131</v>
      </c>
      <c r="AR16" s="3">
        <v>290.55</v>
      </c>
      <c r="AS16" s="1" t="s">
        <v>2132</v>
      </c>
      <c r="AT16" s="3">
        <v>290.55</v>
      </c>
      <c r="AU16" s="1" t="s">
        <v>2133</v>
      </c>
      <c r="AV16" s="3">
        <v>290.55</v>
      </c>
      <c r="AW16" s="1" t="s">
        <v>2134</v>
      </c>
      <c r="AX16" s="3">
        <v>290.55</v>
      </c>
      <c r="AY16" s="1" t="s">
        <v>2135</v>
      </c>
      <c r="AZ16" s="3">
        <v>290.55</v>
      </c>
      <c r="BA16" s="1" t="s">
        <v>2136</v>
      </c>
      <c r="BB16" s="3">
        <v>290.55</v>
      </c>
      <c r="BC16" s="67" t="s">
        <v>2137</v>
      </c>
      <c r="BD16" s="67">
        <v>456.3</v>
      </c>
      <c r="BE16" s="67">
        <f t="shared" si="1"/>
        <v>2509.65</v>
      </c>
    </row>
    <row r="17">
      <c r="A17" s="1" t="s">
        <v>2138</v>
      </c>
      <c r="B17" s="3">
        <v>371.26</v>
      </c>
      <c r="C17" s="1" t="s">
        <v>604</v>
      </c>
      <c r="D17" s="3">
        <v>290.55</v>
      </c>
      <c r="E17" s="1" t="s">
        <v>2139</v>
      </c>
      <c r="F17" s="3">
        <v>290.55</v>
      </c>
      <c r="G17" s="1" t="s">
        <v>2140</v>
      </c>
      <c r="H17" s="3">
        <v>290.55</v>
      </c>
      <c r="I17" s="1" t="s">
        <v>2141</v>
      </c>
      <c r="J17" s="3">
        <v>290.55</v>
      </c>
      <c r="K17" s="1" t="s">
        <v>2142</v>
      </c>
      <c r="L17" s="3">
        <v>290.55</v>
      </c>
      <c r="M17" s="1"/>
      <c r="N17" s="1"/>
      <c r="O17" s="1" t="s">
        <v>2143</v>
      </c>
      <c r="P17" s="3">
        <v>290.55</v>
      </c>
      <c r="Q17" s="1" t="s">
        <v>2144</v>
      </c>
      <c r="R17" s="3">
        <v>290.55</v>
      </c>
      <c r="S17" s="1" t="s">
        <v>2145</v>
      </c>
      <c r="T17" s="3">
        <v>290.55</v>
      </c>
      <c r="U17" s="1" t="s">
        <v>2146</v>
      </c>
      <c r="V17" s="3">
        <v>290.55</v>
      </c>
      <c r="W17" s="1" t="s">
        <v>2147</v>
      </c>
      <c r="X17" s="3">
        <v>290.55</v>
      </c>
      <c r="Y17" s="1" t="s">
        <v>2148</v>
      </c>
      <c r="Z17" s="3">
        <v>290.55</v>
      </c>
      <c r="AA17" s="1" t="s">
        <v>2149</v>
      </c>
      <c r="AB17" s="3">
        <v>290.55</v>
      </c>
      <c r="AC17" s="1" t="s">
        <v>2150</v>
      </c>
      <c r="AD17" s="3">
        <v>290.55</v>
      </c>
      <c r="AE17" s="1" t="s">
        <v>27</v>
      </c>
      <c r="AF17" s="3">
        <v>290.55</v>
      </c>
      <c r="AG17" s="1" t="s">
        <v>2151</v>
      </c>
      <c r="AH17" s="3">
        <v>290.55</v>
      </c>
      <c r="AI17" s="1" t="s">
        <v>2152</v>
      </c>
      <c r="AJ17" s="3">
        <v>290.55</v>
      </c>
      <c r="AK17" s="1" t="s">
        <v>2153</v>
      </c>
      <c r="AL17" s="3">
        <v>290.55</v>
      </c>
      <c r="AM17" s="1" t="s">
        <v>2154</v>
      </c>
      <c r="AN17" s="3">
        <v>290.55</v>
      </c>
      <c r="AO17" s="1" t="s">
        <v>84</v>
      </c>
      <c r="AP17" s="3">
        <v>290.55</v>
      </c>
      <c r="AQ17" s="1" t="s">
        <v>2155</v>
      </c>
      <c r="AR17" s="3">
        <v>290.55</v>
      </c>
      <c r="AS17" s="1"/>
      <c r="AT17" s="1"/>
      <c r="AU17" s="1" t="s">
        <v>2156</v>
      </c>
      <c r="AV17" s="3">
        <v>290.55</v>
      </c>
      <c r="AW17" s="1" t="s">
        <v>2157</v>
      </c>
      <c r="AX17" s="3">
        <v>290.55</v>
      </c>
      <c r="AY17" s="1" t="s">
        <v>2158</v>
      </c>
      <c r="AZ17" s="3">
        <v>290.55</v>
      </c>
      <c r="BA17" s="1" t="s">
        <v>2159</v>
      </c>
      <c r="BB17" s="3">
        <v>290.55</v>
      </c>
      <c r="BC17" s="67" t="s">
        <v>2160</v>
      </c>
      <c r="BD17" s="67">
        <v>398.91</v>
      </c>
      <c r="BE17" s="67">
        <f t="shared" si="1"/>
        <v>2194.005</v>
      </c>
    </row>
    <row r="18">
      <c r="A18" s="1" t="s">
        <v>2161</v>
      </c>
      <c r="B18" s="3">
        <v>290.55</v>
      </c>
      <c r="C18" s="1" t="s">
        <v>2162</v>
      </c>
      <c r="D18" s="3">
        <v>290.55</v>
      </c>
      <c r="E18" s="1"/>
      <c r="F18" s="1"/>
      <c r="G18" s="1" t="s">
        <v>2163</v>
      </c>
      <c r="H18" s="3">
        <v>290.55</v>
      </c>
      <c r="I18" s="1" t="s">
        <v>2164</v>
      </c>
      <c r="J18" s="3">
        <v>290.55</v>
      </c>
      <c r="K18" s="1" t="s">
        <v>2165</v>
      </c>
      <c r="L18" s="3">
        <v>290.55</v>
      </c>
      <c r="M18" s="1"/>
      <c r="N18" s="1"/>
      <c r="O18" s="1" t="s">
        <v>2166</v>
      </c>
      <c r="P18" s="3">
        <v>290.55</v>
      </c>
      <c r="Q18" s="1" t="s">
        <v>2167</v>
      </c>
      <c r="R18" s="3">
        <v>290.55</v>
      </c>
      <c r="S18" s="1" t="s">
        <v>2168</v>
      </c>
      <c r="T18" s="3">
        <v>290.55</v>
      </c>
      <c r="U18" s="1" t="s">
        <v>2169</v>
      </c>
      <c r="V18" s="3">
        <v>290.55</v>
      </c>
      <c r="W18" s="1" t="s">
        <v>2170</v>
      </c>
      <c r="X18" s="3">
        <v>290.55</v>
      </c>
      <c r="Y18" s="1" t="s">
        <v>2171</v>
      </c>
      <c r="Z18" s="3">
        <v>290.55</v>
      </c>
      <c r="AA18" s="1" t="s">
        <v>2172</v>
      </c>
      <c r="AB18" s="3">
        <v>290.55</v>
      </c>
      <c r="AC18" s="1" t="s">
        <v>2173</v>
      </c>
      <c r="AD18" s="3">
        <v>290.55</v>
      </c>
      <c r="AE18" s="1" t="s">
        <v>29</v>
      </c>
      <c r="AF18" s="3">
        <v>290.55</v>
      </c>
      <c r="AG18" s="1" t="s">
        <v>2174</v>
      </c>
      <c r="AH18" s="3">
        <v>290.55</v>
      </c>
      <c r="AI18" s="1" t="s">
        <v>2175</v>
      </c>
      <c r="AJ18" s="3">
        <v>290.55</v>
      </c>
      <c r="AK18" s="1" t="s">
        <v>2176</v>
      </c>
      <c r="AL18" s="3">
        <v>290.55</v>
      </c>
      <c r="AM18" s="1" t="s">
        <v>2177</v>
      </c>
      <c r="AN18" s="3">
        <v>290.55</v>
      </c>
      <c r="AO18" s="1" t="s">
        <v>2178</v>
      </c>
      <c r="AP18" s="3">
        <v>290.55</v>
      </c>
      <c r="AQ18" s="1" t="s">
        <v>2179</v>
      </c>
      <c r="AR18" s="3">
        <v>290.55</v>
      </c>
      <c r="AS18" s="1"/>
      <c r="AT18" s="1"/>
      <c r="AU18" s="1" t="s">
        <v>2180</v>
      </c>
      <c r="AV18" s="3">
        <v>290.55</v>
      </c>
      <c r="AW18" s="1" t="s">
        <v>2181</v>
      </c>
      <c r="AX18" s="3">
        <v>290.55</v>
      </c>
      <c r="AY18" s="1" t="s">
        <v>2182</v>
      </c>
      <c r="AZ18" s="3">
        <v>290.55</v>
      </c>
      <c r="BA18" s="1" t="s">
        <v>2183</v>
      </c>
      <c r="BB18" s="3">
        <v>290.55</v>
      </c>
      <c r="BC18" s="67" t="s">
        <v>2184</v>
      </c>
      <c r="BD18" s="67">
        <v>398.91</v>
      </c>
      <c r="BE18" s="67">
        <f t="shared" si="1"/>
        <v>2194.005</v>
      </c>
    </row>
    <row r="19">
      <c r="A19" s="1" t="s">
        <v>2185</v>
      </c>
      <c r="B19" s="3">
        <v>290.55</v>
      </c>
      <c r="C19" s="1" t="s">
        <v>2063</v>
      </c>
      <c r="D19" s="3">
        <v>290.55</v>
      </c>
      <c r="E19" s="1"/>
      <c r="F19" s="1"/>
      <c r="G19" s="1" t="s">
        <v>2186</v>
      </c>
      <c r="H19" s="3">
        <v>290.55</v>
      </c>
      <c r="I19" s="1" t="s">
        <v>2187</v>
      </c>
      <c r="J19" s="3">
        <v>290.55</v>
      </c>
      <c r="K19" s="1" t="s">
        <v>2188</v>
      </c>
      <c r="L19" s="3">
        <v>290.55</v>
      </c>
      <c r="M19" s="1"/>
      <c r="N19" s="1"/>
      <c r="O19" s="1" t="s">
        <v>2189</v>
      </c>
      <c r="P19" s="3">
        <v>290.55</v>
      </c>
      <c r="Q19" s="1" t="s">
        <v>2190</v>
      </c>
      <c r="R19" s="3">
        <v>290.55</v>
      </c>
      <c r="S19" s="1" t="s">
        <v>2191</v>
      </c>
      <c r="T19" s="3">
        <v>290.55</v>
      </c>
      <c r="U19" s="1" t="s">
        <v>2192</v>
      </c>
      <c r="V19" s="3">
        <v>290.55</v>
      </c>
      <c r="W19" s="1" t="s">
        <v>2193</v>
      </c>
      <c r="X19" s="3">
        <v>290.55</v>
      </c>
      <c r="Y19" s="1" t="s">
        <v>2194</v>
      </c>
      <c r="Z19" s="3">
        <v>290.55</v>
      </c>
      <c r="AA19" s="1" t="s">
        <v>2195</v>
      </c>
      <c r="AB19" s="3">
        <v>290.55</v>
      </c>
      <c r="AC19" s="1" t="s">
        <v>2196</v>
      </c>
      <c r="AD19" s="3">
        <v>290.55</v>
      </c>
      <c r="AE19" s="1" t="s">
        <v>31</v>
      </c>
      <c r="AF19" s="3">
        <v>290.55</v>
      </c>
      <c r="AG19" s="1" t="s">
        <v>2197</v>
      </c>
      <c r="AH19" s="3">
        <v>290.55</v>
      </c>
      <c r="AI19" s="1" t="s">
        <v>2198</v>
      </c>
      <c r="AJ19" s="3">
        <v>290.55</v>
      </c>
      <c r="AK19" s="1" t="s">
        <v>2199</v>
      </c>
      <c r="AL19" s="3">
        <v>290.55</v>
      </c>
      <c r="AM19" s="1" t="s">
        <v>2200</v>
      </c>
      <c r="AN19" s="3">
        <v>290.55</v>
      </c>
      <c r="AO19" s="1" t="s">
        <v>2201</v>
      </c>
      <c r="AP19" s="3">
        <v>290.55</v>
      </c>
      <c r="AQ19" s="1" t="s">
        <v>2202</v>
      </c>
      <c r="AR19" s="3">
        <v>290.55</v>
      </c>
      <c r="AS19" s="1"/>
      <c r="AT19" s="1"/>
      <c r="AU19" s="1" t="s">
        <v>2203</v>
      </c>
      <c r="AV19" s="3">
        <v>290.55</v>
      </c>
      <c r="AW19" s="1" t="s">
        <v>2204</v>
      </c>
      <c r="AX19" s="3">
        <v>290.55</v>
      </c>
      <c r="AY19" s="1" t="s">
        <v>2205</v>
      </c>
      <c r="AZ19" s="3">
        <v>290.55</v>
      </c>
      <c r="BA19" s="1" t="s">
        <v>2206</v>
      </c>
      <c r="BB19" s="3">
        <v>290.55</v>
      </c>
      <c r="BC19" s="67" t="s">
        <v>2184</v>
      </c>
      <c r="BD19" s="67">
        <v>456.3</v>
      </c>
      <c r="BE19" s="67">
        <f t="shared" si="1"/>
        <v>2509.65</v>
      </c>
    </row>
    <row r="20">
      <c r="A20" s="1" t="s">
        <v>2207</v>
      </c>
      <c r="B20" s="3">
        <v>290.55</v>
      </c>
      <c r="C20" s="1" t="s">
        <v>2208</v>
      </c>
      <c r="D20" s="3">
        <v>290.55</v>
      </c>
      <c r="E20" s="1"/>
      <c r="F20" s="1"/>
      <c r="G20" s="1" t="s">
        <v>2209</v>
      </c>
      <c r="H20" s="3">
        <v>290.55</v>
      </c>
      <c r="I20" s="1" t="s">
        <v>2210</v>
      </c>
      <c r="J20" s="3">
        <v>290.55</v>
      </c>
      <c r="K20" s="1" t="s">
        <v>2211</v>
      </c>
      <c r="L20" s="3">
        <v>290.55</v>
      </c>
      <c r="M20" s="1"/>
      <c r="N20" s="1"/>
      <c r="O20" s="1" t="s">
        <v>2212</v>
      </c>
      <c r="P20" s="3">
        <v>290.55</v>
      </c>
      <c r="Q20" s="1" t="s">
        <v>2213</v>
      </c>
      <c r="R20" s="3">
        <v>290.55</v>
      </c>
      <c r="S20" s="1" t="s">
        <v>2214</v>
      </c>
      <c r="T20" s="3">
        <v>290.55</v>
      </c>
      <c r="U20" s="1" t="s">
        <v>2215</v>
      </c>
      <c r="V20" s="3">
        <v>290.55</v>
      </c>
      <c r="W20" s="1" t="s">
        <v>2216</v>
      </c>
      <c r="X20" s="3">
        <v>290.55</v>
      </c>
      <c r="Y20" s="1" t="s">
        <v>2217</v>
      </c>
      <c r="Z20" s="3">
        <v>290.55</v>
      </c>
      <c r="AA20" s="1" t="s">
        <v>1942</v>
      </c>
      <c r="AB20" s="3">
        <v>371.26</v>
      </c>
      <c r="AC20" s="1" t="s">
        <v>2218</v>
      </c>
      <c r="AD20" s="3">
        <v>290.55</v>
      </c>
      <c r="AE20" s="1" t="s">
        <v>32</v>
      </c>
      <c r="AF20" s="3">
        <v>290.55</v>
      </c>
      <c r="AG20" s="1" t="s">
        <v>2219</v>
      </c>
      <c r="AH20" s="3">
        <v>290.55</v>
      </c>
      <c r="AI20" s="1" t="s">
        <v>2220</v>
      </c>
      <c r="AJ20" s="3">
        <v>290.55</v>
      </c>
      <c r="AK20" s="1" t="s">
        <v>2221</v>
      </c>
      <c r="AL20" s="3">
        <v>290.55</v>
      </c>
      <c r="AM20" s="1" t="s">
        <v>2222</v>
      </c>
      <c r="AN20" s="3">
        <v>290.55</v>
      </c>
      <c r="AO20" s="1" t="s">
        <v>2223</v>
      </c>
      <c r="AP20" s="3">
        <v>290.55</v>
      </c>
      <c r="AQ20" s="1" t="s">
        <v>2224</v>
      </c>
      <c r="AR20" s="3">
        <v>290.55</v>
      </c>
      <c r="AS20" s="1"/>
      <c r="AT20" s="1"/>
      <c r="AU20" s="1" t="s">
        <v>2225</v>
      </c>
      <c r="AV20" s="3">
        <v>290.55</v>
      </c>
      <c r="AW20" s="1" t="s">
        <v>2226</v>
      </c>
      <c r="AX20" s="3">
        <v>290.55</v>
      </c>
      <c r="AY20" s="1" t="s">
        <v>2227</v>
      </c>
      <c r="AZ20" s="3">
        <v>290.55</v>
      </c>
      <c r="BA20" s="1" t="s">
        <v>2228</v>
      </c>
      <c r="BB20" s="3">
        <v>290.55</v>
      </c>
      <c r="BC20" s="67" t="s">
        <v>2229</v>
      </c>
      <c r="BD20" s="67">
        <v>295.09</v>
      </c>
      <c r="BE20" s="67">
        <f t="shared" si="1"/>
        <v>1622.995</v>
      </c>
    </row>
    <row r="21">
      <c r="A21" s="1" t="s">
        <v>2230</v>
      </c>
      <c r="B21" s="3">
        <v>290.55</v>
      </c>
      <c r="C21" s="1" t="s">
        <v>2231</v>
      </c>
      <c r="D21" s="3">
        <v>290.55</v>
      </c>
      <c r="E21" s="1"/>
      <c r="F21" s="1"/>
      <c r="G21" s="1" t="s">
        <v>2232</v>
      </c>
      <c r="H21" s="3">
        <v>290.55</v>
      </c>
      <c r="I21" s="1" t="s">
        <v>2233</v>
      </c>
      <c r="J21" s="3">
        <v>290.55</v>
      </c>
      <c r="K21" s="1" t="s">
        <v>2234</v>
      </c>
      <c r="L21" s="3">
        <v>290.55</v>
      </c>
      <c r="M21" s="1"/>
      <c r="N21" s="1"/>
      <c r="O21" s="1" t="s">
        <v>2235</v>
      </c>
      <c r="P21" s="3">
        <v>290.55</v>
      </c>
      <c r="Q21" s="1" t="s">
        <v>2236</v>
      </c>
      <c r="R21" s="3">
        <v>290.55</v>
      </c>
      <c r="S21" s="1" t="s">
        <v>2237</v>
      </c>
      <c r="T21" s="3">
        <v>290.55</v>
      </c>
      <c r="U21" s="1" t="s">
        <v>2238</v>
      </c>
      <c r="V21" s="3">
        <v>290.55</v>
      </c>
      <c r="W21" s="1" t="s">
        <v>604</v>
      </c>
      <c r="X21" s="3">
        <v>371.26</v>
      </c>
      <c r="Y21" s="1" t="s">
        <v>2239</v>
      </c>
      <c r="Z21" s="3">
        <v>290.55</v>
      </c>
      <c r="AA21" s="1" t="s">
        <v>2240</v>
      </c>
      <c r="AB21" s="3">
        <v>290.55</v>
      </c>
      <c r="AC21" s="1" t="s">
        <v>2241</v>
      </c>
      <c r="AD21" s="3">
        <v>290.55</v>
      </c>
      <c r="AE21" s="1" t="s">
        <v>33</v>
      </c>
      <c r="AF21" s="3">
        <v>290.55</v>
      </c>
      <c r="AG21" s="1" t="s">
        <v>2242</v>
      </c>
      <c r="AH21" s="3">
        <v>290.55</v>
      </c>
      <c r="AI21" s="1" t="s">
        <v>2243</v>
      </c>
      <c r="AJ21" s="3">
        <v>290.55</v>
      </c>
      <c r="AK21" s="1" t="s">
        <v>2244</v>
      </c>
      <c r="AL21" s="3">
        <v>290.55</v>
      </c>
      <c r="AM21" s="1" t="s">
        <v>2245</v>
      </c>
      <c r="AN21" s="3">
        <v>290.55</v>
      </c>
      <c r="AO21" s="1" t="s">
        <v>2246</v>
      </c>
      <c r="AP21" s="3">
        <v>290.55</v>
      </c>
      <c r="AQ21" s="1" t="s">
        <v>2247</v>
      </c>
      <c r="AR21" s="3">
        <v>290.55</v>
      </c>
      <c r="AS21" s="1"/>
      <c r="AT21" s="1"/>
      <c r="AU21" s="1" t="s">
        <v>2248</v>
      </c>
      <c r="AV21" s="3">
        <v>290.55</v>
      </c>
      <c r="AW21" s="1" t="s">
        <v>2249</v>
      </c>
      <c r="AX21" s="3">
        <v>290.55</v>
      </c>
      <c r="AY21" s="1" t="s">
        <v>2250</v>
      </c>
      <c r="AZ21" s="3">
        <v>290.55</v>
      </c>
      <c r="BA21" s="1" t="s">
        <v>2251</v>
      </c>
      <c r="BB21" s="3">
        <v>290.55</v>
      </c>
      <c r="BC21" s="67" t="s">
        <v>2252</v>
      </c>
      <c r="BD21" s="67">
        <v>385.32</v>
      </c>
      <c r="BE21" s="67">
        <f t="shared" si="1"/>
        <v>2119.26</v>
      </c>
    </row>
    <row r="22">
      <c r="A22" s="1" t="s">
        <v>2253</v>
      </c>
      <c r="B22" s="3">
        <v>290.55</v>
      </c>
      <c r="C22" s="1" t="s">
        <v>2254</v>
      </c>
      <c r="D22" s="3">
        <v>290.55</v>
      </c>
      <c r="E22" s="1"/>
      <c r="F22" s="1"/>
      <c r="G22" s="1" t="s">
        <v>2255</v>
      </c>
      <c r="H22" s="3">
        <v>290.55</v>
      </c>
      <c r="I22" s="1" t="s">
        <v>2256</v>
      </c>
      <c r="J22" s="3">
        <v>290.55</v>
      </c>
      <c r="K22" s="1" t="s">
        <v>2257</v>
      </c>
      <c r="L22" s="3">
        <v>290.55</v>
      </c>
      <c r="M22" s="1"/>
      <c r="N22" s="1"/>
      <c r="O22" s="1" t="s">
        <v>2258</v>
      </c>
      <c r="P22" s="3">
        <v>290.55</v>
      </c>
      <c r="Q22" s="1" t="s">
        <v>2259</v>
      </c>
      <c r="R22" s="3">
        <v>290.55</v>
      </c>
      <c r="S22" s="1" t="s">
        <v>2260</v>
      </c>
      <c r="T22" s="3">
        <v>290.55</v>
      </c>
      <c r="U22" s="1" t="s">
        <v>2261</v>
      </c>
      <c r="V22" s="3">
        <v>290.55</v>
      </c>
      <c r="W22" s="1" t="s">
        <v>2262</v>
      </c>
      <c r="X22" s="3">
        <v>290.55</v>
      </c>
      <c r="Y22" s="1" t="s">
        <v>2263</v>
      </c>
      <c r="Z22" s="3">
        <v>290.55</v>
      </c>
      <c r="AA22" s="1" t="s">
        <v>2264</v>
      </c>
      <c r="AB22" s="3">
        <v>290.55</v>
      </c>
      <c r="AC22" s="1" t="s">
        <v>2104</v>
      </c>
      <c r="AD22" s="3">
        <v>290.55</v>
      </c>
      <c r="AE22" s="1" t="s">
        <v>35</v>
      </c>
      <c r="AF22" s="3">
        <v>290.55</v>
      </c>
      <c r="AG22" s="1" t="s">
        <v>2265</v>
      </c>
      <c r="AH22" s="3">
        <v>290.55</v>
      </c>
      <c r="AI22" s="1" t="s">
        <v>2266</v>
      </c>
      <c r="AJ22" s="3">
        <v>290.55</v>
      </c>
      <c r="AK22" s="1" t="s">
        <v>2267</v>
      </c>
      <c r="AL22" s="3">
        <v>290.55</v>
      </c>
      <c r="AM22" s="1" t="s">
        <v>2268</v>
      </c>
      <c r="AN22" s="3">
        <v>290.55</v>
      </c>
      <c r="AO22" s="1" t="s">
        <v>2269</v>
      </c>
      <c r="AP22" s="3">
        <v>290.55</v>
      </c>
      <c r="AQ22" s="1" t="s">
        <v>2270</v>
      </c>
      <c r="AR22" s="3">
        <v>290.55</v>
      </c>
      <c r="AS22" s="1"/>
      <c r="AT22" s="1"/>
      <c r="AU22" s="1" t="s">
        <v>2271</v>
      </c>
      <c r="AV22" s="3">
        <v>290.55</v>
      </c>
      <c r="AW22" s="1" t="s">
        <v>2272</v>
      </c>
      <c r="AX22" s="3">
        <v>290.55</v>
      </c>
      <c r="AY22" s="1" t="s">
        <v>2273</v>
      </c>
      <c r="AZ22" s="3">
        <v>290.55</v>
      </c>
      <c r="BA22" s="1" t="s">
        <v>2274</v>
      </c>
      <c r="BB22" s="3">
        <v>290.55</v>
      </c>
      <c r="BC22" s="67" t="s">
        <v>2275</v>
      </c>
      <c r="BD22" s="67">
        <v>456.3</v>
      </c>
      <c r="BE22" s="67">
        <f t="shared" si="1"/>
        <v>2509.65</v>
      </c>
    </row>
    <row r="23">
      <c r="A23" s="1" t="s">
        <v>2276</v>
      </c>
      <c r="B23" s="3">
        <v>290.55</v>
      </c>
      <c r="C23" s="1" t="s">
        <v>2277</v>
      </c>
      <c r="D23" s="3">
        <v>290.55</v>
      </c>
      <c r="E23" s="1"/>
      <c r="F23" s="1"/>
      <c r="G23" s="1" t="s">
        <v>2278</v>
      </c>
      <c r="H23" s="3">
        <v>290.55</v>
      </c>
      <c r="I23" s="1" t="s">
        <v>2279</v>
      </c>
      <c r="J23" s="3">
        <v>290.55</v>
      </c>
      <c r="K23" s="1" t="s">
        <v>2280</v>
      </c>
      <c r="L23" s="3">
        <v>290.55</v>
      </c>
      <c r="M23" s="1"/>
      <c r="N23" s="1"/>
      <c r="O23" s="1" t="s">
        <v>2281</v>
      </c>
      <c r="P23" s="3">
        <v>290.55</v>
      </c>
      <c r="Q23" s="1" t="s">
        <v>2282</v>
      </c>
      <c r="R23" s="3">
        <v>290.55</v>
      </c>
      <c r="S23" s="1" t="s">
        <v>2283</v>
      </c>
      <c r="T23" s="3">
        <v>290.55</v>
      </c>
      <c r="U23" s="1" t="s">
        <v>2284</v>
      </c>
      <c r="V23" s="3">
        <v>290.55</v>
      </c>
      <c r="W23" s="1" t="s">
        <v>2285</v>
      </c>
      <c r="X23" s="3">
        <v>290.55</v>
      </c>
      <c r="Y23" s="1" t="s">
        <v>2286</v>
      </c>
      <c r="Z23" s="3">
        <v>290.55</v>
      </c>
      <c r="AA23" s="1" t="s">
        <v>2287</v>
      </c>
      <c r="AB23" s="3">
        <v>290.55</v>
      </c>
      <c r="AC23" s="1" t="s">
        <v>2288</v>
      </c>
      <c r="AD23" s="3">
        <v>290.55</v>
      </c>
      <c r="AE23" s="1" t="s">
        <v>37</v>
      </c>
      <c r="AF23" s="3">
        <v>290.55</v>
      </c>
      <c r="AG23" s="1" t="s">
        <v>2289</v>
      </c>
      <c r="AH23" s="3">
        <v>290.55</v>
      </c>
      <c r="AI23" s="1" t="s">
        <v>2290</v>
      </c>
      <c r="AJ23" s="3">
        <v>290.55</v>
      </c>
      <c r="AK23" s="1" t="s">
        <v>2291</v>
      </c>
      <c r="AL23" s="3">
        <v>290.55</v>
      </c>
      <c r="AM23" s="1" t="s">
        <v>2292</v>
      </c>
      <c r="AN23" s="3">
        <v>290.55</v>
      </c>
      <c r="AO23" s="1" t="s">
        <v>2293</v>
      </c>
      <c r="AP23" s="3">
        <v>290.55</v>
      </c>
      <c r="AQ23" s="1" t="s">
        <v>2294</v>
      </c>
      <c r="AR23" s="3">
        <v>290.55</v>
      </c>
      <c r="AS23" s="1"/>
      <c r="AT23" s="1"/>
      <c r="AU23" s="1" t="s">
        <v>2295</v>
      </c>
      <c r="AV23" s="3">
        <v>290.55</v>
      </c>
      <c r="AW23" s="1" t="s">
        <v>1980</v>
      </c>
      <c r="AX23" s="3">
        <v>290.55</v>
      </c>
      <c r="AY23" s="1" t="s">
        <v>2296</v>
      </c>
      <c r="AZ23" s="3">
        <v>290.55</v>
      </c>
      <c r="BA23" s="1" t="s">
        <v>2297</v>
      </c>
      <c r="BB23" s="3">
        <v>290.55</v>
      </c>
      <c r="BC23" s="67" t="s">
        <v>2298</v>
      </c>
      <c r="BD23" s="67">
        <v>295.09</v>
      </c>
      <c r="BE23" s="67">
        <f t="shared" si="1"/>
        <v>1622.995</v>
      </c>
    </row>
    <row r="24">
      <c r="A24" s="1"/>
      <c r="B24" s="1"/>
      <c r="C24" s="1" t="s">
        <v>2299</v>
      </c>
      <c r="D24" s="3">
        <v>290.55</v>
      </c>
      <c r="E24" s="1"/>
      <c r="F24" s="1"/>
      <c r="G24" s="1" t="s">
        <v>2300</v>
      </c>
      <c r="H24" s="3">
        <v>290.55</v>
      </c>
      <c r="I24" s="1" t="s">
        <v>2301</v>
      </c>
      <c r="J24" s="3">
        <v>290.55</v>
      </c>
      <c r="K24" s="1" t="s">
        <v>2302</v>
      </c>
      <c r="L24" s="3">
        <v>290.55</v>
      </c>
      <c r="M24" s="1"/>
      <c r="N24" s="1"/>
      <c r="O24" s="1" t="s">
        <v>2303</v>
      </c>
      <c r="P24" s="3">
        <v>290.55</v>
      </c>
      <c r="Q24" s="1" t="s">
        <v>2304</v>
      </c>
      <c r="R24" s="3">
        <v>290.55</v>
      </c>
      <c r="S24" s="1" t="s">
        <v>2305</v>
      </c>
      <c r="T24" s="3">
        <v>290.55</v>
      </c>
      <c r="U24" s="1" t="s">
        <v>2306</v>
      </c>
      <c r="V24" s="3">
        <v>290.55</v>
      </c>
      <c r="W24" s="1" t="s">
        <v>2307</v>
      </c>
      <c r="X24" s="3">
        <v>290.55</v>
      </c>
      <c r="Y24" s="1" t="s">
        <v>2308</v>
      </c>
      <c r="Z24" s="3">
        <v>290.55</v>
      </c>
      <c r="AA24" s="1" t="s">
        <v>2147</v>
      </c>
      <c r="AB24" s="3">
        <v>290.55</v>
      </c>
      <c r="AC24" s="1" t="s">
        <v>2309</v>
      </c>
      <c r="AD24" s="3">
        <v>290.55</v>
      </c>
      <c r="AE24" s="1" t="s">
        <v>38</v>
      </c>
      <c r="AF24" s="3">
        <v>290.55</v>
      </c>
      <c r="AG24" s="1" t="s">
        <v>2310</v>
      </c>
      <c r="AH24" s="3">
        <v>290.55</v>
      </c>
      <c r="AI24" s="1" t="s">
        <v>1917</v>
      </c>
      <c r="AJ24" s="3">
        <v>290.55</v>
      </c>
      <c r="AK24" s="1" t="s">
        <v>604</v>
      </c>
      <c r="AL24" s="3">
        <v>290.55</v>
      </c>
      <c r="AM24" s="1" t="s">
        <v>2311</v>
      </c>
      <c r="AN24" s="3">
        <v>290.55</v>
      </c>
      <c r="AO24" s="1" t="s">
        <v>2312</v>
      </c>
      <c r="AP24" s="3">
        <v>290.55</v>
      </c>
      <c r="AQ24" s="1" t="s">
        <v>2313</v>
      </c>
      <c r="AR24" s="3">
        <v>290.55</v>
      </c>
      <c r="AS24" s="1"/>
      <c r="AT24" s="1"/>
      <c r="AU24" s="1" t="s">
        <v>2314</v>
      </c>
      <c r="AV24" s="3">
        <v>290.55</v>
      </c>
      <c r="AW24" s="1" t="s">
        <v>2315</v>
      </c>
      <c r="AX24" s="3">
        <v>290.55</v>
      </c>
      <c r="AY24" s="1" t="s">
        <v>2316</v>
      </c>
      <c r="AZ24" s="3">
        <v>290.55</v>
      </c>
      <c r="BA24" s="1" t="s">
        <v>2317</v>
      </c>
      <c r="BB24" s="3">
        <v>290.55</v>
      </c>
      <c r="BC24" s="67" t="s">
        <v>2318</v>
      </c>
      <c r="BD24" s="67">
        <v>398.91</v>
      </c>
      <c r="BE24" s="67">
        <f t="shared" si="1"/>
        <v>2194.005</v>
      </c>
    </row>
    <row r="25">
      <c r="A25" s="1"/>
      <c r="B25" s="1"/>
      <c r="C25" s="1" t="s">
        <v>2319</v>
      </c>
      <c r="D25" s="3">
        <v>290.55</v>
      </c>
      <c r="E25" s="1"/>
      <c r="F25" s="1"/>
      <c r="G25" s="1" t="s">
        <v>2320</v>
      </c>
      <c r="H25" s="3">
        <v>290.55</v>
      </c>
      <c r="I25" s="1" t="s">
        <v>2321</v>
      </c>
      <c r="J25" s="3">
        <v>290.55</v>
      </c>
      <c r="K25" s="1" t="s">
        <v>2322</v>
      </c>
      <c r="L25" s="3">
        <v>290.55</v>
      </c>
      <c r="M25" s="1"/>
      <c r="N25" s="1"/>
      <c r="O25" s="1" t="s">
        <v>2323</v>
      </c>
      <c r="P25" s="3">
        <v>290.55</v>
      </c>
      <c r="Q25" s="1" t="s">
        <v>2324</v>
      </c>
      <c r="R25" s="3">
        <v>290.55</v>
      </c>
      <c r="S25" s="1" t="s">
        <v>2325</v>
      </c>
      <c r="T25" s="3">
        <v>290.55</v>
      </c>
      <c r="U25" s="1" t="s">
        <v>2326</v>
      </c>
      <c r="V25" s="3">
        <v>290.55</v>
      </c>
      <c r="W25" s="1" t="s">
        <v>2327</v>
      </c>
      <c r="X25" s="3">
        <v>290.55</v>
      </c>
      <c r="Y25" s="1" t="s">
        <v>2328</v>
      </c>
      <c r="Z25" s="3">
        <v>290.55</v>
      </c>
      <c r="AA25" s="1" t="s">
        <v>2329</v>
      </c>
      <c r="AB25" s="3">
        <v>290.55</v>
      </c>
      <c r="AC25" s="1" t="s">
        <v>1892</v>
      </c>
      <c r="AD25" s="3">
        <v>290.55</v>
      </c>
      <c r="AE25" s="1" t="s">
        <v>39</v>
      </c>
      <c r="AF25" s="3">
        <v>290.55</v>
      </c>
      <c r="AG25" s="1" t="s">
        <v>2010</v>
      </c>
      <c r="AH25" s="3">
        <v>290.55</v>
      </c>
      <c r="AI25" s="1" t="s">
        <v>2330</v>
      </c>
      <c r="AJ25" s="3">
        <v>290.55</v>
      </c>
      <c r="AK25" s="1" t="s">
        <v>2331</v>
      </c>
      <c r="AL25" s="3">
        <v>290.55</v>
      </c>
      <c r="AM25" s="1" t="s">
        <v>2332</v>
      </c>
      <c r="AN25" s="3">
        <v>290.55</v>
      </c>
      <c r="AO25" s="1" t="s">
        <v>2333</v>
      </c>
      <c r="AP25" s="3">
        <v>290.55</v>
      </c>
      <c r="AQ25" s="1" t="s">
        <v>2334</v>
      </c>
      <c r="AR25" s="3">
        <v>290.55</v>
      </c>
      <c r="AS25" s="1"/>
      <c r="AT25" s="1"/>
      <c r="AU25" s="1" t="s">
        <v>2335</v>
      </c>
      <c r="AV25" s="3">
        <v>290.55</v>
      </c>
      <c r="AW25" s="1" t="s">
        <v>2336</v>
      </c>
      <c r="AX25" s="3">
        <v>290.55</v>
      </c>
      <c r="AY25" s="1" t="s">
        <v>2337</v>
      </c>
      <c r="AZ25" s="3">
        <v>290.55</v>
      </c>
      <c r="BA25" s="1" t="s">
        <v>2338</v>
      </c>
      <c r="BB25" s="3">
        <v>290.55</v>
      </c>
      <c r="BC25" s="67" t="s">
        <v>2339</v>
      </c>
      <c r="BD25" s="67">
        <v>295.09</v>
      </c>
      <c r="BE25" s="67">
        <f t="shared" si="1"/>
        <v>1622.995</v>
      </c>
    </row>
    <row r="26">
      <c r="A26" s="1"/>
      <c r="B26" s="1"/>
      <c r="C26" s="1" t="s">
        <v>2340</v>
      </c>
      <c r="D26" s="3">
        <v>290.55</v>
      </c>
      <c r="E26" s="1"/>
      <c r="F26" s="1"/>
      <c r="G26" s="1" t="s">
        <v>2341</v>
      </c>
      <c r="H26" s="3">
        <v>290.55</v>
      </c>
      <c r="I26" s="1" t="s">
        <v>2342</v>
      </c>
      <c r="J26" s="3">
        <v>290.55</v>
      </c>
      <c r="K26" s="1" t="s">
        <v>2343</v>
      </c>
      <c r="L26" s="3">
        <v>290.55</v>
      </c>
      <c r="M26" s="1"/>
      <c r="N26" s="1"/>
      <c r="O26" s="1" t="s">
        <v>2344</v>
      </c>
      <c r="P26" s="3">
        <v>290.55</v>
      </c>
      <c r="Q26" s="1" t="s">
        <v>2345</v>
      </c>
      <c r="R26" s="3">
        <v>290.55</v>
      </c>
      <c r="S26" s="1" t="s">
        <v>2346</v>
      </c>
      <c r="T26" s="3">
        <v>290.55</v>
      </c>
      <c r="U26" s="1" t="s">
        <v>2347</v>
      </c>
      <c r="V26" s="3">
        <v>290.55</v>
      </c>
      <c r="W26" s="1" t="s">
        <v>2348</v>
      </c>
      <c r="X26" s="3">
        <v>290.55</v>
      </c>
      <c r="Y26" s="1" t="s">
        <v>2349</v>
      </c>
      <c r="Z26" s="3">
        <v>290.55</v>
      </c>
      <c r="AA26" s="1" t="s">
        <v>2350</v>
      </c>
      <c r="AB26" s="3">
        <v>290.55</v>
      </c>
      <c r="AC26" s="1" t="s">
        <v>2351</v>
      </c>
      <c r="AD26" s="3">
        <v>290.55</v>
      </c>
      <c r="AE26" s="1" t="s">
        <v>40</v>
      </c>
      <c r="AF26" s="3">
        <v>290.55</v>
      </c>
      <c r="AG26" s="1" t="s">
        <v>2147</v>
      </c>
      <c r="AH26" s="3">
        <v>290.55</v>
      </c>
      <c r="AI26" s="1" t="s">
        <v>2352</v>
      </c>
      <c r="AJ26" s="3">
        <v>290.55</v>
      </c>
      <c r="AK26" s="1" t="s">
        <v>2353</v>
      </c>
      <c r="AL26" s="3">
        <v>290.55</v>
      </c>
      <c r="AM26" s="1" t="s">
        <v>2354</v>
      </c>
      <c r="AN26" s="3">
        <v>290.55</v>
      </c>
      <c r="AO26" s="1" t="s">
        <v>2355</v>
      </c>
      <c r="AP26" s="3">
        <v>290.55</v>
      </c>
      <c r="AQ26" s="1" t="s">
        <v>2356</v>
      </c>
      <c r="AR26" s="3">
        <v>290.55</v>
      </c>
      <c r="AS26" s="1"/>
      <c r="AT26" s="1"/>
      <c r="AU26" s="1" t="s">
        <v>2234</v>
      </c>
      <c r="AV26" s="3">
        <v>290.55</v>
      </c>
      <c r="AW26" s="1" t="s">
        <v>2357</v>
      </c>
      <c r="AX26" s="3">
        <v>290.55</v>
      </c>
      <c r="AY26" s="1" t="s">
        <v>2358</v>
      </c>
      <c r="AZ26" s="3">
        <v>290.55</v>
      </c>
      <c r="BA26" s="1" t="s">
        <v>2287</v>
      </c>
      <c r="BB26" s="3">
        <v>290.55</v>
      </c>
      <c r="BC26" s="67" t="s">
        <v>2359</v>
      </c>
      <c r="BD26" s="67">
        <v>385.32</v>
      </c>
      <c r="BE26" s="67">
        <f t="shared" si="1"/>
        <v>2119.26</v>
      </c>
    </row>
    <row r="27">
      <c r="A27" s="1"/>
      <c r="B27" s="1"/>
      <c r="C27" s="1" t="s">
        <v>2360</v>
      </c>
      <c r="D27" s="3">
        <v>290.55</v>
      </c>
      <c r="E27" s="1"/>
      <c r="F27" s="1"/>
      <c r="G27" s="1" t="s">
        <v>2361</v>
      </c>
      <c r="H27" s="3">
        <v>290.55</v>
      </c>
      <c r="I27" s="1" t="s">
        <v>2362</v>
      </c>
      <c r="J27" s="3">
        <v>290.55</v>
      </c>
      <c r="K27" s="1" t="s">
        <v>2363</v>
      </c>
      <c r="L27" s="3">
        <v>290.55</v>
      </c>
      <c r="M27" s="1"/>
      <c r="N27" s="1"/>
      <c r="O27" s="1" t="s">
        <v>2364</v>
      </c>
      <c r="P27" s="3">
        <v>290.55</v>
      </c>
      <c r="Q27" s="1" t="s">
        <v>2365</v>
      </c>
      <c r="R27" s="3">
        <v>290.55</v>
      </c>
      <c r="S27" s="1" t="s">
        <v>2366</v>
      </c>
      <c r="T27" s="3">
        <v>290.55</v>
      </c>
      <c r="U27" s="1" t="s">
        <v>2367</v>
      </c>
      <c r="V27" s="3">
        <v>290.55</v>
      </c>
      <c r="W27" s="1" t="s">
        <v>2368</v>
      </c>
      <c r="X27" s="3">
        <v>290.55</v>
      </c>
      <c r="Y27" s="1" t="s">
        <v>2369</v>
      </c>
      <c r="Z27" s="3">
        <v>290.55</v>
      </c>
      <c r="AA27" s="1" t="s">
        <v>2370</v>
      </c>
      <c r="AB27" s="3">
        <v>290.55</v>
      </c>
      <c r="AC27" s="1" t="s">
        <v>1942</v>
      </c>
      <c r="AD27" s="3">
        <v>290.55</v>
      </c>
      <c r="AE27" s="1" t="s">
        <v>41</v>
      </c>
      <c r="AF27" s="3">
        <v>290.55</v>
      </c>
      <c r="AG27" s="1" t="s">
        <v>2371</v>
      </c>
      <c r="AH27" s="3">
        <v>290.55</v>
      </c>
      <c r="AI27" s="1" t="s">
        <v>2372</v>
      </c>
      <c r="AJ27" s="3">
        <v>290.55</v>
      </c>
      <c r="AK27" s="1" t="s">
        <v>2373</v>
      </c>
      <c r="AL27" s="3">
        <v>290.55</v>
      </c>
      <c r="AM27" s="1" t="s">
        <v>2374</v>
      </c>
      <c r="AN27" s="3">
        <v>290.55</v>
      </c>
      <c r="AO27" s="1" t="s">
        <v>2375</v>
      </c>
      <c r="AP27" s="3">
        <v>290.55</v>
      </c>
      <c r="AQ27" s="1" t="s">
        <v>2376</v>
      </c>
      <c r="AR27" s="3">
        <v>290.55</v>
      </c>
      <c r="AS27" s="1"/>
      <c r="AT27" s="1"/>
      <c r="AU27" s="1" t="s">
        <v>2377</v>
      </c>
      <c r="AV27" s="3">
        <v>290.55</v>
      </c>
      <c r="AW27" s="1" t="s">
        <v>2378</v>
      </c>
      <c r="AX27" s="3">
        <v>290.55</v>
      </c>
      <c r="AY27" s="1" t="s">
        <v>2379</v>
      </c>
      <c r="AZ27" s="3">
        <v>290.55</v>
      </c>
      <c r="BA27" s="1" t="s">
        <v>2380</v>
      </c>
      <c r="BB27" s="3">
        <v>290.55</v>
      </c>
      <c r="BC27" s="67" t="s">
        <v>2381</v>
      </c>
      <c r="BD27" s="67">
        <v>295.09</v>
      </c>
      <c r="BE27" s="67">
        <f t="shared" si="1"/>
        <v>1622.995</v>
      </c>
    </row>
    <row r="28">
      <c r="A28" s="1"/>
      <c r="B28" s="1"/>
      <c r="C28" s="1" t="s">
        <v>2382</v>
      </c>
      <c r="D28" s="3">
        <v>290.55</v>
      </c>
      <c r="E28" s="1"/>
      <c r="F28" s="1"/>
      <c r="G28" s="1" t="s">
        <v>2383</v>
      </c>
      <c r="H28" s="3">
        <v>290.55</v>
      </c>
      <c r="I28" s="1" t="s">
        <v>2384</v>
      </c>
      <c r="J28" s="3">
        <v>290.55</v>
      </c>
      <c r="K28" s="1" t="s">
        <v>2385</v>
      </c>
      <c r="L28" s="3">
        <v>290.55</v>
      </c>
      <c r="M28" s="1"/>
      <c r="N28" s="1"/>
      <c r="O28" s="1" t="s">
        <v>2386</v>
      </c>
      <c r="P28" s="3">
        <v>290.55</v>
      </c>
      <c r="Q28" s="1" t="s">
        <v>2387</v>
      </c>
      <c r="R28" s="3">
        <v>290.55</v>
      </c>
      <c r="S28" s="1" t="s">
        <v>2388</v>
      </c>
      <c r="T28" s="3">
        <v>290.55</v>
      </c>
      <c r="U28" s="1" t="s">
        <v>2389</v>
      </c>
      <c r="V28" s="3">
        <v>290.55</v>
      </c>
      <c r="W28" s="1" t="s">
        <v>554</v>
      </c>
      <c r="X28" s="3">
        <v>290.55</v>
      </c>
      <c r="Y28" s="1" t="s">
        <v>2390</v>
      </c>
      <c r="Z28" s="3">
        <v>290.55</v>
      </c>
      <c r="AA28" s="1" t="s">
        <v>2391</v>
      </c>
      <c r="AB28" s="3">
        <v>290.55</v>
      </c>
      <c r="AC28" s="1" t="s">
        <v>2392</v>
      </c>
      <c r="AD28" s="3">
        <v>290.55</v>
      </c>
      <c r="AE28" s="1" t="s">
        <v>43</v>
      </c>
      <c r="AF28" s="3">
        <v>290.55</v>
      </c>
      <c r="AG28" s="1" t="s">
        <v>2221</v>
      </c>
      <c r="AH28" s="3">
        <v>290.55</v>
      </c>
      <c r="AI28" s="1" t="s">
        <v>2393</v>
      </c>
      <c r="AJ28" s="3">
        <v>290.55</v>
      </c>
      <c r="AK28" s="1" t="s">
        <v>2394</v>
      </c>
      <c r="AL28" s="3">
        <v>290.55</v>
      </c>
      <c r="AM28" s="1" t="s">
        <v>2395</v>
      </c>
      <c r="AN28" s="3">
        <v>290.55</v>
      </c>
      <c r="AO28" s="1" t="s">
        <v>2396</v>
      </c>
      <c r="AP28" s="3">
        <v>290.55</v>
      </c>
      <c r="AQ28" s="1" t="s">
        <v>2397</v>
      </c>
      <c r="AR28" s="3">
        <v>290.55</v>
      </c>
      <c r="AS28" s="1"/>
      <c r="AT28" s="1"/>
      <c r="AU28" s="1" t="s">
        <v>2398</v>
      </c>
      <c r="AV28" s="3">
        <v>290.55</v>
      </c>
      <c r="AW28" s="1" t="s">
        <v>2399</v>
      </c>
      <c r="AX28" s="3">
        <v>290.55</v>
      </c>
      <c r="AY28" s="1" t="s">
        <v>2400</v>
      </c>
      <c r="AZ28" s="3">
        <v>290.55</v>
      </c>
      <c r="BA28" s="1" t="s">
        <v>2401</v>
      </c>
      <c r="BB28" s="3">
        <v>290.55</v>
      </c>
      <c r="BC28" s="67" t="s">
        <v>2402</v>
      </c>
      <c r="BD28" s="67">
        <v>398.91</v>
      </c>
      <c r="BE28" s="67">
        <f t="shared" si="1"/>
        <v>2194.005</v>
      </c>
    </row>
    <row r="29">
      <c r="A29" s="1"/>
      <c r="B29" s="1"/>
      <c r="C29" s="1" t="s">
        <v>2403</v>
      </c>
      <c r="D29" s="3">
        <v>290.55</v>
      </c>
      <c r="E29" s="1"/>
      <c r="F29" s="1"/>
      <c r="G29" s="1" t="s">
        <v>2404</v>
      </c>
      <c r="H29" s="3">
        <v>290.55</v>
      </c>
      <c r="I29" s="1" t="s">
        <v>2405</v>
      </c>
      <c r="J29" s="3">
        <v>290.55</v>
      </c>
      <c r="K29" s="1" t="s">
        <v>2406</v>
      </c>
      <c r="L29" s="3">
        <v>290.55</v>
      </c>
      <c r="M29" s="1"/>
      <c r="N29" s="1"/>
      <c r="O29" s="1" t="s">
        <v>2407</v>
      </c>
      <c r="P29" s="3">
        <v>290.55</v>
      </c>
      <c r="Q29" s="1" t="s">
        <v>2408</v>
      </c>
      <c r="R29" s="3">
        <v>290.55</v>
      </c>
      <c r="S29" s="1" t="s">
        <v>2409</v>
      </c>
      <c r="T29" s="3">
        <v>290.55</v>
      </c>
      <c r="U29" s="1" t="s">
        <v>2410</v>
      </c>
      <c r="V29" s="3">
        <v>290.55</v>
      </c>
      <c r="W29" s="1" t="s">
        <v>2411</v>
      </c>
      <c r="X29" s="3">
        <v>290.55</v>
      </c>
      <c r="Y29" s="1" t="s">
        <v>2412</v>
      </c>
      <c r="Z29" s="3">
        <v>290.55</v>
      </c>
      <c r="AA29" s="1" t="s">
        <v>2413</v>
      </c>
      <c r="AB29" s="3">
        <v>290.55</v>
      </c>
      <c r="AC29" s="1" t="s">
        <v>2414</v>
      </c>
      <c r="AD29" s="3">
        <v>290.55</v>
      </c>
      <c r="AE29" s="1" t="s">
        <v>44</v>
      </c>
      <c r="AF29" s="3">
        <v>290.55</v>
      </c>
      <c r="AG29" s="1" t="s">
        <v>2415</v>
      </c>
      <c r="AH29" s="3">
        <v>290.55</v>
      </c>
      <c r="AI29" s="1" t="s">
        <v>2416</v>
      </c>
      <c r="AJ29" s="3">
        <v>290.55</v>
      </c>
      <c r="AK29" s="1" t="s">
        <v>2417</v>
      </c>
      <c r="AL29" s="3">
        <v>290.55</v>
      </c>
      <c r="AM29" s="1" t="s">
        <v>2418</v>
      </c>
      <c r="AN29" s="3">
        <v>290.55</v>
      </c>
      <c r="AO29" s="1" t="s">
        <v>2419</v>
      </c>
      <c r="AP29" s="3">
        <v>290.55</v>
      </c>
      <c r="AQ29" s="1" t="s">
        <v>2420</v>
      </c>
      <c r="AR29" s="3">
        <v>290.55</v>
      </c>
      <c r="AS29" s="1"/>
      <c r="AT29" s="1"/>
      <c r="AU29" s="1" t="s">
        <v>2421</v>
      </c>
      <c r="AV29" s="3">
        <v>290.55</v>
      </c>
      <c r="AW29" s="1" t="s">
        <v>2006</v>
      </c>
      <c r="AX29" s="3">
        <v>290.55</v>
      </c>
      <c r="AY29" s="1" t="s">
        <v>2422</v>
      </c>
      <c r="AZ29" s="3">
        <v>290.55</v>
      </c>
      <c r="BA29" s="1" t="s">
        <v>2423</v>
      </c>
      <c r="BB29" s="3">
        <v>290.55</v>
      </c>
      <c r="BC29" s="67" t="s">
        <v>2424</v>
      </c>
      <c r="BD29" s="67">
        <v>295.09</v>
      </c>
      <c r="BE29" s="67">
        <f t="shared" si="1"/>
        <v>1622.995</v>
      </c>
    </row>
    <row r="30">
      <c r="A30" s="1"/>
      <c r="B30" s="1"/>
      <c r="C30" s="1" t="s">
        <v>2425</v>
      </c>
      <c r="D30" s="3">
        <v>290.55</v>
      </c>
      <c r="E30" s="1"/>
      <c r="F30" s="1"/>
      <c r="G30" s="1" t="s">
        <v>2426</v>
      </c>
      <c r="H30" s="3">
        <v>290.55</v>
      </c>
      <c r="I30" s="1" t="s">
        <v>2427</v>
      </c>
      <c r="J30" s="3">
        <v>290.55</v>
      </c>
      <c r="K30" s="1" t="s">
        <v>2428</v>
      </c>
      <c r="L30" s="3">
        <v>290.55</v>
      </c>
      <c r="M30" s="1"/>
      <c r="N30" s="1"/>
      <c r="O30" s="1" t="s">
        <v>2429</v>
      </c>
      <c r="P30" s="3">
        <v>290.55</v>
      </c>
      <c r="Q30" s="1" t="s">
        <v>2430</v>
      </c>
      <c r="R30" s="3">
        <v>290.55</v>
      </c>
      <c r="S30" s="1" t="s">
        <v>2431</v>
      </c>
      <c r="T30" s="3">
        <v>290.55</v>
      </c>
      <c r="U30" s="1" t="s">
        <v>2432</v>
      </c>
      <c r="V30" s="3">
        <v>290.55</v>
      </c>
      <c r="W30" s="1" t="s">
        <v>2433</v>
      </c>
      <c r="X30" s="3">
        <v>290.55</v>
      </c>
      <c r="Y30" s="1" t="s">
        <v>2434</v>
      </c>
      <c r="Z30" s="3">
        <v>290.55</v>
      </c>
      <c r="AA30" s="1" t="s">
        <v>2435</v>
      </c>
      <c r="AB30" s="3">
        <v>290.55</v>
      </c>
      <c r="AC30" s="1" t="s">
        <v>2436</v>
      </c>
      <c r="AD30" s="3">
        <v>290.55</v>
      </c>
      <c r="AE30" s="1" t="s">
        <v>45</v>
      </c>
      <c r="AF30" s="3">
        <v>290.55</v>
      </c>
      <c r="AG30" s="1" t="s">
        <v>2437</v>
      </c>
      <c r="AH30" s="3">
        <v>290.55</v>
      </c>
      <c r="AI30" s="1" t="s">
        <v>2438</v>
      </c>
      <c r="AJ30" s="3">
        <v>290.55</v>
      </c>
      <c r="AK30" s="1" t="s">
        <v>2439</v>
      </c>
      <c r="AL30" s="3">
        <v>290.55</v>
      </c>
      <c r="AM30" s="1" t="s">
        <v>2440</v>
      </c>
      <c r="AN30" s="3">
        <v>290.55</v>
      </c>
      <c r="AO30" s="1" t="s">
        <v>2441</v>
      </c>
      <c r="AP30" s="3">
        <v>290.55</v>
      </c>
      <c r="AQ30" s="1" t="s">
        <v>2442</v>
      </c>
      <c r="AR30" s="3">
        <v>290.55</v>
      </c>
      <c r="AS30" s="1"/>
      <c r="AT30" s="1"/>
      <c r="AU30" s="1" t="s">
        <v>2443</v>
      </c>
      <c r="AV30" s="3">
        <v>290.55</v>
      </c>
      <c r="AW30" s="1" t="s">
        <v>2444</v>
      </c>
      <c r="AX30" s="3">
        <v>290.55</v>
      </c>
      <c r="AY30" s="1" t="s">
        <v>2445</v>
      </c>
      <c r="AZ30" s="3">
        <v>290.55</v>
      </c>
      <c r="BA30" s="1" t="s">
        <v>2446</v>
      </c>
      <c r="BB30" s="3">
        <v>290.55</v>
      </c>
      <c r="BC30" s="67" t="s">
        <v>2447</v>
      </c>
      <c r="BD30" s="67">
        <v>295.09</v>
      </c>
      <c r="BE30" s="67">
        <f t="shared" si="1"/>
        <v>1622.995</v>
      </c>
    </row>
    <row r="31">
      <c r="A31" s="1"/>
      <c r="B31" s="1"/>
      <c r="C31" s="1" t="s">
        <v>2448</v>
      </c>
      <c r="D31" s="3">
        <v>290.55</v>
      </c>
      <c r="E31" s="1"/>
      <c r="F31" s="1"/>
      <c r="G31" s="1" t="s">
        <v>2449</v>
      </c>
      <c r="H31" s="3">
        <v>290.55</v>
      </c>
      <c r="I31" s="1" t="s">
        <v>2450</v>
      </c>
      <c r="J31" s="3">
        <v>290.55</v>
      </c>
      <c r="K31" s="1" t="s">
        <v>2451</v>
      </c>
      <c r="L31" s="3">
        <v>290.55</v>
      </c>
      <c r="M31" s="1"/>
      <c r="N31" s="1"/>
      <c r="O31" s="1" t="s">
        <v>2452</v>
      </c>
      <c r="P31" s="3">
        <v>290.55</v>
      </c>
      <c r="Q31" s="1" t="s">
        <v>2453</v>
      </c>
      <c r="R31" s="3">
        <v>290.55</v>
      </c>
      <c r="S31" s="1" t="s">
        <v>2454</v>
      </c>
      <c r="T31" s="3">
        <v>290.55</v>
      </c>
      <c r="U31" s="1" t="s">
        <v>2455</v>
      </c>
      <c r="V31" s="3">
        <v>290.55</v>
      </c>
      <c r="W31" s="1" t="s">
        <v>2456</v>
      </c>
      <c r="X31" s="3">
        <v>290.55</v>
      </c>
      <c r="Y31" s="1" t="s">
        <v>2457</v>
      </c>
      <c r="Z31" s="3">
        <v>290.55</v>
      </c>
      <c r="AA31" s="1" t="s">
        <v>2458</v>
      </c>
      <c r="AB31" s="3">
        <v>290.55</v>
      </c>
      <c r="AC31" s="1" t="s">
        <v>1835</v>
      </c>
      <c r="AD31" s="3">
        <v>290.55</v>
      </c>
      <c r="AE31" s="1" t="s">
        <v>46</v>
      </c>
      <c r="AF31" s="3">
        <v>290.55</v>
      </c>
      <c r="AG31" s="1" t="s">
        <v>2459</v>
      </c>
      <c r="AH31" s="3">
        <v>290.55</v>
      </c>
      <c r="AI31" s="1" t="s">
        <v>2460</v>
      </c>
      <c r="AJ31" s="3">
        <v>290.55</v>
      </c>
      <c r="AK31" s="1" t="s">
        <v>2461</v>
      </c>
      <c r="AL31" s="3">
        <v>290.55</v>
      </c>
      <c r="AM31" s="1" t="s">
        <v>2462</v>
      </c>
      <c r="AN31" s="3">
        <v>290.55</v>
      </c>
      <c r="AO31" s="1" t="s">
        <v>2463</v>
      </c>
      <c r="AP31" s="3">
        <v>290.55</v>
      </c>
      <c r="AQ31" s="1" t="s">
        <v>2464</v>
      </c>
      <c r="AR31" s="3">
        <v>290.55</v>
      </c>
      <c r="AS31" s="1"/>
      <c r="AT31" s="1"/>
      <c r="AU31" s="1" t="s">
        <v>2465</v>
      </c>
      <c r="AV31" s="3">
        <v>290.55</v>
      </c>
      <c r="AW31" s="1" t="s">
        <v>2466</v>
      </c>
      <c r="AX31" s="3">
        <v>290.55</v>
      </c>
      <c r="AY31" s="1" t="s">
        <v>2467</v>
      </c>
      <c r="AZ31" s="3">
        <v>290.55</v>
      </c>
      <c r="BA31" s="1" t="s">
        <v>2468</v>
      </c>
      <c r="BB31" s="3">
        <v>290.55</v>
      </c>
      <c r="BC31" s="67" t="s">
        <v>2469</v>
      </c>
      <c r="BD31" s="67">
        <v>398.91</v>
      </c>
      <c r="BE31" s="67">
        <f t="shared" si="1"/>
        <v>2194.005</v>
      </c>
    </row>
    <row r="32">
      <c r="A32" s="1"/>
      <c r="B32" s="1"/>
      <c r="C32" s="1" t="s">
        <v>2470</v>
      </c>
      <c r="D32" s="3">
        <v>290.55</v>
      </c>
      <c r="E32" s="1"/>
      <c r="F32" s="1"/>
      <c r="G32" s="1" t="s">
        <v>2471</v>
      </c>
      <c r="H32" s="3">
        <v>290.55</v>
      </c>
      <c r="I32" s="1" t="s">
        <v>2472</v>
      </c>
      <c r="J32" s="3">
        <v>290.55</v>
      </c>
      <c r="K32" s="1" t="s">
        <v>2473</v>
      </c>
      <c r="L32" s="3">
        <v>290.55</v>
      </c>
      <c r="M32" s="1"/>
      <c r="N32" s="1"/>
      <c r="O32" s="1" t="s">
        <v>2474</v>
      </c>
      <c r="P32" s="3">
        <v>290.55</v>
      </c>
      <c r="Q32" s="1" t="s">
        <v>2475</v>
      </c>
      <c r="R32" s="3">
        <v>290.55</v>
      </c>
      <c r="S32" s="1" t="s">
        <v>2476</v>
      </c>
      <c r="T32" s="3">
        <v>290.55</v>
      </c>
      <c r="U32" s="1" t="s">
        <v>2477</v>
      </c>
      <c r="V32" s="3">
        <v>290.55</v>
      </c>
      <c r="W32" s="1" t="s">
        <v>116</v>
      </c>
      <c r="X32" s="3">
        <v>290.55</v>
      </c>
      <c r="Y32" s="1" t="s">
        <v>2478</v>
      </c>
      <c r="Z32" s="3">
        <v>290.55</v>
      </c>
      <c r="AA32" s="1" t="s">
        <v>2479</v>
      </c>
      <c r="AB32" s="3">
        <v>290.55</v>
      </c>
      <c r="AC32" s="1" t="s">
        <v>2199</v>
      </c>
      <c r="AD32" s="3">
        <v>290.55</v>
      </c>
      <c r="AE32" s="1" t="s">
        <v>47</v>
      </c>
      <c r="AF32" s="3">
        <v>290.55</v>
      </c>
      <c r="AG32" s="1" t="s">
        <v>2480</v>
      </c>
      <c r="AH32" s="3">
        <v>290.55</v>
      </c>
      <c r="AI32" s="1" t="s">
        <v>2199</v>
      </c>
      <c r="AJ32" s="3">
        <v>290.55</v>
      </c>
      <c r="AK32" s="1" t="s">
        <v>2481</v>
      </c>
      <c r="AL32" s="3">
        <v>290.55</v>
      </c>
      <c r="AM32" s="1" t="s">
        <v>2482</v>
      </c>
      <c r="AN32" s="3">
        <v>290.55</v>
      </c>
      <c r="AO32" s="1" t="s">
        <v>2483</v>
      </c>
      <c r="AP32" s="3">
        <v>290.55</v>
      </c>
      <c r="AQ32" s="1" t="s">
        <v>2484</v>
      </c>
      <c r="AR32" s="3">
        <v>290.55</v>
      </c>
      <c r="AS32" s="1"/>
      <c r="AT32" s="1"/>
      <c r="AU32" s="1" t="s">
        <v>2485</v>
      </c>
      <c r="AV32" s="3">
        <v>290.55</v>
      </c>
      <c r="AW32" s="1" t="s">
        <v>2486</v>
      </c>
      <c r="AX32" s="3">
        <v>290.55</v>
      </c>
      <c r="AY32" s="1" t="s">
        <v>2487</v>
      </c>
      <c r="AZ32" s="3">
        <v>290.55</v>
      </c>
      <c r="BA32" s="1" t="s">
        <v>2488</v>
      </c>
      <c r="BB32" s="3">
        <v>290.55</v>
      </c>
      <c r="BC32" s="67" t="s">
        <v>2489</v>
      </c>
      <c r="BD32" s="67">
        <v>385.32</v>
      </c>
      <c r="BE32" s="67">
        <f t="shared" si="1"/>
        <v>2119.26</v>
      </c>
    </row>
    <row r="33">
      <c r="A33" s="1"/>
      <c r="B33" s="1"/>
      <c r="C33" s="1" t="s">
        <v>2490</v>
      </c>
      <c r="D33" s="3">
        <v>290.55</v>
      </c>
      <c r="E33" s="1"/>
      <c r="F33" s="1"/>
      <c r="G33" s="1" t="s">
        <v>188</v>
      </c>
      <c r="H33" s="3">
        <v>290.55</v>
      </c>
      <c r="I33" s="1" t="s">
        <v>2491</v>
      </c>
      <c r="J33" s="3">
        <v>290.55</v>
      </c>
      <c r="K33" s="1" t="s">
        <v>2492</v>
      </c>
      <c r="L33" s="3">
        <v>290.55</v>
      </c>
      <c r="M33" s="1"/>
      <c r="N33" s="1"/>
      <c r="O33" s="1" t="s">
        <v>2493</v>
      </c>
      <c r="P33" s="3">
        <v>290.55</v>
      </c>
      <c r="Q33" s="1" t="s">
        <v>2494</v>
      </c>
      <c r="R33" s="3">
        <v>290.55</v>
      </c>
      <c r="S33" s="1" t="s">
        <v>2495</v>
      </c>
      <c r="T33" s="3">
        <v>290.55</v>
      </c>
      <c r="U33" s="1" t="s">
        <v>2496</v>
      </c>
      <c r="V33" s="3">
        <v>290.55</v>
      </c>
      <c r="W33" s="1" t="s">
        <v>2497</v>
      </c>
      <c r="X33" s="3">
        <v>290.55</v>
      </c>
      <c r="Y33" s="1" t="s">
        <v>2133</v>
      </c>
      <c r="Z33" s="3">
        <v>290.55</v>
      </c>
      <c r="AA33" s="1" t="s">
        <v>2498</v>
      </c>
      <c r="AB33" s="3">
        <v>290.55</v>
      </c>
      <c r="AC33" s="1" t="s">
        <v>62</v>
      </c>
      <c r="AD33" s="3">
        <v>290.55</v>
      </c>
      <c r="AE33" s="1" t="s">
        <v>48</v>
      </c>
      <c r="AF33" s="3">
        <v>290.55</v>
      </c>
      <c r="AG33" s="1" t="s">
        <v>2499</v>
      </c>
      <c r="AH33" s="3">
        <v>290.55</v>
      </c>
      <c r="AI33" s="1" t="s">
        <v>2500</v>
      </c>
      <c r="AJ33" s="3">
        <v>290.55</v>
      </c>
      <c r="AK33" s="1" t="s">
        <v>2501</v>
      </c>
      <c r="AL33" s="3">
        <v>290.55</v>
      </c>
      <c r="AM33" s="1" t="s">
        <v>2502</v>
      </c>
      <c r="AN33" s="3">
        <v>290.55</v>
      </c>
      <c r="AO33" s="1" t="s">
        <v>2503</v>
      </c>
      <c r="AP33" s="3">
        <v>290.55</v>
      </c>
      <c r="AQ33" s="1" t="s">
        <v>2504</v>
      </c>
      <c r="AR33" s="3">
        <v>290.55</v>
      </c>
      <c r="AS33" s="1"/>
      <c r="AT33" s="1"/>
      <c r="AU33" s="1" t="s">
        <v>2505</v>
      </c>
      <c r="AV33" s="3">
        <v>290.55</v>
      </c>
      <c r="AW33" s="1" t="s">
        <v>2506</v>
      </c>
      <c r="AX33" s="3">
        <v>290.55</v>
      </c>
      <c r="AY33" s="1" t="s">
        <v>2507</v>
      </c>
      <c r="AZ33" s="3">
        <v>290.55</v>
      </c>
      <c r="BA33" s="1" t="s">
        <v>2508</v>
      </c>
      <c r="BB33" s="3">
        <v>290.55</v>
      </c>
      <c r="BC33" s="67" t="s">
        <v>2509</v>
      </c>
      <c r="BD33" s="67">
        <v>456.3</v>
      </c>
      <c r="BE33" s="67">
        <f t="shared" si="1"/>
        <v>2509.65</v>
      </c>
    </row>
    <row r="34">
      <c r="A34" s="1"/>
      <c r="B34" s="1"/>
      <c r="C34" s="1" t="s">
        <v>2510</v>
      </c>
      <c r="D34" s="3">
        <v>290.55</v>
      </c>
      <c r="E34" s="1"/>
      <c r="F34" s="1"/>
      <c r="G34" s="1" t="s">
        <v>2511</v>
      </c>
      <c r="H34" s="3">
        <v>290.55</v>
      </c>
      <c r="I34" s="1" t="s">
        <v>2512</v>
      </c>
      <c r="J34" s="3">
        <v>290.55</v>
      </c>
      <c r="K34" s="1" t="s">
        <v>2513</v>
      </c>
      <c r="L34" s="3">
        <v>290.55</v>
      </c>
      <c r="M34" s="1"/>
      <c r="N34" s="1"/>
      <c r="O34" s="1" t="s">
        <v>2514</v>
      </c>
      <c r="P34" s="3">
        <v>290.55</v>
      </c>
      <c r="Q34" s="1" t="s">
        <v>2515</v>
      </c>
      <c r="R34" s="3">
        <v>290.55</v>
      </c>
      <c r="S34" s="1" t="s">
        <v>2516</v>
      </c>
      <c r="T34" s="3">
        <v>290.55</v>
      </c>
      <c r="U34" s="1" t="s">
        <v>2517</v>
      </c>
      <c r="V34" s="3">
        <v>290.55</v>
      </c>
      <c r="W34" s="1" t="s">
        <v>2518</v>
      </c>
      <c r="X34" s="3">
        <v>290.55</v>
      </c>
      <c r="Y34" s="1" t="s">
        <v>2519</v>
      </c>
      <c r="Z34" s="3">
        <v>290.55</v>
      </c>
      <c r="AA34" s="1" t="s">
        <v>2520</v>
      </c>
      <c r="AB34" s="3">
        <v>290.55</v>
      </c>
      <c r="AC34" s="1" t="s">
        <v>2521</v>
      </c>
      <c r="AD34" s="3">
        <v>290.55</v>
      </c>
      <c r="AE34" s="1" t="s">
        <v>50</v>
      </c>
      <c r="AF34" s="3">
        <v>290.55</v>
      </c>
      <c r="AG34" s="1" t="s">
        <v>2446</v>
      </c>
      <c r="AH34" s="3">
        <v>290.55</v>
      </c>
      <c r="AI34" s="1" t="s">
        <v>2522</v>
      </c>
      <c r="AJ34" s="3">
        <v>290.55</v>
      </c>
      <c r="AK34" s="1" t="s">
        <v>2523</v>
      </c>
      <c r="AL34" s="3">
        <v>290.55</v>
      </c>
      <c r="AM34" s="1" t="s">
        <v>2524</v>
      </c>
      <c r="AN34" s="3">
        <v>290.55</v>
      </c>
      <c r="AO34" s="1" t="s">
        <v>2525</v>
      </c>
      <c r="AP34" s="3">
        <v>290.55</v>
      </c>
      <c r="AQ34" s="1" t="s">
        <v>2526</v>
      </c>
      <c r="AR34" s="3">
        <v>290.55</v>
      </c>
      <c r="AS34" s="1"/>
      <c r="AT34" s="1"/>
      <c r="AU34" s="1" t="s">
        <v>2527</v>
      </c>
      <c r="AV34" s="3">
        <v>290.55</v>
      </c>
      <c r="AW34" s="1" t="s">
        <v>2528</v>
      </c>
      <c r="AX34" s="3">
        <v>290.55</v>
      </c>
      <c r="AY34" s="1" t="s">
        <v>2529</v>
      </c>
      <c r="AZ34" s="3">
        <v>290.55</v>
      </c>
      <c r="BA34" s="1" t="s">
        <v>2530</v>
      </c>
      <c r="BB34" s="3">
        <v>290.55</v>
      </c>
      <c r="BC34" s="67" t="s">
        <v>2531</v>
      </c>
      <c r="BD34" s="67">
        <v>398.91</v>
      </c>
      <c r="BE34" s="67">
        <f t="shared" si="1"/>
        <v>2194.005</v>
      </c>
    </row>
    <row r="35">
      <c r="A35" s="1"/>
      <c r="B35" s="1"/>
      <c r="C35" s="1" t="s">
        <v>2532</v>
      </c>
      <c r="D35" s="3">
        <v>290.55</v>
      </c>
      <c r="E35" s="1"/>
      <c r="F35" s="1"/>
      <c r="G35" s="1" t="s">
        <v>2533</v>
      </c>
      <c r="H35" s="3">
        <v>290.55</v>
      </c>
      <c r="I35" s="1" t="s">
        <v>2534</v>
      </c>
      <c r="J35" s="3">
        <v>290.55</v>
      </c>
      <c r="K35" s="1" t="s">
        <v>2535</v>
      </c>
      <c r="L35" s="3">
        <v>290.55</v>
      </c>
      <c r="M35" s="1"/>
      <c r="N35" s="1"/>
      <c r="O35" s="1" t="s">
        <v>2536</v>
      </c>
      <c r="P35" s="3">
        <v>290.55</v>
      </c>
      <c r="Q35" s="1" t="s">
        <v>2537</v>
      </c>
      <c r="R35" s="3">
        <v>290.55</v>
      </c>
      <c r="S35" s="1" t="s">
        <v>2010</v>
      </c>
      <c r="T35" s="3">
        <v>290.55</v>
      </c>
      <c r="U35" s="1" t="s">
        <v>2538</v>
      </c>
      <c r="V35" s="3">
        <v>290.55</v>
      </c>
      <c r="W35" s="1" t="s">
        <v>2539</v>
      </c>
      <c r="X35" s="3">
        <v>290.55</v>
      </c>
      <c r="Y35" s="1" t="s">
        <v>2540</v>
      </c>
      <c r="Z35" s="3">
        <v>290.55</v>
      </c>
      <c r="AA35" s="1" t="s">
        <v>85</v>
      </c>
      <c r="AB35" s="3">
        <v>290.55</v>
      </c>
      <c r="AC35" s="1" t="s">
        <v>2541</v>
      </c>
      <c r="AD35" s="3">
        <v>290.55</v>
      </c>
      <c r="AE35" s="1" t="s">
        <v>51</v>
      </c>
      <c r="AF35" s="3">
        <v>290.55</v>
      </c>
      <c r="AG35" s="1" t="s">
        <v>2542</v>
      </c>
      <c r="AH35" s="3">
        <v>290.55</v>
      </c>
      <c r="AI35" s="1" t="s">
        <v>2543</v>
      </c>
      <c r="AJ35" s="3">
        <v>290.55</v>
      </c>
      <c r="AK35" s="1" t="s">
        <v>2544</v>
      </c>
      <c r="AL35" s="3">
        <v>290.55</v>
      </c>
      <c r="AM35" s="1" t="s">
        <v>2545</v>
      </c>
      <c r="AN35" s="3">
        <v>290.55</v>
      </c>
      <c r="AO35" s="1" t="s">
        <v>2546</v>
      </c>
      <c r="AP35" s="3">
        <v>290.55</v>
      </c>
      <c r="AQ35" s="1" t="s">
        <v>2547</v>
      </c>
      <c r="AR35" s="3">
        <v>290.55</v>
      </c>
      <c r="AS35" s="1"/>
      <c r="AT35" s="1"/>
      <c r="AU35" s="1" t="s">
        <v>2548</v>
      </c>
      <c r="AV35" s="3">
        <v>290.55</v>
      </c>
      <c r="AW35" s="1" t="s">
        <v>2549</v>
      </c>
      <c r="AX35" s="3">
        <v>290.55</v>
      </c>
      <c r="AY35" s="1" t="s">
        <v>2550</v>
      </c>
      <c r="AZ35" s="3">
        <v>290.55</v>
      </c>
      <c r="BA35" s="1" t="s">
        <v>2551</v>
      </c>
      <c r="BB35" s="3">
        <v>290.55</v>
      </c>
      <c r="BC35" s="67" t="s">
        <v>2552</v>
      </c>
      <c r="BD35" s="67">
        <v>385.32</v>
      </c>
      <c r="BE35" s="67">
        <f t="shared" si="1"/>
        <v>2119.26</v>
      </c>
    </row>
    <row r="36">
      <c r="A36" s="1"/>
      <c r="B36" s="1"/>
      <c r="C36" s="1" t="s">
        <v>2553</v>
      </c>
      <c r="D36" s="3">
        <v>290.55</v>
      </c>
      <c r="E36" s="1"/>
      <c r="F36" s="1"/>
      <c r="G36" s="1" t="s">
        <v>2554</v>
      </c>
      <c r="H36" s="3">
        <v>290.55</v>
      </c>
      <c r="I36" s="1" t="s">
        <v>2555</v>
      </c>
      <c r="J36" s="3">
        <v>290.55</v>
      </c>
      <c r="K36" s="1" t="s">
        <v>2556</v>
      </c>
      <c r="L36" s="3">
        <v>290.55</v>
      </c>
      <c r="M36" s="1"/>
      <c r="N36" s="1"/>
      <c r="O36" s="1" t="s">
        <v>2557</v>
      </c>
      <c r="P36" s="3">
        <v>290.55</v>
      </c>
      <c r="Q36" s="1" t="s">
        <v>2558</v>
      </c>
      <c r="R36" s="3">
        <v>290.55</v>
      </c>
      <c r="S36" s="1" t="s">
        <v>2559</v>
      </c>
      <c r="T36" s="3">
        <v>290.55</v>
      </c>
      <c r="U36" s="1" t="s">
        <v>2560</v>
      </c>
      <c r="V36" s="3">
        <v>290.55</v>
      </c>
      <c r="W36" s="1" t="s">
        <v>2561</v>
      </c>
      <c r="X36" s="3">
        <v>290.55</v>
      </c>
      <c r="Y36" s="1" t="s">
        <v>2562</v>
      </c>
      <c r="Z36" s="3">
        <v>290.55</v>
      </c>
      <c r="AA36" s="1" t="s">
        <v>2563</v>
      </c>
      <c r="AB36" s="3">
        <v>290.55</v>
      </c>
      <c r="AC36" s="1" t="s">
        <v>2564</v>
      </c>
      <c r="AD36" s="3">
        <v>290.55</v>
      </c>
      <c r="AE36" s="1" t="s">
        <v>52</v>
      </c>
      <c r="AF36" s="3">
        <v>290.55</v>
      </c>
      <c r="AG36" s="1" t="s">
        <v>2565</v>
      </c>
      <c r="AH36" s="3">
        <v>290.55</v>
      </c>
      <c r="AI36" s="1" t="s">
        <v>2566</v>
      </c>
      <c r="AJ36" s="3">
        <v>290.55</v>
      </c>
      <c r="AK36" s="1" t="s">
        <v>2567</v>
      </c>
      <c r="AL36" s="3">
        <v>290.55</v>
      </c>
      <c r="AM36" s="1" t="s">
        <v>2568</v>
      </c>
      <c r="AN36" s="3">
        <v>290.55</v>
      </c>
      <c r="AO36" s="1" t="s">
        <v>2569</v>
      </c>
      <c r="AP36" s="3">
        <v>290.55</v>
      </c>
      <c r="AQ36" s="1" t="s">
        <v>2570</v>
      </c>
      <c r="AR36" s="3">
        <v>290.55</v>
      </c>
      <c r="AS36" s="1"/>
      <c r="AT36" s="1"/>
      <c r="AU36" s="1" t="s">
        <v>2571</v>
      </c>
      <c r="AV36" s="3">
        <v>290.55</v>
      </c>
      <c r="AW36" s="1" t="s">
        <v>2572</v>
      </c>
      <c r="AX36" s="3">
        <v>290.55</v>
      </c>
      <c r="AY36" s="1" t="s">
        <v>2573</v>
      </c>
      <c r="AZ36" s="3">
        <v>290.55</v>
      </c>
      <c r="BA36" s="1" t="s">
        <v>2574</v>
      </c>
      <c r="BB36" s="3">
        <v>290.55</v>
      </c>
      <c r="BC36" s="67" t="s">
        <v>2575</v>
      </c>
      <c r="BD36" s="67">
        <v>385.32</v>
      </c>
      <c r="BE36" s="67">
        <f t="shared" si="1"/>
        <v>2119.26</v>
      </c>
    </row>
    <row r="37">
      <c r="A37" s="1"/>
      <c r="B37" s="1"/>
      <c r="C37" s="1" t="s">
        <v>2576</v>
      </c>
      <c r="D37" s="3">
        <v>290.55</v>
      </c>
      <c r="E37" s="1"/>
      <c r="F37" s="1"/>
      <c r="G37" s="1" t="s">
        <v>2577</v>
      </c>
      <c r="H37" s="3">
        <v>290.55</v>
      </c>
      <c r="I37" s="1" t="s">
        <v>2578</v>
      </c>
      <c r="J37" s="3">
        <v>290.55</v>
      </c>
      <c r="K37" s="1" t="s">
        <v>2579</v>
      </c>
      <c r="L37" s="3">
        <v>290.55</v>
      </c>
      <c r="M37" s="1"/>
      <c r="N37" s="1"/>
      <c r="O37" s="1" t="s">
        <v>2580</v>
      </c>
      <c r="P37" s="3">
        <v>290.55</v>
      </c>
      <c r="Q37" s="1" t="s">
        <v>2581</v>
      </c>
      <c r="R37" s="3">
        <v>290.55</v>
      </c>
      <c r="S37" s="1" t="s">
        <v>2582</v>
      </c>
      <c r="T37" s="3">
        <v>290.55</v>
      </c>
      <c r="U37" s="1" t="s">
        <v>2583</v>
      </c>
      <c r="V37" s="3">
        <v>290.55</v>
      </c>
      <c r="W37" s="1" t="s">
        <v>2584</v>
      </c>
      <c r="X37" s="3">
        <v>290.55</v>
      </c>
      <c r="Y37" s="1" t="s">
        <v>2585</v>
      </c>
      <c r="Z37" s="3">
        <v>290.55</v>
      </c>
      <c r="AA37" s="1" t="s">
        <v>2586</v>
      </c>
      <c r="AB37" s="3">
        <v>290.55</v>
      </c>
      <c r="AC37" s="1" t="s">
        <v>2587</v>
      </c>
      <c r="AD37" s="3">
        <v>290.55</v>
      </c>
      <c r="AE37" s="1" t="s">
        <v>53</v>
      </c>
      <c r="AF37" s="3">
        <v>290.55</v>
      </c>
      <c r="AG37" s="1" t="s">
        <v>2588</v>
      </c>
      <c r="AH37" s="3">
        <v>290.55</v>
      </c>
      <c r="AI37" s="1" t="s">
        <v>2589</v>
      </c>
      <c r="AJ37" s="3">
        <v>290.55</v>
      </c>
      <c r="AK37" s="1" t="s">
        <v>2590</v>
      </c>
      <c r="AL37" s="3">
        <v>290.55</v>
      </c>
      <c r="AM37" s="1" t="s">
        <v>2591</v>
      </c>
      <c r="AN37" s="3">
        <v>290.55</v>
      </c>
      <c r="AO37" s="1" t="s">
        <v>2592</v>
      </c>
      <c r="AP37" s="3">
        <v>290.55</v>
      </c>
      <c r="AQ37" s="1" t="s">
        <v>2593</v>
      </c>
      <c r="AR37" s="3">
        <v>290.55</v>
      </c>
      <c r="AS37" s="1"/>
      <c r="AT37" s="1"/>
      <c r="AU37" s="1" t="s">
        <v>2594</v>
      </c>
      <c r="AV37" s="3">
        <v>290.55</v>
      </c>
      <c r="AW37" s="1" t="s">
        <v>2595</v>
      </c>
      <c r="AX37" s="3">
        <v>290.55</v>
      </c>
      <c r="AY37" s="1" t="s">
        <v>2596</v>
      </c>
      <c r="AZ37" s="3">
        <v>290.55</v>
      </c>
      <c r="BA37" s="1" t="s">
        <v>2597</v>
      </c>
      <c r="BB37" s="3">
        <v>290.55</v>
      </c>
      <c r="BC37" s="67" t="s">
        <v>2598</v>
      </c>
      <c r="BD37" s="67">
        <v>456.3</v>
      </c>
      <c r="BE37" s="67">
        <f t="shared" si="1"/>
        <v>2509.65</v>
      </c>
    </row>
    <row r="38">
      <c r="A38" s="1"/>
      <c r="B38" s="1"/>
      <c r="C38" s="1" t="s">
        <v>2599</v>
      </c>
      <c r="D38" s="3">
        <v>290.55</v>
      </c>
      <c r="E38" s="1"/>
      <c r="F38" s="1"/>
      <c r="G38" s="1" t="s">
        <v>2600</v>
      </c>
      <c r="H38" s="3">
        <v>290.55</v>
      </c>
      <c r="I38" s="1" t="s">
        <v>2601</v>
      </c>
      <c r="J38" s="3">
        <v>290.55</v>
      </c>
      <c r="K38" s="1" t="s">
        <v>2602</v>
      </c>
      <c r="L38" s="3">
        <v>290.55</v>
      </c>
      <c r="M38" s="1"/>
      <c r="N38" s="1"/>
      <c r="O38" s="1" t="s">
        <v>2603</v>
      </c>
      <c r="P38" s="3">
        <v>290.55</v>
      </c>
      <c r="Q38" s="1" t="s">
        <v>2604</v>
      </c>
      <c r="R38" s="3">
        <v>290.55</v>
      </c>
      <c r="S38" s="1" t="s">
        <v>2605</v>
      </c>
      <c r="T38" s="3">
        <v>290.55</v>
      </c>
      <c r="U38" s="1" t="s">
        <v>2606</v>
      </c>
      <c r="V38" s="3">
        <v>290.55</v>
      </c>
      <c r="W38" s="1" t="s">
        <v>2607</v>
      </c>
      <c r="X38" s="3">
        <v>290.55</v>
      </c>
      <c r="Y38" s="1" t="s">
        <v>2608</v>
      </c>
      <c r="Z38" s="3">
        <v>290.55</v>
      </c>
      <c r="AA38" s="1" t="s">
        <v>2609</v>
      </c>
      <c r="AB38" s="3">
        <v>290.55</v>
      </c>
      <c r="AC38" s="1" t="s">
        <v>2610</v>
      </c>
      <c r="AD38" s="3">
        <v>290.55</v>
      </c>
      <c r="AE38" s="1" t="s">
        <v>54</v>
      </c>
      <c r="AF38" s="3">
        <v>290.55</v>
      </c>
      <c r="AG38" s="1" t="s">
        <v>2611</v>
      </c>
      <c r="AH38" s="3">
        <v>290.55</v>
      </c>
      <c r="AI38" s="1" t="s">
        <v>2612</v>
      </c>
      <c r="AJ38" s="3">
        <v>290.55</v>
      </c>
      <c r="AK38" s="1" t="s">
        <v>2613</v>
      </c>
      <c r="AL38" s="3">
        <v>290.55</v>
      </c>
      <c r="AM38" s="1" t="s">
        <v>2614</v>
      </c>
      <c r="AN38" s="3">
        <v>290.55</v>
      </c>
      <c r="AO38" s="1" t="s">
        <v>2615</v>
      </c>
      <c r="AP38" s="3">
        <v>290.55</v>
      </c>
      <c r="AQ38" s="1" t="s">
        <v>2616</v>
      </c>
      <c r="AR38" s="3">
        <v>371.26</v>
      </c>
      <c r="AS38" s="1"/>
      <c r="AT38" s="1"/>
      <c r="AU38" s="1" t="s">
        <v>2617</v>
      </c>
      <c r="AV38" s="3">
        <v>290.55</v>
      </c>
      <c r="AW38" s="1" t="s">
        <v>2618</v>
      </c>
      <c r="AX38" s="3">
        <v>290.55</v>
      </c>
      <c r="AY38" s="1" t="s">
        <v>2619</v>
      </c>
      <c r="AZ38" s="3">
        <v>290.55</v>
      </c>
      <c r="BA38" s="1" t="s">
        <v>2620</v>
      </c>
      <c r="BB38" s="3">
        <v>290.55</v>
      </c>
      <c r="BC38" s="67" t="s">
        <v>2621</v>
      </c>
      <c r="BD38" s="67">
        <v>385.32</v>
      </c>
      <c r="BE38" s="67">
        <f t="shared" si="1"/>
        <v>2119.26</v>
      </c>
    </row>
    <row r="39">
      <c r="A39" s="1"/>
      <c r="B39" s="1"/>
      <c r="C39" s="1" t="s">
        <v>2622</v>
      </c>
      <c r="D39" s="3">
        <v>290.55</v>
      </c>
      <c r="E39" s="1"/>
      <c r="F39" s="1"/>
      <c r="G39" s="1" t="s">
        <v>2623</v>
      </c>
      <c r="H39" s="3">
        <v>371.26</v>
      </c>
      <c r="I39" s="1" t="s">
        <v>2624</v>
      </c>
      <c r="J39" s="3">
        <v>290.55</v>
      </c>
      <c r="K39" s="1" t="s">
        <v>2625</v>
      </c>
      <c r="L39" s="3">
        <v>290.55</v>
      </c>
      <c r="M39" s="1"/>
      <c r="N39" s="1"/>
      <c r="O39" s="1" t="s">
        <v>2626</v>
      </c>
      <c r="P39" s="3">
        <v>290.55</v>
      </c>
      <c r="Q39" s="1" t="s">
        <v>2627</v>
      </c>
      <c r="R39" s="3">
        <v>290.55</v>
      </c>
      <c r="S39" s="1" t="s">
        <v>2628</v>
      </c>
      <c r="T39" s="3">
        <v>290.55</v>
      </c>
      <c r="U39" s="1" t="s">
        <v>2629</v>
      </c>
      <c r="V39" s="3">
        <v>290.55</v>
      </c>
      <c r="W39" s="1" t="s">
        <v>2630</v>
      </c>
      <c r="X39" s="3">
        <v>290.55</v>
      </c>
      <c r="Y39" s="1" t="s">
        <v>676</v>
      </c>
      <c r="Z39" s="3">
        <v>290.55</v>
      </c>
      <c r="AA39" s="1" t="s">
        <v>2631</v>
      </c>
      <c r="AB39" s="3">
        <v>290.55</v>
      </c>
      <c r="AC39" s="1" t="s">
        <v>2632</v>
      </c>
      <c r="AD39" s="3">
        <v>290.55</v>
      </c>
      <c r="AE39" s="1" t="s">
        <v>55</v>
      </c>
      <c r="AF39" s="3">
        <v>290.55</v>
      </c>
      <c r="AG39" s="1" t="s">
        <v>2633</v>
      </c>
      <c r="AH39" s="3">
        <v>290.55</v>
      </c>
      <c r="AI39" s="1" t="s">
        <v>2634</v>
      </c>
      <c r="AJ39" s="3">
        <v>290.55</v>
      </c>
      <c r="AK39" s="1" t="s">
        <v>518</v>
      </c>
      <c r="AL39" s="3">
        <v>290.55</v>
      </c>
      <c r="AM39" s="1" t="s">
        <v>2635</v>
      </c>
      <c r="AN39" s="3">
        <v>290.55</v>
      </c>
      <c r="AO39" s="1" t="s">
        <v>2636</v>
      </c>
      <c r="AP39" s="3">
        <v>290.55</v>
      </c>
      <c r="AQ39" s="1" t="s">
        <v>2637</v>
      </c>
      <c r="AR39" s="3">
        <v>290.55</v>
      </c>
      <c r="AS39" s="1"/>
      <c r="AT39" s="1"/>
      <c r="AU39" s="1" t="s">
        <v>2638</v>
      </c>
      <c r="AV39" s="3">
        <v>290.55</v>
      </c>
      <c r="AW39" s="1" t="s">
        <v>2639</v>
      </c>
      <c r="AX39" s="3">
        <v>290.55</v>
      </c>
      <c r="AY39" s="1" t="s">
        <v>2640</v>
      </c>
      <c r="AZ39" s="3">
        <v>290.55</v>
      </c>
      <c r="BA39" s="1" t="s">
        <v>2641</v>
      </c>
      <c r="BB39" s="3">
        <v>290.55</v>
      </c>
      <c r="BC39" s="67" t="s">
        <v>2642</v>
      </c>
      <c r="BD39" s="67">
        <v>385.32</v>
      </c>
      <c r="BE39" s="67">
        <f t="shared" si="1"/>
        <v>2119.26</v>
      </c>
    </row>
    <row r="40">
      <c r="A40" s="1"/>
      <c r="B40" s="1"/>
      <c r="C40" s="1" t="s">
        <v>2643</v>
      </c>
      <c r="D40" s="3">
        <v>290.55</v>
      </c>
      <c r="E40" s="1"/>
      <c r="F40" s="1"/>
      <c r="G40" s="1" t="s">
        <v>2644</v>
      </c>
      <c r="H40" s="3">
        <v>290.55</v>
      </c>
      <c r="I40" s="1" t="s">
        <v>2475</v>
      </c>
      <c r="J40" s="3">
        <v>290.55</v>
      </c>
      <c r="K40" s="1" t="s">
        <v>2645</v>
      </c>
      <c r="L40" s="3">
        <v>290.55</v>
      </c>
      <c r="M40" s="1"/>
      <c r="N40" s="1"/>
      <c r="O40" s="1" t="s">
        <v>2646</v>
      </c>
      <c r="P40" s="3">
        <v>290.55</v>
      </c>
      <c r="Q40" s="1" t="s">
        <v>2647</v>
      </c>
      <c r="R40" s="3">
        <v>290.55</v>
      </c>
      <c r="S40" s="1" t="s">
        <v>2648</v>
      </c>
      <c r="T40" s="3">
        <v>290.55</v>
      </c>
      <c r="U40" s="1" t="s">
        <v>2649</v>
      </c>
      <c r="V40" s="3">
        <v>371.26</v>
      </c>
      <c r="W40" s="1" t="s">
        <v>2650</v>
      </c>
      <c r="X40" s="3">
        <v>290.55</v>
      </c>
      <c r="Y40" s="1" t="s">
        <v>2651</v>
      </c>
      <c r="Z40" s="3">
        <v>290.55</v>
      </c>
      <c r="AA40" s="1" t="s">
        <v>2652</v>
      </c>
      <c r="AB40" s="3">
        <v>290.55</v>
      </c>
      <c r="AC40" s="1" t="s">
        <v>2653</v>
      </c>
      <c r="AD40" s="3">
        <v>290.55</v>
      </c>
      <c r="AE40" s="1" t="s">
        <v>57</v>
      </c>
      <c r="AF40" s="3">
        <v>290.55</v>
      </c>
      <c r="AG40" s="1" t="s">
        <v>2654</v>
      </c>
      <c r="AH40" s="3">
        <v>290.55</v>
      </c>
      <c r="AI40" s="1" t="s">
        <v>2655</v>
      </c>
      <c r="AJ40" s="3">
        <v>290.55</v>
      </c>
      <c r="AK40" s="1" t="s">
        <v>2656</v>
      </c>
      <c r="AL40" s="3">
        <v>290.55</v>
      </c>
      <c r="AM40" s="1" t="s">
        <v>2657</v>
      </c>
      <c r="AN40" s="3">
        <v>290.55</v>
      </c>
      <c r="AO40" s="1" t="s">
        <v>2658</v>
      </c>
      <c r="AP40" s="3">
        <v>290.55</v>
      </c>
      <c r="AQ40" s="1" t="s">
        <v>2659</v>
      </c>
      <c r="AR40" s="3">
        <v>290.55</v>
      </c>
      <c r="AS40" s="1"/>
      <c r="AT40" s="1"/>
      <c r="AU40" s="1" t="s">
        <v>1573</v>
      </c>
      <c r="AV40" s="3">
        <v>290.55</v>
      </c>
      <c r="AW40" s="1" t="s">
        <v>2660</v>
      </c>
      <c r="AX40" s="3">
        <v>290.55</v>
      </c>
      <c r="AY40" s="1" t="s">
        <v>2661</v>
      </c>
      <c r="AZ40" s="3">
        <v>290.55</v>
      </c>
      <c r="BA40" s="1" t="s">
        <v>2662</v>
      </c>
      <c r="BB40" s="3">
        <v>290.55</v>
      </c>
      <c r="BC40" s="67" t="s">
        <v>2663</v>
      </c>
      <c r="BD40" s="67">
        <v>456.3</v>
      </c>
      <c r="BE40" s="67">
        <f t="shared" si="1"/>
        <v>2509.65</v>
      </c>
    </row>
    <row r="41">
      <c r="A41" s="1"/>
      <c r="B41" s="1"/>
      <c r="C41" s="1" t="s">
        <v>2664</v>
      </c>
      <c r="D41" s="3">
        <v>290.55</v>
      </c>
      <c r="E41" s="1"/>
      <c r="F41" s="1"/>
      <c r="G41" s="1" t="s">
        <v>2665</v>
      </c>
      <c r="H41" s="3">
        <v>290.55</v>
      </c>
      <c r="I41" s="1" t="s">
        <v>2666</v>
      </c>
      <c r="J41" s="3">
        <v>290.55</v>
      </c>
      <c r="K41" s="1" t="s">
        <v>2667</v>
      </c>
      <c r="L41" s="3">
        <v>290.55</v>
      </c>
      <c r="M41" s="1"/>
      <c r="N41" s="1"/>
      <c r="O41" s="1" t="s">
        <v>2668</v>
      </c>
      <c r="P41" s="3">
        <v>290.55</v>
      </c>
      <c r="Q41" s="1" t="s">
        <v>2669</v>
      </c>
      <c r="R41" s="3">
        <v>290.55</v>
      </c>
      <c r="S41" s="1" t="s">
        <v>2670</v>
      </c>
      <c r="T41" s="3">
        <v>290.55</v>
      </c>
      <c r="U41" s="1" t="s">
        <v>2671</v>
      </c>
      <c r="V41" s="3">
        <v>290.55</v>
      </c>
      <c r="W41" s="1" t="s">
        <v>2672</v>
      </c>
      <c r="X41" s="3">
        <v>290.55</v>
      </c>
      <c r="Y41" s="1" t="s">
        <v>2673</v>
      </c>
      <c r="Z41" s="3">
        <v>290.55</v>
      </c>
      <c r="AA41" s="1" t="s">
        <v>2674</v>
      </c>
      <c r="AB41" s="3">
        <v>290.55</v>
      </c>
      <c r="AC41" s="1" t="s">
        <v>2675</v>
      </c>
      <c r="AD41" s="3">
        <v>290.55</v>
      </c>
      <c r="AE41" s="1" t="s">
        <v>59</v>
      </c>
      <c r="AF41" s="3">
        <v>290.55</v>
      </c>
      <c r="AG41" s="1" t="s">
        <v>2676</v>
      </c>
      <c r="AH41" s="3">
        <v>290.55</v>
      </c>
      <c r="AI41" s="1" t="s">
        <v>2677</v>
      </c>
      <c r="AJ41" s="3">
        <v>290.55</v>
      </c>
      <c r="AK41" s="1" t="s">
        <v>2678</v>
      </c>
      <c r="AL41" s="3">
        <v>290.55</v>
      </c>
      <c r="AM41" s="1" t="s">
        <v>50</v>
      </c>
      <c r="AN41" s="3">
        <v>290.55</v>
      </c>
      <c r="AO41" s="1" t="s">
        <v>2679</v>
      </c>
      <c r="AP41" s="3">
        <v>290.55</v>
      </c>
      <c r="AQ41" s="1" t="s">
        <v>2680</v>
      </c>
      <c r="AR41" s="3">
        <v>290.55</v>
      </c>
      <c r="AS41" s="1"/>
      <c r="AT41" s="1"/>
      <c r="AU41" s="1" t="s">
        <v>2681</v>
      </c>
      <c r="AV41" s="3">
        <v>290.55</v>
      </c>
      <c r="AW41" s="1" t="s">
        <v>2682</v>
      </c>
      <c r="AX41" s="3">
        <v>290.55</v>
      </c>
      <c r="AY41" s="1" t="s">
        <v>2683</v>
      </c>
      <c r="AZ41" s="3">
        <v>290.55</v>
      </c>
      <c r="BA41" s="1" t="s">
        <v>2684</v>
      </c>
      <c r="BB41" s="3">
        <v>290.55</v>
      </c>
      <c r="BC41" s="67" t="s">
        <v>2685</v>
      </c>
      <c r="BD41" s="67">
        <v>383.52</v>
      </c>
      <c r="BE41" s="67">
        <f t="shared" si="1"/>
        <v>2109.36</v>
      </c>
    </row>
    <row r="42">
      <c r="A42" s="1"/>
      <c r="B42" s="1"/>
      <c r="C42" s="1" t="s">
        <v>2686</v>
      </c>
      <c r="D42" s="3">
        <v>290.55</v>
      </c>
      <c r="E42" s="1"/>
      <c r="F42" s="1"/>
      <c r="G42" s="1" t="s">
        <v>2687</v>
      </c>
      <c r="H42" s="3">
        <v>290.55</v>
      </c>
      <c r="I42" s="1" t="s">
        <v>2688</v>
      </c>
      <c r="J42" s="3">
        <v>290.55</v>
      </c>
      <c r="K42" s="1" t="s">
        <v>23</v>
      </c>
      <c r="L42" s="3">
        <v>290.55</v>
      </c>
      <c r="M42" s="1"/>
      <c r="N42" s="1"/>
      <c r="O42" s="1" t="s">
        <v>2689</v>
      </c>
      <c r="P42" s="3">
        <v>290.55</v>
      </c>
      <c r="Q42" s="1" t="s">
        <v>2690</v>
      </c>
      <c r="R42" s="3">
        <v>290.55</v>
      </c>
      <c r="S42" s="1" t="s">
        <v>2691</v>
      </c>
      <c r="T42" s="3">
        <v>290.55</v>
      </c>
      <c r="U42" s="1" t="s">
        <v>2692</v>
      </c>
      <c r="V42" s="3">
        <v>290.55</v>
      </c>
      <c r="W42" s="1" t="s">
        <v>2693</v>
      </c>
      <c r="X42" s="3">
        <v>290.55</v>
      </c>
      <c r="Y42" s="1" t="s">
        <v>2694</v>
      </c>
      <c r="Z42" s="3">
        <v>290.55</v>
      </c>
      <c r="AA42" s="1" t="s">
        <v>2695</v>
      </c>
      <c r="AB42" s="3">
        <v>290.55</v>
      </c>
      <c r="AC42" s="1" t="s">
        <v>2696</v>
      </c>
      <c r="AD42" s="3">
        <v>290.55</v>
      </c>
      <c r="AE42" s="1" t="s">
        <v>60</v>
      </c>
      <c r="AF42" s="3">
        <v>290.55</v>
      </c>
      <c r="AG42" s="1" t="s">
        <v>2697</v>
      </c>
      <c r="AH42" s="3">
        <v>290.55</v>
      </c>
      <c r="AI42" s="1" t="s">
        <v>2698</v>
      </c>
      <c r="AJ42" s="3">
        <v>290.55</v>
      </c>
      <c r="AK42" s="1" t="s">
        <v>2699</v>
      </c>
      <c r="AL42" s="3">
        <v>290.55</v>
      </c>
      <c r="AM42" s="1" t="s">
        <v>2700</v>
      </c>
      <c r="AN42" s="3">
        <v>290.55</v>
      </c>
      <c r="AO42" s="1" t="s">
        <v>2701</v>
      </c>
      <c r="AP42" s="3">
        <v>290.55</v>
      </c>
      <c r="AQ42" s="1" t="s">
        <v>2702</v>
      </c>
      <c r="AR42" s="3">
        <v>290.55</v>
      </c>
      <c r="AS42" s="1"/>
      <c r="AT42" s="1"/>
      <c r="AU42" s="1" t="s">
        <v>2703</v>
      </c>
      <c r="AV42" s="3">
        <v>290.55</v>
      </c>
      <c r="AW42" s="1" t="s">
        <v>2704</v>
      </c>
      <c r="AX42" s="3">
        <v>290.55</v>
      </c>
      <c r="AY42" s="1" t="s">
        <v>2705</v>
      </c>
      <c r="AZ42" s="3">
        <v>290.55</v>
      </c>
      <c r="BA42" s="1" t="s">
        <v>2706</v>
      </c>
      <c r="BB42" s="3">
        <v>290.55</v>
      </c>
      <c r="BC42" s="67" t="s">
        <v>2707</v>
      </c>
      <c r="BD42" s="67">
        <v>385.32</v>
      </c>
      <c r="BE42" s="67">
        <f t="shared" si="1"/>
        <v>2119.26</v>
      </c>
    </row>
    <row r="43">
      <c r="A43" s="1"/>
      <c r="B43" s="1"/>
      <c r="C43" s="1" t="s">
        <v>2708</v>
      </c>
      <c r="D43" s="3">
        <v>290.55</v>
      </c>
      <c r="E43" s="1"/>
      <c r="F43" s="1"/>
      <c r="G43" s="1" t="s">
        <v>2709</v>
      </c>
      <c r="H43" s="3">
        <v>290.55</v>
      </c>
      <c r="I43" s="1" t="s">
        <v>2594</v>
      </c>
      <c r="J43" s="3">
        <v>290.55</v>
      </c>
      <c r="K43" s="1" t="s">
        <v>2710</v>
      </c>
      <c r="L43" s="3">
        <v>290.55</v>
      </c>
      <c r="M43" s="1"/>
      <c r="N43" s="1"/>
      <c r="O43" s="1" t="s">
        <v>2711</v>
      </c>
      <c r="P43" s="3">
        <v>290.55</v>
      </c>
      <c r="Q43" s="1" t="s">
        <v>2712</v>
      </c>
      <c r="R43" s="3">
        <v>290.55</v>
      </c>
      <c r="S43" s="1" t="s">
        <v>2713</v>
      </c>
      <c r="T43" s="3">
        <v>290.55</v>
      </c>
      <c r="U43" s="1" t="s">
        <v>2714</v>
      </c>
      <c r="V43" s="3">
        <v>290.55</v>
      </c>
      <c r="W43" s="1" t="s">
        <v>2715</v>
      </c>
      <c r="X43" s="3">
        <v>290.55</v>
      </c>
      <c r="Y43" s="1" t="s">
        <v>2716</v>
      </c>
      <c r="Z43" s="3">
        <v>290.55</v>
      </c>
      <c r="AA43" s="1" t="s">
        <v>2717</v>
      </c>
      <c r="AB43" s="3">
        <v>290.55</v>
      </c>
      <c r="AC43" s="1" t="s">
        <v>2718</v>
      </c>
      <c r="AD43" s="3">
        <v>290.55</v>
      </c>
      <c r="AE43" s="1" t="s">
        <v>61</v>
      </c>
      <c r="AF43" s="3">
        <v>290.55</v>
      </c>
      <c r="AG43" s="1" t="s">
        <v>2719</v>
      </c>
      <c r="AH43" s="3">
        <v>290.55</v>
      </c>
      <c r="AI43" s="1" t="s">
        <v>2720</v>
      </c>
      <c r="AJ43" s="3">
        <v>290.55</v>
      </c>
      <c r="AK43" s="1" t="s">
        <v>2721</v>
      </c>
      <c r="AL43" s="3">
        <v>290.55</v>
      </c>
      <c r="AM43" s="1" t="s">
        <v>2722</v>
      </c>
      <c r="AN43" s="3">
        <v>290.55</v>
      </c>
      <c r="AO43" s="1" t="s">
        <v>2723</v>
      </c>
      <c r="AP43" s="3">
        <v>290.55</v>
      </c>
      <c r="AQ43" s="1" t="s">
        <v>2724</v>
      </c>
      <c r="AR43" s="3">
        <v>290.55</v>
      </c>
      <c r="AS43" s="1"/>
      <c r="AT43" s="1"/>
      <c r="AU43" s="1" t="s">
        <v>2199</v>
      </c>
      <c r="AV43" s="3">
        <v>290.55</v>
      </c>
      <c r="AW43" s="1" t="s">
        <v>2725</v>
      </c>
      <c r="AX43" s="3">
        <v>290.55</v>
      </c>
      <c r="AY43" s="1" t="s">
        <v>2726</v>
      </c>
      <c r="AZ43" s="3">
        <v>290.55</v>
      </c>
      <c r="BA43" s="1" t="s">
        <v>2727</v>
      </c>
      <c r="BB43" s="3">
        <v>290.55</v>
      </c>
      <c r="BC43" s="67" t="s">
        <v>2728</v>
      </c>
      <c r="BD43" s="67">
        <v>398.91</v>
      </c>
      <c r="BE43" s="67">
        <f t="shared" si="1"/>
        <v>2194.005</v>
      </c>
    </row>
    <row r="44">
      <c r="A44" s="1"/>
      <c r="B44" s="1"/>
      <c r="C44" s="1" t="s">
        <v>2729</v>
      </c>
      <c r="D44" s="3">
        <v>290.55</v>
      </c>
      <c r="E44" s="1"/>
      <c r="F44" s="1"/>
      <c r="G44" s="1" t="s">
        <v>2730</v>
      </c>
      <c r="H44" s="3">
        <v>290.55</v>
      </c>
      <c r="I44" s="1" t="s">
        <v>2731</v>
      </c>
      <c r="J44" s="3">
        <v>290.55</v>
      </c>
      <c r="K44" s="1" t="s">
        <v>2732</v>
      </c>
      <c r="L44" s="3">
        <v>290.55</v>
      </c>
      <c r="M44" s="1"/>
      <c r="N44" s="1"/>
      <c r="O44" s="1" t="s">
        <v>2733</v>
      </c>
      <c r="P44" s="3">
        <v>290.55</v>
      </c>
      <c r="Q44" s="1" t="s">
        <v>2734</v>
      </c>
      <c r="R44" s="3">
        <v>290.55</v>
      </c>
      <c r="S44" s="1" t="s">
        <v>2735</v>
      </c>
      <c r="T44" s="3">
        <v>290.55</v>
      </c>
      <c r="U44" s="1" t="s">
        <v>2736</v>
      </c>
      <c r="V44" s="3">
        <v>290.55</v>
      </c>
      <c r="W44" s="1" t="s">
        <v>2737</v>
      </c>
      <c r="X44" s="3">
        <v>290.55</v>
      </c>
      <c r="Y44" s="1" t="s">
        <v>2738</v>
      </c>
      <c r="Z44" s="3">
        <v>290.55</v>
      </c>
      <c r="AA44" s="1" t="s">
        <v>2739</v>
      </c>
      <c r="AB44" s="3">
        <v>290.55</v>
      </c>
      <c r="AC44" s="1" t="s">
        <v>2740</v>
      </c>
      <c r="AD44" s="3">
        <v>290.55</v>
      </c>
      <c r="AE44" s="1" t="s">
        <v>62</v>
      </c>
      <c r="AF44" s="3">
        <v>290.55</v>
      </c>
      <c r="AG44" s="1" t="s">
        <v>2741</v>
      </c>
      <c r="AH44" s="3">
        <v>290.55</v>
      </c>
      <c r="AI44" s="1" t="s">
        <v>2742</v>
      </c>
      <c r="AJ44" s="3">
        <v>290.55</v>
      </c>
      <c r="AK44" s="1" t="s">
        <v>2743</v>
      </c>
      <c r="AL44" s="3">
        <v>290.55</v>
      </c>
      <c r="AM44" s="1" t="s">
        <v>1545</v>
      </c>
      <c r="AN44" s="3">
        <v>290.55</v>
      </c>
      <c r="AO44" s="1" t="s">
        <v>2744</v>
      </c>
      <c r="AP44" s="3">
        <v>290.55</v>
      </c>
      <c r="AQ44" s="1" t="s">
        <v>2745</v>
      </c>
      <c r="AR44" s="3">
        <v>290.55</v>
      </c>
      <c r="AS44" s="1"/>
      <c r="AT44" s="1"/>
      <c r="AU44" s="1" t="s">
        <v>2746</v>
      </c>
      <c r="AV44" s="3">
        <v>290.55</v>
      </c>
      <c r="AW44" s="1" t="s">
        <v>2747</v>
      </c>
      <c r="AX44" s="3">
        <v>290.55</v>
      </c>
      <c r="AY44" s="1" t="s">
        <v>2748</v>
      </c>
      <c r="AZ44" s="3">
        <v>290.55</v>
      </c>
      <c r="BA44" s="1" t="s">
        <v>2749</v>
      </c>
      <c r="BB44" s="3">
        <v>290.55</v>
      </c>
      <c r="BC44" s="67" t="s">
        <v>2728</v>
      </c>
      <c r="BD44" s="67">
        <v>456.3</v>
      </c>
      <c r="BE44" s="67">
        <f t="shared" si="1"/>
        <v>2509.65</v>
      </c>
    </row>
    <row r="45">
      <c r="A45" s="1"/>
      <c r="B45" s="1"/>
      <c r="C45" s="1" t="s">
        <v>2750</v>
      </c>
      <c r="D45" s="3">
        <v>290.55</v>
      </c>
      <c r="E45" s="1"/>
      <c r="F45" s="1"/>
      <c r="G45" s="1" t="s">
        <v>2751</v>
      </c>
      <c r="H45" s="3">
        <v>290.55</v>
      </c>
      <c r="I45" s="1" t="s">
        <v>2752</v>
      </c>
      <c r="J45" s="3">
        <v>290.55</v>
      </c>
      <c r="K45" s="1" t="s">
        <v>2753</v>
      </c>
      <c r="L45" s="3">
        <v>290.55</v>
      </c>
      <c r="M45" s="1"/>
      <c r="N45" s="1"/>
      <c r="O45" s="1" t="s">
        <v>2754</v>
      </c>
      <c r="P45" s="3">
        <v>290.55</v>
      </c>
      <c r="Q45" s="1" t="s">
        <v>2755</v>
      </c>
      <c r="R45" s="3">
        <v>290.55</v>
      </c>
      <c r="S45" s="1" t="s">
        <v>2756</v>
      </c>
      <c r="T45" s="3">
        <v>290.55</v>
      </c>
      <c r="U45" s="1" t="s">
        <v>2757</v>
      </c>
      <c r="V45" s="3">
        <v>290.55</v>
      </c>
      <c r="W45" s="1" t="s">
        <v>2758</v>
      </c>
      <c r="X45" s="3">
        <v>290.55</v>
      </c>
      <c r="Y45" s="1" t="s">
        <v>2759</v>
      </c>
      <c r="Z45" s="3">
        <v>290.55</v>
      </c>
      <c r="AA45" s="1" t="s">
        <v>2760</v>
      </c>
      <c r="AB45" s="3">
        <v>290.55</v>
      </c>
      <c r="AC45" s="1" t="s">
        <v>2761</v>
      </c>
      <c r="AD45" s="3">
        <v>290.55</v>
      </c>
      <c r="AE45" s="1" t="s">
        <v>63</v>
      </c>
      <c r="AF45" s="3">
        <v>290.55</v>
      </c>
      <c r="AG45" s="1" t="s">
        <v>2762</v>
      </c>
      <c r="AH45" s="3">
        <v>290.55</v>
      </c>
      <c r="AI45" s="1" t="s">
        <v>2763</v>
      </c>
      <c r="AJ45" s="3">
        <v>290.55</v>
      </c>
      <c r="AK45" s="1" t="s">
        <v>2764</v>
      </c>
      <c r="AL45" s="3">
        <v>290.55</v>
      </c>
      <c r="AM45" s="1" t="s">
        <v>2765</v>
      </c>
      <c r="AN45" s="3">
        <v>290.55</v>
      </c>
      <c r="AO45" s="1" t="s">
        <v>2766</v>
      </c>
      <c r="AP45" s="3">
        <v>290.55</v>
      </c>
      <c r="AQ45" s="1" t="s">
        <v>2767</v>
      </c>
      <c r="AR45" s="3">
        <v>290.55</v>
      </c>
      <c r="AS45" s="1"/>
      <c r="AT45" s="1"/>
      <c r="AU45" s="1" t="s">
        <v>2768</v>
      </c>
      <c r="AV45" s="3">
        <v>290.55</v>
      </c>
      <c r="AW45" s="1" t="s">
        <v>2769</v>
      </c>
      <c r="AX45" s="3">
        <v>290.55</v>
      </c>
      <c r="AY45" s="1" t="s">
        <v>2770</v>
      </c>
      <c r="AZ45" s="3">
        <v>290.55</v>
      </c>
      <c r="BA45" s="1" t="s">
        <v>2771</v>
      </c>
      <c r="BB45" s="3">
        <v>290.55</v>
      </c>
      <c r="BC45" s="67" t="s">
        <v>2772</v>
      </c>
      <c r="BD45" s="67">
        <v>385.32</v>
      </c>
      <c r="BE45" s="67">
        <f t="shared" si="1"/>
        <v>2119.26</v>
      </c>
    </row>
    <row r="46">
      <c r="A46" s="1"/>
      <c r="B46" s="1"/>
      <c r="C46" s="1" t="s">
        <v>2773</v>
      </c>
      <c r="D46" s="3">
        <v>290.55</v>
      </c>
      <c r="E46" s="1"/>
      <c r="F46" s="1"/>
      <c r="G46" s="1" t="s">
        <v>2774</v>
      </c>
      <c r="H46" s="3">
        <v>290.55</v>
      </c>
      <c r="I46" s="1" t="s">
        <v>2775</v>
      </c>
      <c r="J46" s="3">
        <v>290.55</v>
      </c>
      <c r="K46" s="1" t="s">
        <v>2776</v>
      </c>
      <c r="L46" s="3">
        <v>290.55</v>
      </c>
      <c r="M46" s="1"/>
      <c r="N46" s="1"/>
      <c r="O46" s="1" t="s">
        <v>2777</v>
      </c>
      <c r="P46" s="3">
        <v>290.55</v>
      </c>
      <c r="Q46" s="1" t="s">
        <v>2778</v>
      </c>
      <c r="R46" s="3">
        <v>290.55</v>
      </c>
      <c r="S46" s="1" t="s">
        <v>2779</v>
      </c>
      <c r="T46" s="3">
        <v>290.55</v>
      </c>
      <c r="U46" s="1" t="s">
        <v>2780</v>
      </c>
      <c r="V46" s="3">
        <v>290.55</v>
      </c>
      <c r="W46" s="1" t="s">
        <v>2781</v>
      </c>
      <c r="X46" s="3">
        <v>290.55</v>
      </c>
      <c r="Y46" s="1" t="s">
        <v>2782</v>
      </c>
      <c r="Z46" s="3">
        <v>290.55</v>
      </c>
      <c r="AA46" s="1" t="s">
        <v>2783</v>
      </c>
      <c r="AB46" s="3">
        <v>290.55</v>
      </c>
      <c r="AC46" s="1" t="s">
        <v>2784</v>
      </c>
      <c r="AD46" s="3">
        <v>290.55</v>
      </c>
      <c r="AE46" s="1" t="s">
        <v>65</v>
      </c>
      <c r="AF46" s="3">
        <v>290.55</v>
      </c>
      <c r="AG46" s="1" t="s">
        <v>2785</v>
      </c>
      <c r="AH46" s="3">
        <v>290.55</v>
      </c>
      <c r="AI46" s="1" t="s">
        <v>2786</v>
      </c>
      <c r="AJ46" s="3">
        <v>290.55</v>
      </c>
      <c r="AK46" s="1" t="s">
        <v>2787</v>
      </c>
      <c r="AL46" s="3">
        <v>290.55</v>
      </c>
      <c r="AM46" s="1" t="s">
        <v>2788</v>
      </c>
      <c r="AN46" s="3">
        <v>290.55</v>
      </c>
      <c r="AO46" s="1" t="s">
        <v>2789</v>
      </c>
      <c r="AP46" s="3">
        <v>290.55</v>
      </c>
      <c r="AQ46" s="1" t="s">
        <v>2790</v>
      </c>
      <c r="AR46" s="3">
        <v>290.55</v>
      </c>
      <c r="AS46" s="1"/>
      <c r="AT46" s="1"/>
      <c r="AU46" s="1" t="s">
        <v>2791</v>
      </c>
      <c r="AV46" s="3">
        <v>290.55</v>
      </c>
      <c r="AW46" s="1" t="s">
        <v>2792</v>
      </c>
      <c r="AX46" s="3">
        <v>290.55</v>
      </c>
      <c r="AY46" s="1" t="s">
        <v>2793</v>
      </c>
      <c r="AZ46" s="3">
        <v>290.55</v>
      </c>
      <c r="BA46" s="1" t="s">
        <v>2794</v>
      </c>
      <c r="BB46" s="3">
        <v>290.55</v>
      </c>
      <c r="BC46" s="67" t="s">
        <v>591</v>
      </c>
      <c r="BD46" s="67">
        <v>295.09</v>
      </c>
      <c r="BE46" s="67">
        <f t="shared" si="1"/>
        <v>1622.995</v>
      </c>
    </row>
    <row r="47">
      <c r="A47" s="1"/>
      <c r="B47" s="1"/>
      <c r="C47" s="1" t="s">
        <v>2795</v>
      </c>
      <c r="D47" s="3">
        <v>290.55</v>
      </c>
      <c r="E47" s="1"/>
      <c r="F47" s="1"/>
      <c r="G47" s="1" t="s">
        <v>2796</v>
      </c>
      <c r="H47" s="3">
        <v>290.55</v>
      </c>
      <c r="I47" s="1" t="s">
        <v>2797</v>
      </c>
      <c r="J47" s="3">
        <v>290.55</v>
      </c>
      <c r="K47" s="1" t="s">
        <v>2798</v>
      </c>
      <c r="L47" s="3">
        <v>290.55</v>
      </c>
      <c r="M47" s="1"/>
      <c r="N47" s="1"/>
      <c r="O47" s="1" t="s">
        <v>2799</v>
      </c>
      <c r="P47" s="3">
        <v>290.55</v>
      </c>
      <c r="Q47" s="1" t="s">
        <v>2800</v>
      </c>
      <c r="R47" s="3">
        <v>290.55</v>
      </c>
      <c r="S47" s="1" t="s">
        <v>2801</v>
      </c>
      <c r="T47" s="3">
        <v>290.55</v>
      </c>
      <c r="U47" s="1" t="s">
        <v>2802</v>
      </c>
      <c r="V47" s="3">
        <v>290.55</v>
      </c>
      <c r="W47" s="1" t="s">
        <v>2803</v>
      </c>
      <c r="X47" s="3">
        <v>290.55</v>
      </c>
      <c r="Y47" s="1" t="s">
        <v>2804</v>
      </c>
      <c r="Z47" s="3">
        <v>290.55</v>
      </c>
      <c r="AA47" s="1" t="s">
        <v>2805</v>
      </c>
      <c r="AB47" s="3">
        <v>290.55</v>
      </c>
      <c r="AC47" s="1" t="s">
        <v>2806</v>
      </c>
      <c r="AD47" s="3">
        <v>290.55</v>
      </c>
      <c r="AE47" s="1" t="s">
        <v>66</v>
      </c>
      <c r="AF47" s="3">
        <v>290.55</v>
      </c>
      <c r="AG47" s="1" t="s">
        <v>2807</v>
      </c>
      <c r="AH47" s="3">
        <v>290.55</v>
      </c>
      <c r="AI47" s="1" t="s">
        <v>2808</v>
      </c>
      <c r="AJ47" s="3">
        <v>290.55</v>
      </c>
      <c r="AK47" s="1" t="s">
        <v>2809</v>
      </c>
      <c r="AL47" s="3">
        <v>290.55</v>
      </c>
      <c r="AM47" s="1" t="s">
        <v>2810</v>
      </c>
      <c r="AN47" s="3">
        <v>290.55</v>
      </c>
      <c r="AO47" s="1" t="s">
        <v>2811</v>
      </c>
      <c r="AP47" s="3">
        <v>290.55</v>
      </c>
      <c r="AQ47" s="1" t="s">
        <v>2812</v>
      </c>
      <c r="AR47" s="3">
        <v>290.55</v>
      </c>
      <c r="AS47" s="1"/>
      <c r="AT47" s="1"/>
      <c r="AU47" s="1" t="s">
        <v>2813</v>
      </c>
      <c r="AV47" s="3">
        <v>290.55</v>
      </c>
      <c r="AW47" s="1" t="s">
        <v>2814</v>
      </c>
      <c r="AX47" s="3">
        <v>290.55</v>
      </c>
      <c r="AY47" s="1" t="s">
        <v>2815</v>
      </c>
      <c r="AZ47" s="3">
        <v>290.55</v>
      </c>
      <c r="BA47" s="1" t="s">
        <v>2816</v>
      </c>
      <c r="BB47" s="3">
        <v>290.55</v>
      </c>
      <c r="BC47" s="67" t="s">
        <v>2817</v>
      </c>
      <c r="BD47" s="67">
        <v>456.3</v>
      </c>
      <c r="BE47" s="67">
        <f t="shared" si="1"/>
        <v>2509.65</v>
      </c>
    </row>
    <row r="48">
      <c r="A48" s="1"/>
      <c r="B48" s="1"/>
      <c r="C48" s="1" t="s">
        <v>450</v>
      </c>
      <c r="D48" s="3">
        <v>371.26</v>
      </c>
      <c r="E48" s="1"/>
      <c r="F48" s="1"/>
      <c r="G48" s="1" t="s">
        <v>2818</v>
      </c>
      <c r="H48" s="3">
        <v>290.55</v>
      </c>
      <c r="I48" s="1" t="s">
        <v>2819</v>
      </c>
      <c r="J48" s="3">
        <v>290.55</v>
      </c>
      <c r="K48" s="1" t="s">
        <v>2820</v>
      </c>
      <c r="L48" s="3">
        <v>290.55</v>
      </c>
      <c r="M48" s="1"/>
      <c r="N48" s="1"/>
      <c r="O48" s="1" t="s">
        <v>2821</v>
      </c>
      <c r="P48" s="3">
        <v>290.55</v>
      </c>
      <c r="Q48" s="1" t="s">
        <v>2822</v>
      </c>
      <c r="R48" s="3">
        <v>290.55</v>
      </c>
      <c r="S48" s="1" t="s">
        <v>2823</v>
      </c>
      <c r="T48" s="3">
        <v>290.55</v>
      </c>
      <c r="U48" s="1" t="s">
        <v>141</v>
      </c>
      <c r="V48" s="3">
        <v>290.55</v>
      </c>
      <c r="W48" s="1" t="s">
        <v>2824</v>
      </c>
      <c r="X48" s="3">
        <v>290.55</v>
      </c>
      <c r="Y48" s="1" t="s">
        <v>2825</v>
      </c>
      <c r="Z48" s="3">
        <v>290.55</v>
      </c>
      <c r="AA48" s="1" t="s">
        <v>2826</v>
      </c>
      <c r="AB48" s="3">
        <v>290.55</v>
      </c>
      <c r="AC48" s="1" t="s">
        <v>2827</v>
      </c>
      <c r="AD48" s="3">
        <v>290.55</v>
      </c>
      <c r="AE48" s="1" t="s">
        <v>67</v>
      </c>
      <c r="AF48" s="3">
        <v>290.55</v>
      </c>
      <c r="AG48" s="1" t="s">
        <v>2828</v>
      </c>
      <c r="AH48" s="3">
        <v>290.55</v>
      </c>
      <c r="AI48" s="1" t="s">
        <v>2829</v>
      </c>
      <c r="AJ48" s="3">
        <v>290.55</v>
      </c>
      <c r="AK48" s="1" t="s">
        <v>2830</v>
      </c>
      <c r="AL48" s="3">
        <v>290.55</v>
      </c>
      <c r="AM48" s="1" t="s">
        <v>2831</v>
      </c>
      <c r="AN48" s="3">
        <v>290.55</v>
      </c>
      <c r="AO48" s="1" t="s">
        <v>2832</v>
      </c>
      <c r="AP48" s="3">
        <v>290.55</v>
      </c>
      <c r="AQ48" s="1" t="s">
        <v>2833</v>
      </c>
      <c r="AR48" s="3">
        <v>290.55</v>
      </c>
      <c r="AS48" s="1"/>
      <c r="AT48" s="1"/>
      <c r="AU48" s="1" t="s">
        <v>2834</v>
      </c>
      <c r="AV48" s="3">
        <v>290.55</v>
      </c>
      <c r="AW48" s="1" t="s">
        <v>2835</v>
      </c>
      <c r="AX48" s="3">
        <v>290.55</v>
      </c>
      <c r="AY48" s="1" t="s">
        <v>2836</v>
      </c>
      <c r="AZ48" s="3">
        <v>290.55</v>
      </c>
      <c r="BA48" s="1" t="s">
        <v>2837</v>
      </c>
      <c r="BB48" s="3">
        <v>290.55</v>
      </c>
      <c r="BC48" s="67" t="s">
        <v>2838</v>
      </c>
      <c r="BD48" s="67">
        <v>398.91</v>
      </c>
      <c r="BE48" s="67">
        <f t="shared" si="1"/>
        <v>2194.005</v>
      </c>
    </row>
    <row r="49">
      <c r="A49" s="1"/>
      <c r="B49" s="1"/>
      <c r="C49" s="1" t="s">
        <v>2839</v>
      </c>
      <c r="D49" s="3">
        <v>290.55</v>
      </c>
      <c r="E49" s="1"/>
      <c r="F49" s="1"/>
      <c r="G49" s="1" t="s">
        <v>2840</v>
      </c>
      <c r="H49" s="3">
        <v>290.55</v>
      </c>
      <c r="I49" s="1" t="s">
        <v>2841</v>
      </c>
      <c r="J49" s="3">
        <v>290.55</v>
      </c>
      <c r="K49" s="1" t="s">
        <v>2842</v>
      </c>
      <c r="L49" s="3">
        <v>290.55</v>
      </c>
      <c r="M49" s="1"/>
      <c r="N49" s="1"/>
      <c r="O49" s="1" t="s">
        <v>2843</v>
      </c>
      <c r="P49" s="3">
        <v>290.55</v>
      </c>
      <c r="Q49" s="1" t="s">
        <v>2844</v>
      </c>
      <c r="R49" s="3">
        <v>290.55</v>
      </c>
      <c r="S49" s="1" t="s">
        <v>2845</v>
      </c>
      <c r="T49" s="3">
        <v>290.55</v>
      </c>
      <c r="U49" s="1" t="s">
        <v>2846</v>
      </c>
      <c r="V49" s="3">
        <v>290.55</v>
      </c>
      <c r="W49" s="1" t="s">
        <v>2847</v>
      </c>
      <c r="X49" s="3">
        <v>290.55</v>
      </c>
      <c r="Y49" s="1" t="s">
        <v>2848</v>
      </c>
      <c r="Z49" s="3">
        <v>290.55</v>
      </c>
      <c r="AA49" s="1" t="s">
        <v>2849</v>
      </c>
      <c r="AB49" s="3">
        <v>290.55</v>
      </c>
      <c r="AC49" s="1" t="s">
        <v>2850</v>
      </c>
      <c r="AD49" s="3">
        <v>290.55</v>
      </c>
      <c r="AE49" s="1" t="s">
        <v>68</v>
      </c>
      <c r="AF49" s="3">
        <v>290.55</v>
      </c>
      <c r="AG49" s="1" t="s">
        <v>2776</v>
      </c>
      <c r="AH49" s="3">
        <v>290.55</v>
      </c>
      <c r="AI49" s="1" t="s">
        <v>2851</v>
      </c>
      <c r="AJ49" s="3">
        <v>290.55</v>
      </c>
      <c r="AK49" s="1" t="s">
        <v>2852</v>
      </c>
      <c r="AL49" s="3">
        <v>290.55</v>
      </c>
      <c r="AM49" s="1" t="s">
        <v>2853</v>
      </c>
      <c r="AN49" s="3">
        <v>290.55</v>
      </c>
      <c r="AO49" s="1" t="s">
        <v>2854</v>
      </c>
      <c r="AP49" s="3">
        <v>290.55</v>
      </c>
      <c r="AQ49" s="1" t="s">
        <v>2855</v>
      </c>
      <c r="AR49" s="3">
        <v>290.55</v>
      </c>
      <c r="AS49" s="1"/>
      <c r="AT49" s="1"/>
      <c r="AU49" s="1" t="s">
        <v>2856</v>
      </c>
      <c r="AV49" s="3">
        <v>290.55</v>
      </c>
      <c r="AW49" s="1" t="s">
        <v>1698</v>
      </c>
      <c r="AX49" s="3">
        <v>290.55</v>
      </c>
      <c r="AY49" s="1" t="s">
        <v>2857</v>
      </c>
      <c r="AZ49" s="3">
        <v>290.55</v>
      </c>
      <c r="BA49" s="1" t="s">
        <v>2858</v>
      </c>
      <c r="BB49" s="3">
        <v>290.55</v>
      </c>
      <c r="BC49" s="67" t="s">
        <v>2838</v>
      </c>
      <c r="BD49" s="67">
        <v>456.3</v>
      </c>
      <c r="BE49" s="67">
        <f t="shared" si="1"/>
        <v>2509.65</v>
      </c>
    </row>
    <row r="50">
      <c r="A50" s="1"/>
      <c r="B50" s="1"/>
      <c r="C50" s="1" t="s">
        <v>2859</v>
      </c>
      <c r="D50" s="3">
        <v>290.55</v>
      </c>
      <c r="E50" s="1"/>
      <c r="F50" s="1"/>
      <c r="G50" s="1" t="s">
        <v>2860</v>
      </c>
      <c r="H50" s="3">
        <v>290.55</v>
      </c>
      <c r="I50" s="1" t="s">
        <v>2861</v>
      </c>
      <c r="J50" s="3">
        <v>290.55</v>
      </c>
      <c r="K50" s="1" t="s">
        <v>2862</v>
      </c>
      <c r="L50" s="3">
        <v>290.55</v>
      </c>
      <c r="M50" s="1"/>
      <c r="N50" s="1"/>
      <c r="O50" s="1" t="s">
        <v>2863</v>
      </c>
      <c r="P50" s="3">
        <v>290.55</v>
      </c>
      <c r="Q50" s="1" t="s">
        <v>2864</v>
      </c>
      <c r="R50" s="3">
        <v>290.55</v>
      </c>
      <c r="S50" s="1" t="s">
        <v>2865</v>
      </c>
      <c r="T50" s="3">
        <v>290.55</v>
      </c>
      <c r="U50" s="1" t="s">
        <v>2866</v>
      </c>
      <c r="V50" s="3">
        <v>290.55</v>
      </c>
      <c r="W50" s="1" t="s">
        <v>2867</v>
      </c>
      <c r="X50" s="3">
        <v>290.55</v>
      </c>
      <c r="Y50" s="1" t="s">
        <v>2868</v>
      </c>
      <c r="Z50" s="3">
        <v>290.55</v>
      </c>
      <c r="AA50" s="1" t="s">
        <v>2869</v>
      </c>
      <c r="AB50" s="3">
        <v>290.55</v>
      </c>
      <c r="AC50" s="1" t="s">
        <v>2870</v>
      </c>
      <c r="AD50" s="3">
        <v>290.55</v>
      </c>
      <c r="AE50" s="1" t="s">
        <v>69</v>
      </c>
      <c r="AF50" s="3">
        <v>290.55</v>
      </c>
      <c r="AG50" s="1" t="s">
        <v>2871</v>
      </c>
      <c r="AH50" s="3">
        <v>290.55</v>
      </c>
      <c r="AI50" s="1" t="s">
        <v>2872</v>
      </c>
      <c r="AJ50" s="3">
        <v>290.55</v>
      </c>
      <c r="AK50" s="1" t="s">
        <v>2873</v>
      </c>
      <c r="AL50" s="3">
        <v>290.55</v>
      </c>
      <c r="AM50" s="1" t="s">
        <v>2199</v>
      </c>
      <c r="AN50" s="3">
        <v>290.55</v>
      </c>
      <c r="AO50" s="1" t="s">
        <v>2874</v>
      </c>
      <c r="AP50" s="3">
        <v>290.55</v>
      </c>
      <c r="AQ50" s="1" t="s">
        <v>2875</v>
      </c>
      <c r="AR50" s="3">
        <v>290.55</v>
      </c>
      <c r="AS50" s="1"/>
      <c r="AT50" s="1"/>
      <c r="AU50" s="1" t="s">
        <v>2876</v>
      </c>
      <c r="AV50" s="3">
        <v>290.55</v>
      </c>
      <c r="AW50" s="1" t="s">
        <v>2877</v>
      </c>
      <c r="AX50" s="3">
        <v>290.55</v>
      </c>
      <c r="AY50" s="1" t="s">
        <v>2878</v>
      </c>
      <c r="AZ50" s="3">
        <v>290.55</v>
      </c>
      <c r="BA50" s="1" t="s">
        <v>2879</v>
      </c>
      <c r="BB50" s="3">
        <v>290.55</v>
      </c>
      <c r="BC50" s="67" t="s">
        <v>2880</v>
      </c>
      <c r="BD50" s="67">
        <v>295.09</v>
      </c>
      <c r="BE50" s="67">
        <f t="shared" si="1"/>
        <v>1622.995</v>
      </c>
    </row>
    <row r="51">
      <c r="A51" s="1"/>
      <c r="B51" s="1"/>
      <c r="C51" s="1" t="s">
        <v>2881</v>
      </c>
      <c r="D51" s="3">
        <v>290.55</v>
      </c>
      <c r="E51" s="1"/>
      <c r="F51" s="1"/>
      <c r="G51" s="1" t="s">
        <v>2882</v>
      </c>
      <c r="H51" s="3">
        <v>290.55</v>
      </c>
      <c r="I51" s="1" t="s">
        <v>2147</v>
      </c>
      <c r="J51" s="3">
        <v>290.55</v>
      </c>
      <c r="K51" s="1" t="s">
        <v>2883</v>
      </c>
      <c r="L51" s="3">
        <v>290.55</v>
      </c>
      <c r="M51" s="1"/>
      <c r="N51" s="1"/>
      <c r="O51" s="1" t="s">
        <v>2884</v>
      </c>
      <c r="P51" s="3">
        <v>290.55</v>
      </c>
      <c r="Q51" s="1" t="s">
        <v>2885</v>
      </c>
      <c r="R51" s="3">
        <v>290.55</v>
      </c>
      <c r="S51" s="1" t="s">
        <v>2886</v>
      </c>
      <c r="T51" s="3">
        <v>290.55</v>
      </c>
      <c r="U51" s="1" t="s">
        <v>2887</v>
      </c>
      <c r="V51" s="3">
        <v>290.55</v>
      </c>
      <c r="W51" s="1" t="s">
        <v>2888</v>
      </c>
      <c r="X51" s="3">
        <v>290.55</v>
      </c>
      <c r="Y51" s="1" t="s">
        <v>2889</v>
      </c>
      <c r="Z51" s="3">
        <v>290.55</v>
      </c>
      <c r="AA51" s="1" t="s">
        <v>2890</v>
      </c>
      <c r="AB51" s="3">
        <v>290.55</v>
      </c>
      <c r="AC51" s="1" t="s">
        <v>2891</v>
      </c>
      <c r="AD51" s="3">
        <v>290.55</v>
      </c>
      <c r="AE51" s="1" t="s">
        <v>70</v>
      </c>
      <c r="AF51" s="3">
        <v>290.55</v>
      </c>
      <c r="AG51" s="1" t="s">
        <v>2892</v>
      </c>
      <c r="AH51" s="3">
        <v>290.55</v>
      </c>
      <c r="AI51" s="1" t="s">
        <v>2893</v>
      </c>
      <c r="AJ51" s="3">
        <v>290.55</v>
      </c>
      <c r="AK51" s="1" t="s">
        <v>2894</v>
      </c>
      <c r="AL51" s="3">
        <v>290.55</v>
      </c>
      <c r="AM51" s="1" t="s">
        <v>2895</v>
      </c>
      <c r="AN51" s="3">
        <v>290.55</v>
      </c>
      <c r="AO51" s="1" t="s">
        <v>2896</v>
      </c>
      <c r="AP51" s="3">
        <v>290.55</v>
      </c>
      <c r="AQ51" s="1" t="s">
        <v>2897</v>
      </c>
      <c r="AR51" s="3">
        <v>290.55</v>
      </c>
      <c r="AS51" s="1"/>
      <c r="AT51" s="1"/>
      <c r="AU51" s="1" t="s">
        <v>2898</v>
      </c>
      <c r="AV51" s="3">
        <v>290.55</v>
      </c>
      <c r="AW51" s="1" t="s">
        <v>2899</v>
      </c>
      <c r="AX51" s="3">
        <v>290.55</v>
      </c>
      <c r="AY51" s="1" t="s">
        <v>2900</v>
      </c>
      <c r="AZ51" s="3">
        <v>290.55</v>
      </c>
      <c r="BA51" s="1" t="s">
        <v>2901</v>
      </c>
      <c r="BB51" s="3">
        <v>290.55</v>
      </c>
      <c r="BC51" s="67" t="s">
        <v>2902</v>
      </c>
      <c r="BD51" s="67">
        <v>385.32</v>
      </c>
      <c r="BE51" s="67">
        <f t="shared" si="1"/>
        <v>2119.26</v>
      </c>
    </row>
    <row r="52">
      <c r="A52" s="1"/>
      <c r="B52" s="1"/>
      <c r="C52" s="1" t="s">
        <v>2903</v>
      </c>
      <c r="D52" s="3">
        <v>290.55</v>
      </c>
      <c r="E52" s="1"/>
      <c r="F52" s="1"/>
      <c r="G52" s="1" t="s">
        <v>2904</v>
      </c>
      <c r="H52" s="3">
        <v>290.55</v>
      </c>
      <c r="I52" s="1" t="s">
        <v>2905</v>
      </c>
      <c r="J52" s="3">
        <v>290.55</v>
      </c>
      <c r="K52" s="1" t="s">
        <v>2906</v>
      </c>
      <c r="L52" s="3">
        <v>290.55</v>
      </c>
      <c r="M52" s="1"/>
      <c r="N52" s="1"/>
      <c r="O52" s="1" t="s">
        <v>2907</v>
      </c>
      <c r="P52" s="3">
        <v>290.55</v>
      </c>
      <c r="Q52" s="1" t="s">
        <v>2908</v>
      </c>
      <c r="R52" s="3">
        <v>290.55</v>
      </c>
      <c r="S52" s="1" t="s">
        <v>2909</v>
      </c>
      <c r="T52" s="3">
        <v>290.55</v>
      </c>
      <c r="U52" s="1" t="s">
        <v>2910</v>
      </c>
      <c r="V52" s="3">
        <v>290.55</v>
      </c>
      <c r="W52" s="1" t="s">
        <v>2911</v>
      </c>
      <c r="X52" s="3">
        <v>290.55</v>
      </c>
      <c r="Y52" s="1" t="s">
        <v>2912</v>
      </c>
      <c r="Z52" s="3">
        <v>290.55</v>
      </c>
      <c r="AA52" s="1" t="s">
        <v>2913</v>
      </c>
      <c r="AB52" s="3">
        <v>290.55</v>
      </c>
      <c r="AC52" s="1" t="s">
        <v>2914</v>
      </c>
      <c r="AD52" s="3">
        <v>290.55</v>
      </c>
      <c r="AE52" s="1" t="s">
        <v>71</v>
      </c>
      <c r="AF52" s="3">
        <v>290.55</v>
      </c>
      <c r="AG52" s="1" t="s">
        <v>2915</v>
      </c>
      <c r="AH52" s="3">
        <v>290.55</v>
      </c>
      <c r="AI52" s="1" t="s">
        <v>2916</v>
      </c>
      <c r="AJ52" s="3">
        <v>290.55</v>
      </c>
      <c r="AK52" s="1" t="s">
        <v>2917</v>
      </c>
      <c r="AL52" s="3">
        <v>290.55</v>
      </c>
      <c r="AM52" s="1" t="s">
        <v>2918</v>
      </c>
      <c r="AN52" s="3">
        <v>290.55</v>
      </c>
      <c r="AO52" s="1" t="s">
        <v>2919</v>
      </c>
      <c r="AP52" s="3">
        <v>290.55</v>
      </c>
      <c r="AQ52" s="1" t="s">
        <v>2920</v>
      </c>
      <c r="AR52" s="3">
        <v>290.55</v>
      </c>
      <c r="AS52" s="1"/>
      <c r="AT52" s="1"/>
      <c r="AU52" s="1" t="s">
        <v>2921</v>
      </c>
      <c r="AV52" s="3">
        <v>290.55</v>
      </c>
      <c r="AW52" s="1" t="s">
        <v>2922</v>
      </c>
      <c r="AX52" s="3">
        <v>290.55</v>
      </c>
      <c r="AY52" s="1" t="s">
        <v>277</v>
      </c>
      <c r="AZ52" s="3">
        <v>290.55</v>
      </c>
      <c r="BA52" s="1" t="s">
        <v>2923</v>
      </c>
      <c r="BB52" s="3">
        <v>290.55</v>
      </c>
      <c r="BC52" s="67" t="s">
        <v>2924</v>
      </c>
      <c r="BD52" s="67">
        <v>456.3</v>
      </c>
      <c r="BE52" s="67">
        <f t="shared" si="1"/>
        <v>2509.65</v>
      </c>
    </row>
    <row r="53">
      <c r="A53" s="1"/>
      <c r="B53" s="1"/>
      <c r="C53" s="1" t="s">
        <v>2925</v>
      </c>
      <c r="D53" s="3">
        <v>290.55</v>
      </c>
      <c r="E53" s="1"/>
      <c r="F53" s="1"/>
      <c r="G53" s="1" t="s">
        <v>2926</v>
      </c>
      <c r="H53" s="3">
        <v>290.55</v>
      </c>
      <c r="I53" s="1" t="s">
        <v>2927</v>
      </c>
      <c r="J53" s="3">
        <v>290.55</v>
      </c>
      <c r="K53" s="1" t="s">
        <v>2928</v>
      </c>
      <c r="L53" s="3">
        <v>290.55</v>
      </c>
      <c r="M53" s="1"/>
      <c r="N53" s="1"/>
      <c r="O53" s="1" t="s">
        <v>2929</v>
      </c>
      <c r="P53" s="3">
        <v>290.55</v>
      </c>
      <c r="Q53" s="1" t="s">
        <v>2930</v>
      </c>
      <c r="R53" s="3">
        <v>290.55</v>
      </c>
      <c r="S53" s="1" t="s">
        <v>2931</v>
      </c>
      <c r="T53" s="3">
        <v>290.55</v>
      </c>
      <c r="U53" s="1" t="s">
        <v>2932</v>
      </c>
      <c r="V53" s="3">
        <v>290.55</v>
      </c>
      <c r="W53" s="1" t="s">
        <v>2933</v>
      </c>
      <c r="X53" s="3">
        <v>290.55</v>
      </c>
      <c r="Y53" s="1" t="s">
        <v>2934</v>
      </c>
      <c r="Z53" s="3">
        <v>290.55</v>
      </c>
      <c r="AA53" s="1" t="s">
        <v>2935</v>
      </c>
      <c r="AB53" s="3">
        <v>290.55</v>
      </c>
      <c r="AC53" s="1" t="s">
        <v>2373</v>
      </c>
      <c r="AD53" s="3">
        <v>290.55</v>
      </c>
      <c r="AE53" s="1" t="s">
        <v>72</v>
      </c>
      <c r="AF53" s="3">
        <v>290.55</v>
      </c>
      <c r="AG53" s="1" t="s">
        <v>2936</v>
      </c>
      <c r="AH53" s="3">
        <v>290.55</v>
      </c>
      <c r="AI53" s="1" t="s">
        <v>2262</v>
      </c>
      <c r="AJ53" s="3">
        <v>290.55</v>
      </c>
      <c r="AK53" s="1" t="s">
        <v>2937</v>
      </c>
      <c r="AL53" s="3">
        <v>290.55</v>
      </c>
      <c r="AM53" s="1" t="s">
        <v>2938</v>
      </c>
      <c r="AN53" s="3">
        <v>290.55</v>
      </c>
      <c r="AO53" s="1" t="s">
        <v>2939</v>
      </c>
      <c r="AP53" s="3">
        <v>290.55</v>
      </c>
      <c r="AQ53" s="1" t="s">
        <v>2940</v>
      </c>
      <c r="AR53" s="3">
        <v>290.55</v>
      </c>
      <c r="AS53" s="1"/>
      <c r="AT53" s="1"/>
      <c r="AU53" s="1" t="s">
        <v>2941</v>
      </c>
      <c r="AV53" s="3">
        <v>290.55</v>
      </c>
      <c r="AW53" s="1" t="s">
        <v>1633</v>
      </c>
      <c r="AX53" s="3">
        <v>290.55</v>
      </c>
      <c r="AY53" s="1" t="s">
        <v>2942</v>
      </c>
      <c r="AZ53" s="3">
        <v>290.55</v>
      </c>
      <c r="BA53" s="1" t="s">
        <v>2943</v>
      </c>
      <c r="BB53" s="3">
        <v>290.55</v>
      </c>
      <c r="BC53" s="67" t="s">
        <v>2944</v>
      </c>
      <c r="BD53" s="67">
        <v>456.3</v>
      </c>
      <c r="BE53" s="67">
        <f t="shared" si="1"/>
        <v>2509.65</v>
      </c>
    </row>
    <row r="54">
      <c r="A54" s="1"/>
      <c r="B54" s="1"/>
      <c r="C54" s="1" t="s">
        <v>2945</v>
      </c>
      <c r="D54" s="3">
        <v>290.55</v>
      </c>
      <c r="E54" s="1"/>
      <c r="F54" s="1"/>
      <c r="G54" s="1" t="s">
        <v>2946</v>
      </c>
      <c r="H54" s="3">
        <v>290.55</v>
      </c>
      <c r="I54" s="1" t="s">
        <v>2947</v>
      </c>
      <c r="J54" s="3">
        <v>290.55</v>
      </c>
      <c r="K54" s="1" t="s">
        <v>2948</v>
      </c>
      <c r="L54" s="3">
        <v>290.55</v>
      </c>
      <c r="M54" s="1"/>
      <c r="N54" s="1"/>
      <c r="O54" s="1" t="s">
        <v>2949</v>
      </c>
      <c r="P54" s="3">
        <v>290.55</v>
      </c>
      <c r="Q54" s="1" t="s">
        <v>2950</v>
      </c>
      <c r="R54" s="3">
        <v>290.55</v>
      </c>
      <c r="S54" s="1" t="s">
        <v>2951</v>
      </c>
      <c r="T54" s="3">
        <v>290.55</v>
      </c>
      <c r="U54" s="1" t="s">
        <v>2952</v>
      </c>
      <c r="V54" s="3">
        <v>290.55</v>
      </c>
      <c r="W54" s="1" t="s">
        <v>2953</v>
      </c>
      <c r="X54" s="3">
        <v>290.55</v>
      </c>
      <c r="Y54" s="1" t="s">
        <v>2954</v>
      </c>
      <c r="Z54" s="3">
        <v>290.55</v>
      </c>
      <c r="AA54" s="1" t="s">
        <v>2955</v>
      </c>
      <c r="AB54" s="3">
        <v>290.55</v>
      </c>
      <c r="AC54" s="1" t="s">
        <v>2956</v>
      </c>
      <c r="AD54" s="3">
        <v>290.55</v>
      </c>
      <c r="AE54" s="1" t="s">
        <v>73</v>
      </c>
      <c r="AF54" s="3">
        <v>290.55</v>
      </c>
      <c r="AG54" s="1" t="s">
        <v>2957</v>
      </c>
      <c r="AH54" s="3">
        <v>290.55</v>
      </c>
      <c r="AI54" s="1" t="s">
        <v>2958</v>
      </c>
      <c r="AJ54" s="3">
        <v>290.55</v>
      </c>
      <c r="AK54" s="1" t="s">
        <v>2959</v>
      </c>
      <c r="AL54" s="3">
        <v>290.55</v>
      </c>
      <c r="AM54" s="1" t="s">
        <v>2960</v>
      </c>
      <c r="AN54" s="3">
        <v>290.55</v>
      </c>
      <c r="AO54" s="1" t="s">
        <v>2961</v>
      </c>
      <c r="AP54" s="3">
        <v>290.55</v>
      </c>
      <c r="AQ54" s="1"/>
      <c r="AR54" s="1"/>
      <c r="AS54" s="1"/>
      <c r="AT54" s="1"/>
      <c r="AU54" s="1" t="s">
        <v>2962</v>
      </c>
      <c r="AV54" s="3">
        <v>290.55</v>
      </c>
      <c r="AW54" s="1" t="s">
        <v>2963</v>
      </c>
      <c r="AX54" s="3">
        <v>290.55</v>
      </c>
      <c r="AY54" s="1" t="s">
        <v>2964</v>
      </c>
      <c r="AZ54" s="3">
        <v>290.55</v>
      </c>
      <c r="BA54" s="1" t="s">
        <v>2965</v>
      </c>
      <c r="BB54" s="3">
        <v>290.55</v>
      </c>
      <c r="BC54" s="67" t="s">
        <v>2966</v>
      </c>
      <c r="BD54" s="67">
        <v>385.32</v>
      </c>
      <c r="BE54" s="67">
        <f t="shared" si="1"/>
        <v>2119.26</v>
      </c>
    </row>
    <row r="55">
      <c r="A55" s="1"/>
      <c r="B55" s="1"/>
      <c r="C55" s="1" t="s">
        <v>2967</v>
      </c>
      <c r="D55" s="3">
        <v>290.55</v>
      </c>
      <c r="E55" s="1"/>
      <c r="F55" s="1"/>
      <c r="G55" s="1" t="s">
        <v>2968</v>
      </c>
      <c r="H55" s="3">
        <v>290.55</v>
      </c>
      <c r="I55" s="1" t="s">
        <v>2969</v>
      </c>
      <c r="J55" s="3">
        <v>290.55</v>
      </c>
      <c r="K55" s="1" t="s">
        <v>2970</v>
      </c>
      <c r="L55" s="3">
        <v>290.55</v>
      </c>
      <c r="M55" s="1"/>
      <c r="N55" s="1"/>
      <c r="O55" s="1" t="s">
        <v>2971</v>
      </c>
      <c r="P55" s="3">
        <v>290.55</v>
      </c>
      <c r="Q55" s="1" t="s">
        <v>2972</v>
      </c>
      <c r="R55" s="3">
        <v>290.55</v>
      </c>
      <c r="S55" s="1" t="s">
        <v>2973</v>
      </c>
      <c r="T55" s="3">
        <v>290.55</v>
      </c>
      <c r="U55" s="1" t="s">
        <v>2974</v>
      </c>
      <c r="V55" s="3">
        <v>290.55</v>
      </c>
      <c r="W55" s="1" t="s">
        <v>2975</v>
      </c>
      <c r="X55" s="3">
        <v>290.55</v>
      </c>
      <c r="Y55" s="1" t="s">
        <v>2976</v>
      </c>
      <c r="Z55" s="3">
        <v>290.55</v>
      </c>
      <c r="AA55" s="1" t="s">
        <v>2977</v>
      </c>
      <c r="AB55" s="3">
        <v>290.55</v>
      </c>
      <c r="AC55" s="1" t="s">
        <v>2978</v>
      </c>
      <c r="AD55" s="3">
        <v>290.55</v>
      </c>
      <c r="AE55" s="1" t="s">
        <v>74</v>
      </c>
      <c r="AF55" s="3">
        <v>290.55</v>
      </c>
      <c r="AG55" s="1" t="s">
        <v>2979</v>
      </c>
      <c r="AH55" s="3">
        <v>290.55</v>
      </c>
      <c r="AI55" s="1" t="s">
        <v>2980</v>
      </c>
      <c r="AJ55" s="3">
        <v>290.55</v>
      </c>
      <c r="AK55" s="1" t="s">
        <v>2981</v>
      </c>
      <c r="AL55" s="3">
        <v>290.55</v>
      </c>
      <c r="AM55" s="1" t="s">
        <v>2982</v>
      </c>
      <c r="AN55" s="3">
        <v>290.55</v>
      </c>
      <c r="AO55" s="1" t="s">
        <v>2983</v>
      </c>
      <c r="AP55" s="3">
        <v>290.55</v>
      </c>
      <c r="AQ55" s="1"/>
      <c r="AR55" s="1"/>
      <c r="AS55" s="1"/>
      <c r="AT55" s="1"/>
      <c r="AU55" s="1" t="s">
        <v>2984</v>
      </c>
      <c r="AV55" s="3">
        <v>290.55</v>
      </c>
      <c r="AW55" s="1" t="s">
        <v>2985</v>
      </c>
      <c r="AX55" s="3">
        <v>290.55</v>
      </c>
      <c r="AY55" s="1" t="s">
        <v>2986</v>
      </c>
      <c r="AZ55" s="3">
        <v>290.55</v>
      </c>
      <c r="BA55" s="1" t="s">
        <v>2987</v>
      </c>
      <c r="BB55" s="3">
        <v>290.55</v>
      </c>
      <c r="BC55" s="67" t="s">
        <v>554</v>
      </c>
      <c r="BD55" s="67">
        <v>295.09</v>
      </c>
      <c r="BE55" s="67">
        <f t="shared" si="1"/>
        <v>1622.995</v>
      </c>
    </row>
    <row r="56">
      <c r="A56" s="1"/>
      <c r="B56" s="1"/>
      <c r="C56" s="1" t="s">
        <v>2988</v>
      </c>
      <c r="D56" s="3">
        <v>290.55</v>
      </c>
      <c r="E56" s="1"/>
      <c r="F56" s="1"/>
      <c r="G56" s="1" t="s">
        <v>2989</v>
      </c>
      <c r="H56" s="3">
        <v>290.55</v>
      </c>
      <c r="I56" s="1" t="s">
        <v>2990</v>
      </c>
      <c r="J56" s="3">
        <v>290.55</v>
      </c>
      <c r="K56" s="1" t="s">
        <v>2991</v>
      </c>
      <c r="L56" s="3">
        <v>290.55</v>
      </c>
      <c r="M56" s="1"/>
      <c r="N56" s="1"/>
      <c r="O56" s="1" t="s">
        <v>2992</v>
      </c>
      <c r="P56" s="3">
        <v>290.55</v>
      </c>
      <c r="Q56" s="1" t="s">
        <v>2993</v>
      </c>
      <c r="R56" s="3">
        <v>290.55</v>
      </c>
      <c r="S56" s="1" t="s">
        <v>2994</v>
      </c>
      <c r="T56" s="3">
        <v>290.55</v>
      </c>
      <c r="U56" s="1" t="s">
        <v>2995</v>
      </c>
      <c r="V56" s="3">
        <v>290.55</v>
      </c>
      <c r="W56" s="1" t="s">
        <v>2996</v>
      </c>
      <c r="X56" s="3">
        <v>290.55</v>
      </c>
      <c r="Y56" s="1" t="s">
        <v>2997</v>
      </c>
      <c r="Z56" s="3">
        <v>290.55</v>
      </c>
      <c r="AA56" s="1" t="s">
        <v>2998</v>
      </c>
      <c r="AB56" s="3">
        <v>290.55</v>
      </c>
      <c r="AC56" s="1" t="s">
        <v>2999</v>
      </c>
      <c r="AD56" s="3">
        <v>290.55</v>
      </c>
      <c r="AE56" s="1" t="s">
        <v>75</v>
      </c>
      <c r="AF56" s="3">
        <v>290.55</v>
      </c>
      <c r="AG56" s="1" t="s">
        <v>3000</v>
      </c>
      <c r="AH56" s="3">
        <v>290.55</v>
      </c>
      <c r="AI56" s="1" t="s">
        <v>3001</v>
      </c>
      <c r="AJ56" s="3">
        <v>290.55</v>
      </c>
      <c r="AK56" s="1" t="s">
        <v>3002</v>
      </c>
      <c r="AL56" s="3">
        <v>290.55</v>
      </c>
      <c r="AM56" s="1" t="s">
        <v>3003</v>
      </c>
      <c r="AN56" s="3">
        <v>290.55</v>
      </c>
      <c r="AO56" s="1" t="s">
        <v>3004</v>
      </c>
      <c r="AP56" s="3">
        <v>290.55</v>
      </c>
      <c r="AQ56" s="1"/>
      <c r="AR56" s="1"/>
      <c r="AS56" s="1"/>
      <c r="AT56" s="1"/>
      <c r="AU56" s="1" t="s">
        <v>2115</v>
      </c>
      <c r="AV56" s="3">
        <v>290.55</v>
      </c>
      <c r="AW56" s="1" t="s">
        <v>3005</v>
      </c>
      <c r="AX56" s="3">
        <v>290.55</v>
      </c>
      <c r="AY56" s="1" t="s">
        <v>3006</v>
      </c>
      <c r="AZ56" s="3">
        <v>290.55</v>
      </c>
      <c r="BA56" s="1" t="s">
        <v>3007</v>
      </c>
      <c r="BB56" s="3">
        <v>290.55</v>
      </c>
      <c r="BC56" s="67" t="s">
        <v>3008</v>
      </c>
      <c r="BD56" s="67">
        <v>398.91</v>
      </c>
      <c r="BE56" s="67">
        <f t="shared" si="1"/>
        <v>2194.005</v>
      </c>
    </row>
    <row r="57">
      <c r="A57" s="1"/>
      <c r="B57" s="1"/>
      <c r="C57" s="1" t="s">
        <v>3009</v>
      </c>
      <c r="D57" s="3">
        <v>290.55</v>
      </c>
      <c r="E57" s="1"/>
      <c r="F57" s="1"/>
      <c r="G57" s="1" t="s">
        <v>3010</v>
      </c>
      <c r="H57" s="3">
        <v>290.55</v>
      </c>
      <c r="I57" s="1" t="s">
        <v>3011</v>
      </c>
      <c r="J57" s="3">
        <v>290.55</v>
      </c>
      <c r="K57" s="1" t="s">
        <v>3012</v>
      </c>
      <c r="L57" s="3">
        <v>290.55</v>
      </c>
      <c r="M57" s="1"/>
      <c r="N57" s="1"/>
      <c r="O57" s="1" t="s">
        <v>3013</v>
      </c>
      <c r="P57" s="3">
        <v>290.55</v>
      </c>
      <c r="Q57" s="1" t="s">
        <v>3014</v>
      </c>
      <c r="R57" s="3">
        <v>290.55</v>
      </c>
      <c r="S57" s="1" t="s">
        <v>3015</v>
      </c>
      <c r="T57" s="3">
        <v>290.55</v>
      </c>
      <c r="U57" s="1" t="s">
        <v>3016</v>
      </c>
      <c r="V57" s="3">
        <v>290.55</v>
      </c>
      <c r="W57" s="1" t="s">
        <v>3017</v>
      </c>
      <c r="X57" s="3">
        <v>290.55</v>
      </c>
      <c r="Y57" s="1" t="s">
        <v>3018</v>
      </c>
      <c r="Z57" s="3">
        <v>290.55</v>
      </c>
      <c r="AA57" s="1" t="s">
        <v>3019</v>
      </c>
      <c r="AB57" s="3">
        <v>290.55</v>
      </c>
      <c r="AC57" s="1" t="s">
        <v>3020</v>
      </c>
      <c r="AD57" s="3">
        <v>290.55</v>
      </c>
      <c r="AE57" s="1" t="s">
        <v>76</v>
      </c>
      <c r="AF57" s="3">
        <v>290.55</v>
      </c>
      <c r="AG57" s="1" t="s">
        <v>3021</v>
      </c>
      <c r="AH57" s="3">
        <v>290.55</v>
      </c>
      <c r="AI57" s="1" t="s">
        <v>3022</v>
      </c>
      <c r="AJ57" s="3">
        <v>290.55</v>
      </c>
      <c r="AK57" s="1" t="s">
        <v>3023</v>
      </c>
      <c r="AL57" s="3">
        <v>290.55</v>
      </c>
      <c r="AM57" s="1" t="s">
        <v>3024</v>
      </c>
      <c r="AN57" s="3">
        <v>290.55</v>
      </c>
      <c r="AO57" s="1" t="s">
        <v>3025</v>
      </c>
      <c r="AP57" s="3">
        <v>290.55</v>
      </c>
      <c r="AQ57" s="1"/>
      <c r="AR57" s="1"/>
      <c r="AS57" s="1"/>
      <c r="AT57" s="1"/>
      <c r="AU57" s="1" t="s">
        <v>3026</v>
      </c>
      <c r="AV57" s="3">
        <v>290.55</v>
      </c>
      <c r="AW57" s="1" t="s">
        <v>3027</v>
      </c>
      <c r="AX57" s="3">
        <v>290.55</v>
      </c>
      <c r="AY57" s="1" t="s">
        <v>3028</v>
      </c>
      <c r="AZ57" s="3">
        <v>290.55</v>
      </c>
      <c r="BA57" s="1" t="s">
        <v>3029</v>
      </c>
      <c r="BB57" s="3">
        <v>290.55</v>
      </c>
      <c r="BC57" s="67" t="s">
        <v>3030</v>
      </c>
      <c r="BD57" s="67">
        <v>295.09</v>
      </c>
      <c r="BE57" s="67">
        <f t="shared" si="1"/>
        <v>1622.995</v>
      </c>
    </row>
    <row r="58">
      <c r="A58" s="1"/>
      <c r="B58" s="1"/>
      <c r="C58" s="1" t="s">
        <v>3031</v>
      </c>
      <c r="D58" s="3">
        <v>290.55</v>
      </c>
      <c r="E58" s="1"/>
      <c r="F58" s="1"/>
      <c r="G58" s="1" t="s">
        <v>3032</v>
      </c>
      <c r="H58" s="3">
        <v>290.55</v>
      </c>
      <c r="I58" s="1" t="s">
        <v>3033</v>
      </c>
      <c r="J58" s="3">
        <v>290.55</v>
      </c>
      <c r="K58" s="1" t="s">
        <v>3034</v>
      </c>
      <c r="L58" s="3">
        <v>290.55</v>
      </c>
      <c r="M58" s="1"/>
      <c r="N58" s="1"/>
      <c r="O58" s="1" t="s">
        <v>3035</v>
      </c>
      <c r="P58" s="3">
        <v>290.55</v>
      </c>
      <c r="Q58" s="1" t="s">
        <v>3036</v>
      </c>
      <c r="R58" s="3">
        <v>290.55</v>
      </c>
      <c r="S58" s="1" t="s">
        <v>3037</v>
      </c>
      <c r="T58" s="3">
        <v>290.55</v>
      </c>
      <c r="U58" s="1" t="s">
        <v>3038</v>
      </c>
      <c r="V58" s="3">
        <v>290.55</v>
      </c>
      <c r="W58" s="1" t="s">
        <v>3039</v>
      </c>
      <c r="X58" s="3">
        <v>290.55</v>
      </c>
      <c r="Y58" s="1" t="s">
        <v>3040</v>
      </c>
      <c r="Z58" s="3">
        <v>290.55</v>
      </c>
      <c r="AA58" s="1" t="s">
        <v>3041</v>
      </c>
      <c r="AB58" s="3">
        <v>290.55</v>
      </c>
      <c r="AC58" s="1" t="s">
        <v>3042</v>
      </c>
      <c r="AD58" s="3">
        <v>290.55</v>
      </c>
      <c r="AE58" s="1" t="s">
        <v>77</v>
      </c>
      <c r="AF58" s="3">
        <v>290.55</v>
      </c>
      <c r="AG58" s="1" t="s">
        <v>3043</v>
      </c>
      <c r="AH58" s="3">
        <v>290.55</v>
      </c>
      <c r="AI58" s="1" t="s">
        <v>3044</v>
      </c>
      <c r="AJ58" s="3">
        <v>290.55</v>
      </c>
      <c r="AK58" s="1" t="s">
        <v>3045</v>
      </c>
      <c r="AL58" s="3">
        <v>290.55</v>
      </c>
      <c r="AM58" s="1" t="s">
        <v>3046</v>
      </c>
      <c r="AN58" s="3">
        <v>290.55</v>
      </c>
      <c r="AO58" s="1" t="s">
        <v>3047</v>
      </c>
      <c r="AP58" s="3">
        <v>290.55</v>
      </c>
      <c r="AQ58" s="1"/>
      <c r="AR58" s="1"/>
      <c r="AS58" s="1"/>
      <c r="AT58" s="1"/>
      <c r="AU58" s="1" t="s">
        <v>3048</v>
      </c>
      <c r="AV58" s="3">
        <v>290.55</v>
      </c>
      <c r="AW58" s="1" t="s">
        <v>3049</v>
      </c>
      <c r="AX58" s="3">
        <v>290.55</v>
      </c>
      <c r="AY58" s="1" t="s">
        <v>3050</v>
      </c>
      <c r="AZ58" s="3">
        <v>290.55</v>
      </c>
      <c r="BA58" s="1" t="s">
        <v>3051</v>
      </c>
      <c r="BB58" s="3">
        <v>290.55</v>
      </c>
      <c r="BC58" s="67" t="s">
        <v>3052</v>
      </c>
      <c r="BD58" s="67">
        <v>295.09</v>
      </c>
      <c r="BE58" s="67">
        <f t="shared" si="1"/>
        <v>1622.995</v>
      </c>
    </row>
    <row r="59">
      <c r="A59" s="1"/>
      <c r="B59" s="1"/>
      <c r="C59" s="1" t="s">
        <v>3053</v>
      </c>
      <c r="D59" s="3">
        <v>290.55</v>
      </c>
      <c r="E59" s="1"/>
      <c r="F59" s="1"/>
      <c r="G59" s="1" t="s">
        <v>3054</v>
      </c>
      <c r="H59" s="3">
        <v>290.55</v>
      </c>
      <c r="I59" s="1" t="s">
        <v>3055</v>
      </c>
      <c r="J59" s="3">
        <v>290.55</v>
      </c>
      <c r="K59" s="1" t="s">
        <v>3056</v>
      </c>
      <c r="L59" s="3">
        <v>290.55</v>
      </c>
      <c r="M59" s="1"/>
      <c r="N59" s="1"/>
      <c r="O59" s="1" t="s">
        <v>3057</v>
      </c>
      <c r="P59" s="3">
        <v>290.55</v>
      </c>
      <c r="Q59" s="1" t="s">
        <v>3058</v>
      </c>
      <c r="R59" s="3">
        <v>290.55</v>
      </c>
      <c r="S59" s="1" t="s">
        <v>3059</v>
      </c>
      <c r="T59" s="3">
        <v>290.55</v>
      </c>
      <c r="U59" s="1" t="s">
        <v>3060</v>
      </c>
      <c r="V59" s="3">
        <v>290.55</v>
      </c>
      <c r="W59" s="1" t="s">
        <v>3061</v>
      </c>
      <c r="X59" s="3">
        <v>290.55</v>
      </c>
      <c r="Y59" s="1" t="s">
        <v>3062</v>
      </c>
      <c r="Z59" s="3">
        <v>290.55</v>
      </c>
      <c r="AA59" s="1" t="s">
        <v>3063</v>
      </c>
      <c r="AB59" s="3">
        <v>290.55</v>
      </c>
      <c r="AC59" s="1" t="s">
        <v>3064</v>
      </c>
      <c r="AD59" s="3">
        <v>290.55</v>
      </c>
      <c r="AE59" s="1" t="s">
        <v>78</v>
      </c>
      <c r="AF59" s="3">
        <v>290.55</v>
      </c>
      <c r="AG59" s="1" t="s">
        <v>3065</v>
      </c>
      <c r="AH59" s="3">
        <v>290.55</v>
      </c>
      <c r="AI59" s="1" t="s">
        <v>3066</v>
      </c>
      <c r="AJ59" s="3">
        <v>290.55</v>
      </c>
      <c r="AK59" s="1" t="s">
        <v>3067</v>
      </c>
      <c r="AL59" s="3">
        <v>290.55</v>
      </c>
      <c r="AM59" s="1" t="s">
        <v>3068</v>
      </c>
      <c r="AN59" s="3">
        <v>290.55</v>
      </c>
      <c r="AO59" s="1" t="s">
        <v>3069</v>
      </c>
      <c r="AP59" s="3">
        <v>290.55</v>
      </c>
      <c r="AQ59" s="1"/>
      <c r="AR59" s="1"/>
      <c r="AS59" s="1"/>
      <c r="AT59" s="1"/>
      <c r="AU59" s="1" t="s">
        <v>3070</v>
      </c>
      <c r="AV59" s="3">
        <v>290.55</v>
      </c>
      <c r="AW59" s="1" t="s">
        <v>3071</v>
      </c>
      <c r="AX59" s="3">
        <v>290.55</v>
      </c>
      <c r="AY59" s="1" t="s">
        <v>3072</v>
      </c>
      <c r="AZ59" s="3">
        <v>290.55</v>
      </c>
      <c r="BA59" s="1" t="s">
        <v>3073</v>
      </c>
      <c r="BB59" s="3">
        <v>290.55</v>
      </c>
      <c r="BC59" s="67" t="s">
        <v>3074</v>
      </c>
      <c r="BD59" s="67">
        <v>398.91</v>
      </c>
      <c r="BE59" s="67">
        <f t="shared" si="1"/>
        <v>2194.005</v>
      </c>
    </row>
    <row r="60">
      <c r="A60" s="1"/>
      <c r="B60" s="1"/>
      <c r="C60" s="1" t="s">
        <v>3075</v>
      </c>
      <c r="D60" s="3">
        <v>290.55</v>
      </c>
      <c r="E60" s="1"/>
      <c r="F60" s="1"/>
      <c r="G60" s="1" t="s">
        <v>3076</v>
      </c>
      <c r="H60" s="3">
        <v>290.55</v>
      </c>
      <c r="I60" s="1" t="s">
        <v>3077</v>
      </c>
      <c r="J60" s="3">
        <v>290.55</v>
      </c>
      <c r="K60" s="1" t="s">
        <v>3078</v>
      </c>
      <c r="L60" s="3">
        <v>371.26</v>
      </c>
      <c r="M60" s="1"/>
      <c r="N60" s="1"/>
      <c r="O60" s="1" t="s">
        <v>3079</v>
      </c>
      <c r="P60" s="3">
        <v>290.55</v>
      </c>
      <c r="Q60" s="1" t="s">
        <v>3080</v>
      </c>
      <c r="R60" s="3">
        <v>290.55</v>
      </c>
      <c r="S60" s="1" t="s">
        <v>3081</v>
      </c>
      <c r="T60" s="3">
        <v>290.55</v>
      </c>
      <c r="U60" s="1" t="s">
        <v>3082</v>
      </c>
      <c r="V60" s="3">
        <v>290.55</v>
      </c>
      <c r="W60" s="1" t="s">
        <v>3083</v>
      </c>
      <c r="X60" s="3">
        <v>290.55</v>
      </c>
      <c r="Y60" s="1" t="s">
        <v>3084</v>
      </c>
      <c r="Z60" s="3">
        <v>290.55</v>
      </c>
      <c r="AA60" s="1" t="s">
        <v>3085</v>
      </c>
      <c r="AB60" s="3">
        <v>290.55</v>
      </c>
      <c r="AC60" s="1" t="s">
        <v>2915</v>
      </c>
      <c r="AD60" s="3">
        <v>290.55</v>
      </c>
      <c r="AE60" s="1" t="s">
        <v>79</v>
      </c>
      <c r="AF60" s="3">
        <v>290.55</v>
      </c>
      <c r="AG60" s="1" t="s">
        <v>3086</v>
      </c>
      <c r="AH60" s="3">
        <v>290.55</v>
      </c>
      <c r="AI60" s="1" t="s">
        <v>3087</v>
      </c>
      <c r="AJ60" s="3">
        <v>290.55</v>
      </c>
      <c r="AK60" s="1" t="s">
        <v>3088</v>
      </c>
      <c r="AL60" s="3">
        <v>290.55</v>
      </c>
      <c r="AM60" s="1" t="s">
        <v>3089</v>
      </c>
      <c r="AN60" s="3">
        <v>290.55</v>
      </c>
      <c r="AO60" s="1" t="s">
        <v>3090</v>
      </c>
      <c r="AP60" s="3">
        <v>290.55</v>
      </c>
      <c r="AQ60" s="1"/>
      <c r="AR60" s="1"/>
      <c r="AS60" s="1"/>
      <c r="AT60" s="1"/>
      <c r="AU60" s="1" t="s">
        <v>3091</v>
      </c>
      <c r="AV60" s="3">
        <v>290.55</v>
      </c>
      <c r="AW60" s="1" t="s">
        <v>3092</v>
      </c>
      <c r="AX60" s="3">
        <v>290.55</v>
      </c>
      <c r="AY60" s="1" t="s">
        <v>3093</v>
      </c>
      <c r="AZ60" s="3">
        <v>290.55</v>
      </c>
      <c r="BA60" s="1" t="s">
        <v>3094</v>
      </c>
      <c r="BB60" s="3">
        <v>290.55</v>
      </c>
      <c r="BC60" s="67" t="s">
        <v>3095</v>
      </c>
      <c r="BD60" s="67">
        <v>295.09</v>
      </c>
      <c r="BE60" s="67">
        <f t="shared" si="1"/>
        <v>1622.995</v>
      </c>
    </row>
    <row r="61">
      <c r="A61" s="1"/>
      <c r="B61" s="1"/>
      <c r="C61" s="1" t="s">
        <v>3096</v>
      </c>
      <c r="D61" s="3">
        <v>290.55</v>
      </c>
      <c r="E61" s="1"/>
      <c r="F61" s="1"/>
      <c r="G61" s="1" t="s">
        <v>3097</v>
      </c>
      <c r="H61" s="3">
        <v>290.55</v>
      </c>
      <c r="I61" s="1" t="s">
        <v>3098</v>
      </c>
      <c r="J61" s="3">
        <v>290.55</v>
      </c>
      <c r="K61" s="1" t="s">
        <v>3099</v>
      </c>
      <c r="L61" s="3">
        <v>290.55</v>
      </c>
      <c r="M61" s="1"/>
      <c r="N61" s="1"/>
      <c r="O61" s="1" t="s">
        <v>3100</v>
      </c>
      <c r="P61" s="3">
        <v>290.55</v>
      </c>
      <c r="Q61" s="1" t="s">
        <v>3101</v>
      </c>
      <c r="R61" s="3">
        <v>290.55</v>
      </c>
      <c r="S61" s="1" t="s">
        <v>3102</v>
      </c>
      <c r="T61" s="3">
        <v>290.55</v>
      </c>
      <c r="U61" s="1" t="s">
        <v>3103</v>
      </c>
      <c r="V61" s="3">
        <v>290.55</v>
      </c>
      <c r="W61" s="1" t="s">
        <v>3104</v>
      </c>
      <c r="X61" s="3">
        <v>290.55</v>
      </c>
      <c r="Y61" s="1" t="s">
        <v>3105</v>
      </c>
      <c r="Z61" s="3">
        <v>290.55</v>
      </c>
      <c r="AA61" s="1" t="s">
        <v>3106</v>
      </c>
      <c r="AB61" s="3">
        <v>290.55</v>
      </c>
      <c r="AC61" s="1" t="s">
        <v>3107</v>
      </c>
      <c r="AD61" s="3">
        <v>290.55</v>
      </c>
      <c r="AE61" s="1" t="s">
        <v>80</v>
      </c>
      <c r="AF61" s="3">
        <v>290.55</v>
      </c>
      <c r="AG61" s="1" t="s">
        <v>2250</v>
      </c>
      <c r="AH61" s="3">
        <v>290.55</v>
      </c>
      <c r="AI61" s="1" t="s">
        <v>3108</v>
      </c>
      <c r="AJ61" s="3">
        <v>290.55</v>
      </c>
      <c r="AK61" s="1" t="s">
        <v>3109</v>
      </c>
      <c r="AL61" s="3">
        <v>290.55</v>
      </c>
      <c r="AM61" s="1" t="s">
        <v>3110</v>
      </c>
      <c r="AN61" s="3">
        <v>290.55</v>
      </c>
      <c r="AO61" s="1" t="s">
        <v>3111</v>
      </c>
      <c r="AP61" s="3">
        <v>290.55</v>
      </c>
      <c r="AQ61" s="1"/>
      <c r="AR61" s="1"/>
      <c r="AS61" s="1"/>
      <c r="AT61" s="1"/>
      <c r="AU61" s="1" t="s">
        <v>3112</v>
      </c>
      <c r="AV61" s="3">
        <v>290.55</v>
      </c>
      <c r="AW61" s="1" t="s">
        <v>2527</v>
      </c>
      <c r="AX61" s="3">
        <v>290.55</v>
      </c>
      <c r="AY61" s="1" t="s">
        <v>3113</v>
      </c>
      <c r="AZ61" s="3">
        <v>290.55</v>
      </c>
      <c r="BA61" s="1" t="s">
        <v>3114</v>
      </c>
      <c r="BB61" s="3">
        <v>290.55</v>
      </c>
      <c r="BC61" s="67" t="s">
        <v>3115</v>
      </c>
      <c r="BD61" s="67">
        <v>456.3</v>
      </c>
      <c r="BE61" s="67">
        <f t="shared" si="1"/>
        <v>2509.65</v>
      </c>
    </row>
    <row r="62">
      <c r="A62" s="1"/>
      <c r="B62" s="1"/>
      <c r="C62" s="1" t="s">
        <v>3116</v>
      </c>
      <c r="D62" s="3">
        <v>290.55</v>
      </c>
      <c r="E62" s="1"/>
      <c r="F62" s="1"/>
      <c r="G62" s="1" t="s">
        <v>3117</v>
      </c>
      <c r="H62" s="3">
        <v>290.55</v>
      </c>
      <c r="I62" s="1" t="s">
        <v>3118</v>
      </c>
      <c r="J62" s="3">
        <v>290.55</v>
      </c>
      <c r="K62" s="1" t="s">
        <v>3119</v>
      </c>
      <c r="L62" s="3">
        <v>290.55</v>
      </c>
      <c r="M62" s="1"/>
      <c r="N62" s="1"/>
      <c r="O62" s="1" t="s">
        <v>3120</v>
      </c>
      <c r="P62" s="3">
        <v>290.55</v>
      </c>
      <c r="Q62" s="1" t="s">
        <v>3121</v>
      </c>
      <c r="R62" s="3">
        <v>290.55</v>
      </c>
      <c r="S62" s="1" t="s">
        <v>3122</v>
      </c>
      <c r="T62" s="3">
        <v>290.55</v>
      </c>
      <c r="U62" s="1" t="s">
        <v>3123</v>
      </c>
      <c r="V62" s="3">
        <v>290.55</v>
      </c>
      <c r="W62" s="1" t="s">
        <v>3124</v>
      </c>
      <c r="X62" s="3">
        <v>290.55</v>
      </c>
      <c r="Y62" s="1" t="s">
        <v>3125</v>
      </c>
      <c r="Z62" s="3">
        <v>290.55</v>
      </c>
      <c r="AA62" s="1" t="s">
        <v>3126</v>
      </c>
      <c r="AB62" s="3">
        <v>290.55</v>
      </c>
      <c r="AC62" s="1" t="s">
        <v>3127</v>
      </c>
      <c r="AD62" s="3">
        <v>290.55</v>
      </c>
      <c r="AE62" s="1" t="s">
        <v>81</v>
      </c>
      <c r="AF62" s="3">
        <v>290.55</v>
      </c>
      <c r="AG62" s="1" t="s">
        <v>3128</v>
      </c>
      <c r="AH62" s="3">
        <v>290.55</v>
      </c>
      <c r="AI62" s="1" t="s">
        <v>3129</v>
      </c>
      <c r="AJ62" s="3">
        <v>290.55</v>
      </c>
      <c r="AK62" s="1" t="s">
        <v>3130</v>
      </c>
      <c r="AL62" s="3">
        <v>290.55</v>
      </c>
      <c r="AM62" s="1" t="s">
        <v>3131</v>
      </c>
      <c r="AN62" s="3">
        <v>290.55</v>
      </c>
      <c r="AO62" s="1" t="s">
        <v>3132</v>
      </c>
      <c r="AP62" s="3">
        <v>290.55</v>
      </c>
      <c r="AQ62" s="1"/>
      <c r="AR62" s="1"/>
      <c r="AS62" s="1"/>
      <c r="AT62" s="1"/>
      <c r="AU62" s="1" t="s">
        <v>3133</v>
      </c>
      <c r="AV62" s="3">
        <v>290.55</v>
      </c>
      <c r="AW62" s="1" t="s">
        <v>3134</v>
      </c>
      <c r="AX62" s="3">
        <v>290.55</v>
      </c>
      <c r="AY62" s="1" t="s">
        <v>3135</v>
      </c>
      <c r="AZ62" s="3">
        <v>290.55</v>
      </c>
      <c r="BA62" s="1" t="s">
        <v>3136</v>
      </c>
      <c r="BB62" s="3">
        <v>290.55</v>
      </c>
      <c r="BC62" s="67" t="s">
        <v>3115</v>
      </c>
      <c r="BD62" s="67">
        <v>385.32</v>
      </c>
      <c r="BE62" s="67">
        <f t="shared" si="1"/>
        <v>2119.26</v>
      </c>
    </row>
    <row r="63">
      <c r="A63" s="1"/>
      <c r="B63" s="1"/>
      <c r="C63" s="1" t="s">
        <v>3137</v>
      </c>
      <c r="D63" s="3">
        <v>290.55</v>
      </c>
      <c r="E63" s="1"/>
      <c r="F63" s="1"/>
      <c r="G63" s="1" t="s">
        <v>3138</v>
      </c>
      <c r="H63" s="3">
        <v>290.55</v>
      </c>
      <c r="I63" s="1" t="s">
        <v>3139</v>
      </c>
      <c r="J63" s="3">
        <v>290.55</v>
      </c>
      <c r="K63" s="1" t="s">
        <v>3140</v>
      </c>
      <c r="L63" s="3">
        <v>290.55</v>
      </c>
      <c r="M63" s="1"/>
      <c r="N63" s="1"/>
      <c r="O63" s="1" t="s">
        <v>3141</v>
      </c>
      <c r="P63" s="3">
        <v>290.55</v>
      </c>
      <c r="Q63" s="1" t="s">
        <v>3142</v>
      </c>
      <c r="R63" s="3">
        <v>290.55</v>
      </c>
      <c r="S63" s="1" t="s">
        <v>3143</v>
      </c>
      <c r="T63" s="3">
        <v>290.55</v>
      </c>
      <c r="U63" s="1" t="s">
        <v>3144</v>
      </c>
      <c r="V63" s="3">
        <v>290.55</v>
      </c>
      <c r="W63" s="1" t="s">
        <v>3145</v>
      </c>
      <c r="X63" s="3">
        <v>290.55</v>
      </c>
      <c r="Y63" s="1" t="s">
        <v>3146</v>
      </c>
      <c r="Z63" s="3">
        <v>290.55</v>
      </c>
      <c r="AA63" s="1" t="s">
        <v>3147</v>
      </c>
      <c r="AB63" s="3">
        <v>290.55</v>
      </c>
      <c r="AC63" s="1" t="s">
        <v>3148</v>
      </c>
      <c r="AD63" s="3">
        <v>290.55</v>
      </c>
      <c r="AE63" s="1" t="s">
        <v>10</v>
      </c>
      <c r="AF63" s="3">
        <v>290.55</v>
      </c>
      <c r="AG63" s="1" t="s">
        <v>3149</v>
      </c>
      <c r="AH63" s="3">
        <v>290.55</v>
      </c>
      <c r="AI63" s="1" t="s">
        <v>3150</v>
      </c>
      <c r="AJ63" s="3">
        <v>290.55</v>
      </c>
      <c r="AK63" s="1" t="s">
        <v>3151</v>
      </c>
      <c r="AL63" s="3">
        <v>290.55</v>
      </c>
      <c r="AM63" s="1" t="s">
        <v>2446</v>
      </c>
      <c r="AN63" s="3">
        <v>290.55</v>
      </c>
      <c r="AO63" s="1" t="s">
        <v>3152</v>
      </c>
      <c r="AP63" s="3">
        <v>290.55</v>
      </c>
      <c r="AQ63" s="1"/>
      <c r="AR63" s="1"/>
      <c r="AS63" s="1"/>
      <c r="AT63" s="1"/>
      <c r="AU63" s="1" t="s">
        <v>3153</v>
      </c>
      <c r="AV63" s="3">
        <v>290.55</v>
      </c>
      <c r="AW63" s="1" t="s">
        <v>3154</v>
      </c>
      <c r="AX63" s="3">
        <v>290.55</v>
      </c>
      <c r="AY63" s="1" t="s">
        <v>3155</v>
      </c>
      <c r="AZ63" s="3">
        <v>290.55</v>
      </c>
      <c r="BA63" s="1" t="s">
        <v>3156</v>
      </c>
      <c r="BB63" s="3">
        <v>290.55</v>
      </c>
      <c r="BC63" s="67" t="s">
        <v>3157</v>
      </c>
      <c r="BD63" s="67">
        <v>295.09</v>
      </c>
      <c r="BE63" s="67">
        <f t="shared" si="1"/>
        <v>1622.995</v>
      </c>
    </row>
    <row r="64">
      <c r="A64" s="1"/>
      <c r="B64" s="1"/>
      <c r="C64" s="1" t="s">
        <v>3158</v>
      </c>
      <c r="D64" s="3">
        <v>290.55</v>
      </c>
      <c r="E64" s="1"/>
      <c r="F64" s="1"/>
      <c r="G64" s="1"/>
      <c r="H64" s="1"/>
      <c r="I64" s="1" t="s">
        <v>3159</v>
      </c>
      <c r="J64" s="3">
        <v>290.55</v>
      </c>
      <c r="K64" s="1" t="s">
        <v>3160</v>
      </c>
      <c r="L64" s="3">
        <v>290.55</v>
      </c>
      <c r="M64" s="1"/>
      <c r="N64" s="1"/>
      <c r="O64" s="1" t="s">
        <v>3161</v>
      </c>
      <c r="P64" s="3">
        <v>290.55</v>
      </c>
      <c r="Q64" s="1" t="s">
        <v>3162</v>
      </c>
      <c r="R64" s="3">
        <v>290.55</v>
      </c>
      <c r="S64" s="1" t="s">
        <v>3163</v>
      </c>
      <c r="T64" s="3">
        <v>290.55</v>
      </c>
      <c r="U64" s="1" t="s">
        <v>3164</v>
      </c>
      <c r="V64" s="3">
        <v>290.55</v>
      </c>
      <c r="W64" s="1" t="s">
        <v>3165</v>
      </c>
      <c r="X64" s="3">
        <v>290.55</v>
      </c>
      <c r="Y64" s="1" t="s">
        <v>3166</v>
      </c>
      <c r="Z64" s="3">
        <v>290.55</v>
      </c>
      <c r="AA64" s="1" t="s">
        <v>3167</v>
      </c>
      <c r="AB64" s="3">
        <v>290.55</v>
      </c>
      <c r="AC64" s="1" t="s">
        <v>3168</v>
      </c>
      <c r="AD64" s="3">
        <v>290.55</v>
      </c>
      <c r="AE64" s="1" t="s">
        <v>82</v>
      </c>
      <c r="AF64" s="3">
        <v>290.55</v>
      </c>
      <c r="AG64" s="1" t="s">
        <v>3169</v>
      </c>
      <c r="AH64" s="3">
        <v>290.55</v>
      </c>
      <c r="AI64" s="1" t="s">
        <v>3170</v>
      </c>
      <c r="AJ64" s="3">
        <v>290.55</v>
      </c>
      <c r="AK64" s="1" t="s">
        <v>3171</v>
      </c>
      <c r="AL64" s="3">
        <v>290.55</v>
      </c>
      <c r="AM64" s="1" t="s">
        <v>3172</v>
      </c>
      <c r="AN64" s="3">
        <v>290.55</v>
      </c>
      <c r="AO64" s="1" t="s">
        <v>3173</v>
      </c>
      <c r="AP64" s="3">
        <v>290.55</v>
      </c>
      <c r="AQ64" s="1"/>
      <c r="AR64" s="1"/>
      <c r="AS64" s="1"/>
      <c r="AT64" s="1"/>
      <c r="AU64" s="1" t="s">
        <v>3174</v>
      </c>
      <c r="AV64" s="3">
        <v>290.55</v>
      </c>
      <c r="AW64" s="1" t="s">
        <v>3175</v>
      </c>
      <c r="AX64" s="3">
        <v>290.55</v>
      </c>
      <c r="AY64" s="1" t="s">
        <v>3176</v>
      </c>
      <c r="AZ64" s="3">
        <v>290.55</v>
      </c>
      <c r="BA64" s="1" t="s">
        <v>3177</v>
      </c>
      <c r="BB64" s="3">
        <v>290.55</v>
      </c>
      <c r="BC64" s="67" t="s">
        <v>3178</v>
      </c>
      <c r="BD64" s="67">
        <v>385.32</v>
      </c>
      <c r="BE64" s="67">
        <f t="shared" si="1"/>
        <v>2119.26</v>
      </c>
    </row>
    <row r="65">
      <c r="A65" s="1"/>
      <c r="B65" s="1"/>
      <c r="C65" s="1" t="s">
        <v>3179</v>
      </c>
      <c r="D65" s="3">
        <v>290.55</v>
      </c>
      <c r="E65" s="1"/>
      <c r="F65" s="1"/>
      <c r="G65" s="1"/>
      <c r="H65" s="1"/>
      <c r="I65" s="1" t="s">
        <v>3180</v>
      </c>
      <c r="J65" s="3">
        <v>290.55</v>
      </c>
      <c r="K65" s="1" t="s">
        <v>3181</v>
      </c>
      <c r="L65" s="3">
        <v>290.55</v>
      </c>
      <c r="M65" s="1"/>
      <c r="N65" s="1"/>
      <c r="O65" s="1" t="s">
        <v>3182</v>
      </c>
      <c r="P65" s="3">
        <v>290.55</v>
      </c>
      <c r="Q65" s="1" t="s">
        <v>3183</v>
      </c>
      <c r="R65" s="3">
        <v>290.55</v>
      </c>
      <c r="S65" s="1" t="s">
        <v>3184</v>
      </c>
      <c r="T65" s="3">
        <v>290.55</v>
      </c>
      <c r="U65" s="1" t="s">
        <v>3185</v>
      </c>
      <c r="V65" s="3">
        <v>290.55</v>
      </c>
      <c r="W65" s="1" t="s">
        <v>3186</v>
      </c>
      <c r="X65" s="3">
        <v>290.55</v>
      </c>
      <c r="Y65" s="1" t="s">
        <v>3187</v>
      </c>
      <c r="Z65" s="3">
        <v>290.55</v>
      </c>
      <c r="AA65" s="1" t="s">
        <v>3188</v>
      </c>
      <c r="AB65" s="3">
        <v>290.55</v>
      </c>
      <c r="AC65" s="1" t="s">
        <v>3189</v>
      </c>
      <c r="AD65" s="3">
        <v>290.55</v>
      </c>
      <c r="AE65" s="1" t="s">
        <v>83</v>
      </c>
      <c r="AF65" s="3">
        <v>290.55</v>
      </c>
      <c r="AG65" s="1" t="s">
        <v>134</v>
      </c>
      <c r="AH65" s="3">
        <v>290.55</v>
      </c>
      <c r="AI65" s="1" t="s">
        <v>3190</v>
      </c>
      <c r="AJ65" s="3">
        <v>290.55</v>
      </c>
      <c r="AK65" s="1" t="s">
        <v>3191</v>
      </c>
      <c r="AL65" s="3">
        <v>290.55</v>
      </c>
      <c r="AM65" s="1" t="s">
        <v>3192</v>
      </c>
      <c r="AN65" s="3">
        <v>290.55</v>
      </c>
      <c r="AO65" s="1" t="s">
        <v>3193</v>
      </c>
      <c r="AP65" s="3">
        <v>290.55</v>
      </c>
      <c r="AQ65" s="1"/>
      <c r="AR65" s="1"/>
      <c r="AS65" s="1"/>
      <c r="AT65" s="1"/>
      <c r="AU65" s="1" t="s">
        <v>90</v>
      </c>
      <c r="AV65" s="3">
        <v>290.55</v>
      </c>
      <c r="AW65" s="1" t="s">
        <v>3194</v>
      </c>
      <c r="AX65" s="3">
        <v>290.55</v>
      </c>
      <c r="AY65" s="1" t="s">
        <v>3195</v>
      </c>
      <c r="AZ65" s="3">
        <v>290.55</v>
      </c>
      <c r="BA65" s="1" t="s">
        <v>3196</v>
      </c>
      <c r="BB65" s="3">
        <v>290.55</v>
      </c>
      <c r="BC65" s="67" t="s">
        <v>2613</v>
      </c>
      <c r="BD65" s="67">
        <v>295.09</v>
      </c>
      <c r="BE65" s="67">
        <f t="shared" si="1"/>
        <v>1622.995</v>
      </c>
    </row>
    <row r="66">
      <c r="A66" s="1"/>
      <c r="B66" s="1"/>
      <c r="C66" s="1" t="s">
        <v>3197</v>
      </c>
      <c r="D66" s="3">
        <v>290.55</v>
      </c>
      <c r="E66" s="1"/>
      <c r="F66" s="1"/>
      <c r="G66" s="1"/>
      <c r="H66" s="1"/>
      <c r="I66" s="1" t="s">
        <v>3198</v>
      </c>
      <c r="J66" s="3">
        <v>290.55</v>
      </c>
      <c r="K66" s="1" t="s">
        <v>3199</v>
      </c>
      <c r="L66" s="3">
        <v>290.55</v>
      </c>
      <c r="M66" s="1"/>
      <c r="N66" s="1"/>
      <c r="O66" s="1" t="s">
        <v>3200</v>
      </c>
      <c r="P66" s="3">
        <v>290.55</v>
      </c>
      <c r="Q66" s="1" t="s">
        <v>3201</v>
      </c>
      <c r="R66" s="3">
        <v>290.55</v>
      </c>
      <c r="S66" s="1" t="s">
        <v>3202</v>
      </c>
      <c r="T66" s="3">
        <v>290.55</v>
      </c>
      <c r="U66" s="1" t="s">
        <v>3203</v>
      </c>
      <c r="V66" s="3">
        <v>290.55</v>
      </c>
      <c r="W66" s="1" t="s">
        <v>3204</v>
      </c>
      <c r="X66" s="3">
        <v>290.55</v>
      </c>
      <c r="Y66" s="1" t="s">
        <v>3205</v>
      </c>
      <c r="Z66" s="3">
        <v>290.55</v>
      </c>
      <c r="AA66" s="1" t="s">
        <v>3206</v>
      </c>
      <c r="AB66" s="3">
        <v>290.55</v>
      </c>
      <c r="AC66" s="1" t="s">
        <v>3207</v>
      </c>
      <c r="AD66" s="3">
        <v>290.55</v>
      </c>
      <c r="AE66" s="1" t="s">
        <v>84</v>
      </c>
      <c r="AF66" s="3">
        <v>290.55</v>
      </c>
      <c r="AG66" s="1" t="s">
        <v>3208</v>
      </c>
      <c r="AH66" s="3">
        <v>290.55</v>
      </c>
      <c r="AI66" s="1" t="s">
        <v>3209</v>
      </c>
      <c r="AJ66" s="3">
        <v>290.55</v>
      </c>
      <c r="AK66" s="1" t="s">
        <v>3210</v>
      </c>
      <c r="AL66" s="3">
        <v>290.55</v>
      </c>
      <c r="AM66" s="1" t="s">
        <v>2784</v>
      </c>
      <c r="AN66" s="3">
        <v>290.55</v>
      </c>
      <c r="AO66" s="1" t="s">
        <v>3211</v>
      </c>
      <c r="AP66" s="3">
        <v>290.55</v>
      </c>
      <c r="AQ66" s="1"/>
      <c r="AR66" s="1"/>
      <c r="AS66" s="1"/>
      <c r="AT66" s="1"/>
      <c r="AU66" s="1" t="s">
        <v>3212</v>
      </c>
      <c r="AV66" s="3">
        <v>290.55</v>
      </c>
      <c r="AW66" s="1" t="s">
        <v>3213</v>
      </c>
      <c r="AX66" s="3">
        <v>290.55</v>
      </c>
      <c r="AY66" s="1" t="s">
        <v>3214</v>
      </c>
      <c r="AZ66" s="3">
        <v>290.55</v>
      </c>
      <c r="BA66" s="1" t="s">
        <v>3215</v>
      </c>
      <c r="BB66" s="3">
        <v>290.55</v>
      </c>
      <c r="BC66" s="67" t="s">
        <v>3216</v>
      </c>
      <c r="BD66" s="67">
        <v>385.32</v>
      </c>
      <c r="BE66" s="67">
        <f t="shared" si="1"/>
        <v>2119.26</v>
      </c>
    </row>
    <row r="67">
      <c r="A67" s="1"/>
      <c r="B67" s="1"/>
      <c r="C67" s="1" t="s">
        <v>3217</v>
      </c>
      <c r="D67" s="3">
        <v>290.55</v>
      </c>
      <c r="E67" s="1"/>
      <c r="F67" s="1"/>
      <c r="G67" s="1"/>
      <c r="H67" s="1"/>
      <c r="I67" s="1" t="s">
        <v>3218</v>
      </c>
      <c r="J67" s="3">
        <v>290.55</v>
      </c>
      <c r="K67" s="1" t="s">
        <v>3219</v>
      </c>
      <c r="L67" s="3">
        <v>290.55</v>
      </c>
      <c r="M67" s="1"/>
      <c r="N67" s="1"/>
      <c r="O67" s="1" t="s">
        <v>3220</v>
      </c>
      <c r="P67" s="3">
        <v>290.55</v>
      </c>
      <c r="Q67" s="1" t="s">
        <v>3221</v>
      </c>
      <c r="R67" s="3">
        <v>290.55</v>
      </c>
      <c r="S67" s="1" t="s">
        <v>3222</v>
      </c>
      <c r="T67" s="3">
        <v>290.55</v>
      </c>
      <c r="U67" s="1" t="s">
        <v>3223</v>
      </c>
      <c r="V67" s="3">
        <v>290.55</v>
      </c>
      <c r="W67" s="1" t="s">
        <v>318</v>
      </c>
      <c r="X67" s="3">
        <v>290.55</v>
      </c>
      <c r="Y67" s="1" t="s">
        <v>634</v>
      </c>
      <c r="Z67" s="68">
        <v>371.26</v>
      </c>
      <c r="AA67" s="1" t="s">
        <v>3224</v>
      </c>
      <c r="AB67" s="3">
        <v>290.55</v>
      </c>
      <c r="AC67" s="1" t="s">
        <v>3225</v>
      </c>
      <c r="AD67" s="3">
        <v>290.55</v>
      </c>
      <c r="AE67" s="1" t="s">
        <v>85</v>
      </c>
      <c r="AF67" s="3">
        <v>290.55</v>
      </c>
      <c r="AG67" s="1" t="s">
        <v>3226</v>
      </c>
      <c r="AH67" s="3">
        <v>290.55</v>
      </c>
      <c r="AI67" s="1" t="s">
        <v>3227</v>
      </c>
      <c r="AJ67" s="3">
        <v>290.55</v>
      </c>
      <c r="AK67" s="1" t="s">
        <v>3228</v>
      </c>
      <c r="AL67" s="3">
        <v>290.55</v>
      </c>
      <c r="AM67" s="1" t="s">
        <v>3229</v>
      </c>
      <c r="AN67" s="3">
        <v>290.55</v>
      </c>
      <c r="AO67" s="1" t="s">
        <v>3230</v>
      </c>
      <c r="AP67" s="3">
        <v>290.55</v>
      </c>
      <c r="AQ67" s="1"/>
      <c r="AR67" s="1"/>
      <c r="AS67" s="1"/>
      <c r="AT67" s="1"/>
      <c r="AU67" s="1" t="s">
        <v>3231</v>
      </c>
      <c r="AV67" s="3">
        <v>290.55</v>
      </c>
      <c r="AW67" s="1" t="s">
        <v>3232</v>
      </c>
      <c r="AX67" s="3">
        <v>290.55</v>
      </c>
      <c r="AY67" s="1" t="s">
        <v>3233</v>
      </c>
      <c r="AZ67" s="3">
        <v>290.55</v>
      </c>
      <c r="BA67" s="1" t="s">
        <v>3234</v>
      </c>
      <c r="BB67" s="3">
        <v>290.55</v>
      </c>
      <c r="BC67" s="67" t="s">
        <v>3235</v>
      </c>
      <c r="BD67" s="67">
        <v>398.91</v>
      </c>
      <c r="BE67" s="67">
        <f t="shared" si="1"/>
        <v>2194.005</v>
      </c>
    </row>
    <row r="68">
      <c r="A68" s="1"/>
      <c r="B68" s="1"/>
      <c r="C68" s="1" t="s">
        <v>3236</v>
      </c>
      <c r="D68" s="3">
        <v>290.55</v>
      </c>
      <c r="E68" s="1"/>
      <c r="F68" s="1"/>
      <c r="G68" s="1"/>
      <c r="H68" s="1"/>
      <c r="I68" s="1" t="s">
        <v>3237</v>
      </c>
      <c r="J68" s="3">
        <v>290.55</v>
      </c>
      <c r="K68" s="1" t="s">
        <v>3238</v>
      </c>
      <c r="L68" s="3">
        <v>290.55</v>
      </c>
      <c r="M68" s="1"/>
      <c r="N68" s="1"/>
      <c r="O68" s="1" t="s">
        <v>3239</v>
      </c>
      <c r="P68" s="3">
        <v>290.55</v>
      </c>
      <c r="Q68" s="1" t="s">
        <v>3240</v>
      </c>
      <c r="R68" s="3">
        <v>290.55</v>
      </c>
      <c r="S68" s="1" t="s">
        <v>3241</v>
      </c>
      <c r="T68" s="3">
        <v>290.55</v>
      </c>
      <c r="U68" s="1" t="s">
        <v>3242</v>
      </c>
      <c r="V68" s="3">
        <v>290.55</v>
      </c>
      <c r="W68" s="1" t="s">
        <v>3243</v>
      </c>
      <c r="X68" s="3">
        <v>290.55</v>
      </c>
      <c r="Y68" s="1" t="s">
        <v>3244</v>
      </c>
      <c r="Z68" s="3">
        <v>290.55</v>
      </c>
      <c r="AA68" s="1" t="s">
        <v>3245</v>
      </c>
      <c r="AB68" s="3">
        <v>290.55</v>
      </c>
      <c r="AC68" s="1" t="s">
        <v>3246</v>
      </c>
      <c r="AD68" s="3">
        <v>290.55</v>
      </c>
      <c r="AE68" s="1" t="s">
        <v>86</v>
      </c>
      <c r="AF68" s="3">
        <v>290.55</v>
      </c>
      <c r="AG68" s="1" t="s">
        <v>3247</v>
      </c>
      <c r="AH68" s="3">
        <v>290.55</v>
      </c>
      <c r="AI68" s="1" t="s">
        <v>3248</v>
      </c>
      <c r="AJ68" s="3">
        <v>290.55</v>
      </c>
      <c r="AK68" s="1" t="s">
        <v>2729</v>
      </c>
      <c r="AL68" s="3">
        <v>290.55</v>
      </c>
      <c r="AM68" s="1" t="s">
        <v>3249</v>
      </c>
      <c r="AN68" s="3">
        <v>290.55</v>
      </c>
      <c r="AO68" s="1" t="s">
        <v>3250</v>
      </c>
      <c r="AP68" s="3">
        <v>290.55</v>
      </c>
      <c r="AQ68" s="1"/>
      <c r="AR68" s="1"/>
      <c r="AS68" s="1"/>
      <c r="AT68" s="1"/>
      <c r="AU68" s="1" t="s">
        <v>3251</v>
      </c>
      <c r="AV68" s="3">
        <v>290.55</v>
      </c>
      <c r="AW68" s="1" t="s">
        <v>3252</v>
      </c>
      <c r="AX68" s="3">
        <v>290.55</v>
      </c>
      <c r="AY68" s="1" t="s">
        <v>3253</v>
      </c>
      <c r="AZ68" s="3">
        <v>290.55</v>
      </c>
      <c r="BA68" s="1" t="s">
        <v>3254</v>
      </c>
      <c r="BB68" s="3">
        <v>290.55</v>
      </c>
      <c r="BC68" s="67" t="s">
        <v>3255</v>
      </c>
      <c r="BD68" s="67">
        <v>398.91</v>
      </c>
      <c r="BE68" s="67">
        <f t="shared" si="1"/>
        <v>2194.005</v>
      </c>
    </row>
    <row r="69">
      <c r="A69" s="1"/>
      <c r="B69" s="1"/>
      <c r="C69" s="1" t="s">
        <v>3256</v>
      </c>
      <c r="D69" s="3">
        <v>290.55</v>
      </c>
      <c r="E69" s="1"/>
      <c r="F69" s="1"/>
      <c r="G69" s="1"/>
      <c r="H69" s="1"/>
      <c r="I69" s="1" t="s">
        <v>3257</v>
      </c>
      <c r="J69" s="3">
        <v>290.55</v>
      </c>
      <c r="K69" s="1" t="s">
        <v>3258</v>
      </c>
      <c r="L69" s="3">
        <v>290.55</v>
      </c>
      <c r="M69" s="1"/>
      <c r="N69" s="1"/>
      <c r="O69" s="1" t="s">
        <v>3259</v>
      </c>
      <c r="P69" s="3">
        <v>290.55</v>
      </c>
      <c r="Q69" s="1" t="s">
        <v>3260</v>
      </c>
      <c r="R69" s="3">
        <v>290.55</v>
      </c>
      <c r="S69" s="1" t="s">
        <v>3261</v>
      </c>
      <c r="T69" s="3">
        <v>290.55</v>
      </c>
      <c r="U69" s="1" t="s">
        <v>3262</v>
      </c>
      <c r="V69" s="3">
        <v>290.55</v>
      </c>
      <c r="W69" s="1" t="s">
        <v>3263</v>
      </c>
      <c r="X69" s="3">
        <v>290.55</v>
      </c>
      <c r="Y69" s="1" t="s">
        <v>3264</v>
      </c>
      <c r="Z69" s="3">
        <v>290.55</v>
      </c>
      <c r="AA69" s="1" t="s">
        <v>3265</v>
      </c>
      <c r="AB69" s="3">
        <v>290.55</v>
      </c>
      <c r="AC69" s="1" t="s">
        <v>3266</v>
      </c>
      <c r="AD69" s="3">
        <v>290.55</v>
      </c>
      <c r="AE69" s="1" t="s">
        <v>87</v>
      </c>
      <c r="AF69" s="3">
        <v>290.55</v>
      </c>
      <c r="AG69" s="1" t="s">
        <v>3267</v>
      </c>
      <c r="AH69" s="3">
        <v>290.55</v>
      </c>
      <c r="AI69" s="1" t="s">
        <v>3268</v>
      </c>
      <c r="AJ69" s="3">
        <v>290.55</v>
      </c>
      <c r="AK69" s="1" t="s">
        <v>3269</v>
      </c>
      <c r="AL69" s="3">
        <v>290.55</v>
      </c>
      <c r="AM69" s="1" t="s">
        <v>3270</v>
      </c>
      <c r="AN69" s="3">
        <v>290.55</v>
      </c>
      <c r="AO69" s="1" t="s">
        <v>1517</v>
      </c>
      <c r="AP69" s="3">
        <v>371.26</v>
      </c>
      <c r="AQ69" s="1"/>
      <c r="AR69" s="1"/>
      <c r="AS69" s="1"/>
      <c r="AT69" s="1"/>
      <c r="AU69" s="1" t="s">
        <v>3271</v>
      </c>
      <c r="AV69" s="3">
        <v>290.55</v>
      </c>
      <c r="AW69" s="1" t="s">
        <v>3272</v>
      </c>
      <c r="AX69" s="3">
        <v>290.55</v>
      </c>
      <c r="AY69" s="1" t="s">
        <v>3273</v>
      </c>
      <c r="AZ69" s="3">
        <v>290.55</v>
      </c>
      <c r="BA69" s="1" t="s">
        <v>3274</v>
      </c>
      <c r="BB69" s="3">
        <v>290.55</v>
      </c>
      <c r="BC69" s="67" t="s">
        <v>3275</v>
      </c>
      <c r="BD69" s="67">
        <v>398.91</v>
      </c>
      <c r="BE69" s="67">
        <f t="shared" si="1"/>
        <v>2194.005</v>
      </c>
    </row>
    <row r="70">
      <c r="A70" s="1"/>
      <c r="B70" s="1"/>
      <c r="C70" s="1" t="s">
        <v>3276</v>
      </c>
      <c r="D70" s="3">
        <v>290.55</v>
      </c>
      <c r="E70" s="1"/>
      <c r="F70" s="1"/>
      <c r="G70" s="1"/>
      <c r="H70" s="1"/>
      <c r="I70" s="1" t="s">
        <v>3277</v>
      </c>
      <c r="J70" s="3">
        <v>290.55</v>
      </c>
      <c r="K70" s="1" t="s">
        <v>3278</v>
      </c>
      <c r="L70" s="3">
        <v>290.55</v>
      </c>
      <c r="M70" s="1"/>
      <c r="N70" s="1"/>
      <c r="O70" s="1" t="s">
        <v>3279</v>
      </c>
      <c r="P70" s="3">
        <v>290.55</v>
      </c>
      <c r="Q70" s="1" t="s">
        <v>3280</v>
      </c>
      <c r="R70" s="3">
        <v>290.55</v>
      </c>
      <c r="S70" s="1" t="s">
        <v>3281</v>
      </c>
      <c r="T70" s="3">
        <v>290.55</v>
      </c>
      <c r="U70" s="1" t="s">
        <v>3282</v>
      </c>
      <c r="V70" s="3">
        <v>290.55</v>
      </c>
      <c r="W70" s="1" t="s">
        <v>3283</v>
      </c>
      <c r="X70" s="3">
        <v>290.55</v>
      </c>
      <c r="Y70" s="1" t="s">
        <v>3284</v>
      </c>
      <c r="Z70" s="3">
        <v>290.55</v>
      </c>
      <c r="AA70" s="1" t="s">
        <v>3285</v>
      </c>
      <c r="AB70" s="3">
        <v>290.55</v>
      </c>
      <c r="AC70" s="1" t="s">
        <v>3286</v>
      </c>
      <c r="AD70" s="3">
        <v>290.55</v>
      </c>
      <c r="AE70" s="1" t="s">
        <v>88</v>
      </c>
      <c r="AF70" s="3">
        <v>290.55</v>
      </c>
      <c r="AG70" s="1" t="s">
        <v>3287</v>
      </c>
      <c r="AH70" s="3">
        <v>290.55</v>
      </c>
      <c r="AI70" s="1" t="s">
        <v>3288</v>
      </c>
      <c r="AJ70" s="3">
        <v>290.55</v>
      </c>
      <c r="AK70" s="1" t="s">
        <v>3289</v>
      </c>
      <c r="AL70" s="3">
        <v>290.55</v>
      </c>
      <c r="AM70" s="1" t="s">
        <v>3290</v>
      </c>
      <c r="AN70" s="3">
        <v>290.55</v>
      </c>
      <c r="AO70" s="1" t="s">
        <v>3291</v>
      </c>
      <c r="AP70" s="3">
        <v>290.55</v>
      </c>
      <c r="AQ70" s="1"/>
      <c r="AR70" s="1"/>
      <c r="AS70" s="1"/>
      <c r="AT70" s="1"/>
      <c r="AU70" s="1" t="s">
        <v>1564</v>
      </c>
      <c r="AV70" s="3">
        <v>290.55</v>
      </c>
      <c r="AW70" s="1" t="s">
        <v>3292</v>
      </c>
      <c r="AX70" s="3">
        <v>290.55</v>
      </c>
      <c r="AY70" s="1" t="s">
        <v>3293</v>
      </c>
      <c r="AZ70" s="3">
        <v>290.55</v>
      </c>
      <c r="BA70" s="1" t="s">
        <v>3294</v>
      </c>
      <c r="BB70" s="3">
        <v>290.55</v>
      </c>
      <c r="BC70" s="67" t="s">
        <v>3295</v>
      </c>
      <c r="BD70" s="67">
        <v>385.32</v>
      </c>
      <c r="BE70" s="67">
        <f t="shared" si="1"/>
        <v>2119.26</v>
      </c>
    </row>
    <row r="71">
      <c r="A71" s="1"/>
      <c r="B71" s="1"/>
      <c r="C71" s="1" t="s">
        <v>3296</v>
      </c>
      <c r="D71" s="3">
        <v>290.55</v>
      </c>
      <c r="E71" s="1"/>
      <c r="F71" s="1"/>
      <c r="G71" s="1"/>
      <c r="H71" s="1"/>
      <c r="I71" s="1" t="s">
        <v>3297</v>
      </c>
      <c r="J71" s="3">
        <v>290.55</v>
      </c>
      <c r="K71" s="1" t="s">
        <v>3298</v>
      </c>
      <c r="L71" s="3">
        <v>290.55</v>
      </c>
      <c r="M71" s="1"/>
      <c r="N71" s="1"/>
      <c r="O71" s="1" t="s">
        <v>3299</v>
      </c>
      <c r="P71" s="3">
        <v>290.55</v>
      </c>
      <c r="Q71" s="1" t="s">
        <v>3300</v>
      </c>
      <c r="R71" s="3">
        <v>290.55</v>
      </c>
      <c r="S71" s="1" t="s">
        <v>3301</v>
      </c>
      <c r="T71" s="3">
        <v>290.55</v>
      </c>
      <c r="U71" s="1" t="s">
        <v>3302</v>
      </c>
      <c r="V71" s="3">
        <v>290.55</v>
      </c>
      <c r="W71" s="1" t="s">
        <v>3303</v>
      </c>
      <c r="X71" s="3">
        <v>290.55</v>
      </c>
      <c r="Y71" s="1" t="s">
        <v>3304</v>
      </c>
      <c r="Z71" s="3">
        <v>290.55</v>
      </c>
      <c r="AA71" s="1" t="s">
        <v>3305</v>
      </c>
      <c r="AB71" s="3">
        <v>290.55</v>
      </c>
      <c r="AC71" s="1" t="s">
        <v>3306</v>
      </c>
      <c r="AD71" s="3">
        <v>290.55</v>
      </c>
      <c r="AE71" s="1" t="s">
        <v>23</v>
      </c>
      <c r="AF71" s="3">
        <v>290.55</v>
      </c>
      <c r="AG71" s="1" t="s">
        <v>3307</v>
      </c>
      <c r="AH71" s="3">
        <v>290.55</v>
      </c>
      <c r="AI71" s="1" t="s">
        <v>3308</v>
      </c>
      <c r="AJ71" s="3">
        <v>290.55</v>
      </c>
      <c r="AK71" s="1" t="s">
        <v>3309</v>
      </c>
      <c r="AL71" s="3">
        <v>290.55</v>
      </c>
      <c r="AM71" s="1" t="s">
        <v>3310</v>
      </c>
      <c r="AN71" s="3">
        <v>290.55</v>
      </c>
      <c r="AO71" s="1" t="s">
        <v>3311</v>
      </c>
      <c r="AP71" s="3">
        <v>290.55</v>
      </c>
      <c r="AQ71" s="1"/>
      <c r="AR71" s="1"/>
      <c r="AS71" s="1"/>
      <c r="AT71" s="1"/>
      <c r="AU71" s="1" t="s">
        <v>3312</v>
      </c>
      <c r="AV71" s="3">
        <v>290.55</v>
      </c>
      <c r="AW71" s="1" t="s">
        <v>3313</v>
      </c>
      <c r="AX71" s="3">
        <v>290.55</v>
      </c>
      <c r="AY71" s="1" t="s">
        <v>3314</v>
      </c>
      <c r="AZ71" s="3">
        <v>290.55</v>
      </c>
      <c r="BA71" s="1" t="s">
        <v>3315</v>
      </c>
      <c r="BB71" s="3">
        <v>290.55</v>
      </c>
      <c r="BC71" s="67" t="s">
        <v>3316</v>
      </c>
      <c r="BD71" s="67">
        <v>456.3</v>
      </c>
      <c r="BE71" s="67">
        <f t="shared" si="1"/>
        <v>2509.65</v>
      </c>
    </row>
    <row r="72">
      <c r="A72" s="1"/>
      <c r="B72" s="1"/>
      <c r="C72" s="1" t="s">
        <v>3317</v>
      </c>
      <c r="D72" s="3">
        <v>290.55</v>
      </c>
      <c r="E72" s="1"/>
      <c r="F72" s="1"/>
      <c r="G72" s="1"/>
      <c r="H72" s="1"/>
      <c r="I72" s="1" t="s">
        <v>3318</v>
      </c>
      <c r="J72" s="3">
        <v>290.55</v>
      </c>
      <c r="K72" s="1" t="s">
        <v>3319</v>
      </c>
      <c r="L72" s="3">
        <v>290.55</v>
      </c>
      <c r="M72" s="1"/>
      <c r="N72" s="1"/>
      <c r="O72" s="1" t="s">
        <v>3320</v>
      </c>
      <c r="P72" s="3">
        <v>290.55</v>
      </c>
      <c r="Q72" s="1" t="s">
        <v>3321</v>
      </c>
      <c r="R72" s="3">
        <v>290.55</v>
      </c>
      <c r="S72" s="1" t="s">
        <v>3322</v>
      </c>
      <c r="T72" s="3">
        <v>290.55</v>
      </c>
      <c r="U72" s="1" t="s">
        <v>3323</v>
      </c>
      <c r="V72" s="3">
        <v>290.55</v>
      </c>
      <c r="W72" s="1" t="s">
        <v>3324</v>
      </c>
      <c r="X72" s="3">
        <v>290.55</v>
      </c>
      <c r="Y72" s="1" t="s">
        <v>3325</v>
      </c>
      <c r="Z72" s="3">
        <v>290.55</v>
      </c>
      <c r="AA72" s="1" t="s">
        <v>3326</v>
      </c>
      <c r="AB72" s="3">
        <v>290.55</v>
      </c>
      <c r="AC72" s="1" t="s">
        <v>3327</v>
      </c>
      <c r="AD72" s="3">
        <v>290.55</v>
      </c>
      <c r="AE72" s="1" t="s">
        <v>89</v>
      </c>
      <c r="AF72" s="3">
        <v>290.55</v>
      </c>
      <c r="AG72" s="1" t="s">
        <v>3328</v>
      </c>
      <c r="AH72" s="3">
        <v>290.55</v>
      </c>
      <c r="AI72" s="1" t="s">
        <v>3329</v>
      </c>
      <c r="AJ72" s="3">
        <v>290.55</v>
      </c>
      <c r="AK72" s="1" t="s">
        <v>3330</v>
      </c>
      <c r="AL72" s="3">
        <v>290.55</v>
      </c>
      <c r="AM72" s="1" t="s">
        <v>3331</v>
      </c>
      <c r="AN72" s="3">
        <v>290.55</v>
      </c>
      <c r="AO72" s="1" t="s">
        <v>3332</v>
      </c>
      <c r="AP72" s="3">
        <v>290.55</v>
      </c>
      <c r="AQ72" s="1"/>
      <c r="AR72" s="1"/>
      <c r="AS72" s="1"/>
      <c r="AT72" s="1"/>
      <c r="AU72" s="1" t="s">
        <v>3333</v>
      </c>
      <c r="AV72" s="3">
        <v>290.55</v>
      </c>
      <c r="AW72" s="1" t="s">
        <v>3334</v>
      </c>
      <c r="AX72" s="3">
        <v>290.55</v>
      </c>
      <c r="AY72" s="1" t="s">
        <v>3335</v>
      </c>
      <c r="AZ72" s="3">
        <v>290.55</v>
      </c>
      <c r="BA72" s="1" t="s">
        <v>3336</v>
      </c>
      <c r="BB72" s="3">
        <v>290.55</v>
      </c>
      <c r="BC72" s="67" t="s">
        <v>570</v>
      </c>
      <c r="BD72" s="67">
        <v>383.52</v>
      </c>
      <c r="BE72" s="67">
        <f t="shared" si="1"/>
        <v>2109.36</v>
      </c>
    </row>
    <row r="73">
      <c r="A73" s="1"/>
      <c r="B73" s="1"/>
      <c r="C73" s="1" t="s">
        <v>3337</v>
      </c>
      <c r="D73" s="3">
        <v>290.55</v>
      </c>
      <c r="E73" s="1"/>
      <c r="F73" s="1"/>
      <c r="G73" s="1"/>
      <c r="H73" s="1"/>
      <c r="I73" s="1" t="s">
        <v>3338</v>
      </c>
      <c r="J73" s="3">
        <v>290.55</v>
      </c>
      <c r="K73" s="1" t="s">
        <v>3339</v>
      </c>
      <c r="L73" s="3">
        <v>290.55</v>
      </c>
      <c r="M73" s="1"/>
      <c r="N73" s="1"/>
      <c r="O73" s="1" t="s">
        <v>3340</v>
      </c>
      <c r="P73" s="3">
        <v>290.55</v>
      </c>
      <c r="Q73" s="1" t="s">
        <v>3341</v>
      </c>
      <c r="R73" s="3">
        <v>290.55</v>
      </c>
      <c r="S73" s="1" t="s">
        <v>3342</v>
      </c>
      <c r="T73" s="3">
        <v>290.55</v>
      </c>
      <c r="U73" s="1" t="s">
        <v>3343</v>
      </c>
      <c r="V73" s="3">
        <v>290.55</v>
      </c>
      <c r="W73" s="1" t="s">
        <v>3344</v>
      </c>
      <c r="X73" s="3">
        <v>290.55</v>
      </c>
      <c r="Y73" s="1" t="s">
        <v>3345</v>
      </c>
      <c r="Z73" s="3">
        <v>290.55</v>
      </c>
      <c r="AA73" s="1" t="s">
        <v>3346</v>
      </c>
      <c r="AB73" s="3">
        <v>290.55</v>
      </c>
      <c r="AC73" s="1" t="s">
        <v>3347</v>
      </c>
      <c r="AD73" s="3">
        <v>290.55</v>
      </c>
      <c r="AE73" s="1" t="s">
        <v>90</v>
      </c>
      <c r="AF73" s="3">
        <v>290.55</v>
      </c>
      <c r="AG73" s="1" t="s">
        <v>3348</v>
      </c>
      <c r="AH73" s="3">
        <v>290.55</v>
      </c>
      <c r="AI73" s="1" t="s">
        <v>3349</v>
      </c>
      <c r="AJ73" s="3">
        <v>290.55</v>
      </c>
      <c r="AK73" s="1" t="s">
        <v>3350</v>
      </c>
      <c r="AL73" s="3">
        <v>290.55</v>
      </c>
      <c r="AM73" s="1" t="s">
        <v>3351</v>
      </c>
      <c r="AN73" s="3">
        <v>290.55</v>
      </c>
      <c r="AO73" s="1" t="s">
        <v>3352</v>
      </c>
      <c r="AP73" s="3">
        <v>290.55</v>
      </c>
      <c r="AQ73" s="1"/>
      <c r="AR73" s="1"/>
      <c r="AS73" s="1"/>
      <c r="AT73" s="1"/>
      <c r="AU73" s="1" t="s">
        <v>3353</v>
      </c>
      <c r="AV73" s="3">
        <v>290.55</v>
      </c>
      <c r="AW73" s="1" t="s">
        <v>3354</v>
      </c>
      <c r="AX73" s="3">
        <v>290.55</v>
      </c>
      <c r="AY73" s="1" t="s">
        <v>3355</v>
      </c>
      <c r="AZ73" s="3">
        <v>290.55</v>
      </c>
      <c r="BA73" s="1" t="s">
        <v>3356</v>
      </c>
      <c r="BB73" s="3">
        <v>290.55</v>
      </c>
      <c r="BC73" s="67" t="s">
        <v>3357</v>
      </c>
      <c r="BD73" s="67">
        <v>398.91</v>
      </c>
      <c r="BE73" s="67">
        <f t="shared" si="1"/>
        <v>2194.005</v>
      </c>
    </row>
    <row r="74">
      <c r="A74" s="1"/>
      <c r="B74" s="1"/>
      <c r="C74" s="1" t="s">
        <v>3358</v>
      </c>
      <c r="D74" s="3">
        <v>290.55</v>
      </c>
      <c r="E74" s="1"/>
      <c r="F74" s="1"/>
      <c r="G74" s="1"/>
      <c r="H74" s="1"/>
      <c r="I74" s="1" t="s">
        <v>3359</v>
      </c>
      <c r="J74" s="3">
        <v>290.55</v>
      </c>
      <c r="K74" s="1" t="s">
        <v>3360</v>
      </c>
      <c r="L74" s="3">
        <v>290.55</v>
      </c>
      <c r="M74" s="1"/>
      <c r="N74" s="1"/>
      <c r="O74" s="1" t="s">
        <v>519</v>
      </c>
      <c r="P74" s="3">
        <v>290.55</v>
      </c>
      <c r="Q74" s="1" t="s">
        <v>3361</v>
      </c>
      <c r="R74" s="3">
        <v>290.55</v>
      </c>
      <c r="S74" s="1" t="s">
        <v>3362</v>
      </c>
      <c r="T74" s="3">
        <v>290.55</v>
      </c>
      <c r="U74" s="1" t="s">
        <v>3363</v>
      </c>
      <c r="V74" s="3">
        <v>290.55</v>
      </c>
      <c r="W74" s="1" t="s">
        <v>3364</v>
      </c>
      <c r="X74" s="3">
        <v>290.55</v>
      </c>
      <c r="Y74" s="1" t="s">
        <v>3365</v>
      </c>
      <c r="Z74" s="3">
        <v>290.55</v>
      </c>
      <c r="AA74" s="1" t="s">
        <v>3366</v>
      </c>
      <c r="AB74" s="3">
        <v>290.55</v>
      </c>
      <c r="AC74" s="1" t="s">
        <v>3367</v>
      </c>
      <c r="AD74" s="3">
        <v>290.55</v>
      </c>
      <c r="AE74" s="1" t="s">
        <v>91</v>
      </c>
      <c r="AF74" s="3">
        <v>290.55</v>
      </c>
      <c r="AG74" s="1" t="s">
        <v>3368</v>
      </c>
      <c r="AH74" s="3">
        <v>290.55</v>
      </c>
      <c r="AI74" s="1" t="s">
        <v>3369</v>
      </c>
      <c r="AJ74" s="3">
        <v>290.55</v>
      </c>
      <c r="AK74" s="1" t="s">
        <v>3370</v>
      </c>
      <c r="AL74" s="3">
        <v>290.55</v>
      </c>
      <c r="AM74" s="1" t="s">
        <v>3371</v>
      </c>
      <c r="AN74" s="3">
        <v>290.55</v>
      </c>
      <c r="AO74" s="1" t="s">
        <v>3372</v>
      </c>
      <c r="AP74" s="3">
        <v>290.55</v>
      </c>
      <c r="AQ74" s="1"/>
      <c r="AR74" s="1"/>
      <c r="AS74" s="1"/>
      <c r="AT74" s="1"/>
      <c r="AU74" s="1" t="s">
        <v>3373</v>
      </c>
      <c r="AV74" s="3">
        <v>290.55</v>
      </c>
      <c r="AW74" s="1" t="s">
        <v>3374</v>
      </c>
      <c r="AX74" s="3">
        <v>290.55</v>
      </c>
      <c r="AY74" s="1" t="s">
        <v>3375</v>
      </c>
      <c r="AZ74" s="3">
        <v>290.55</v>
      </c>
      <c r="BA74" s="1" t="s">
        <v>3376</v>
      </c>
      <c r="BB74" s="3">
        <v>290.55</v>
      </c>
      <c r="BC74" s="67" t="s">
        <v>3377</v>
      </c>
      <c r="BD74" s="67">
        <v>385.32</v>
      </c>
      <c r="BE74" s="67">
        <f t="shared" si="1"/>
        <v>2119.26</v>
      </c>
    </row>
    <row r="75">
      <c r="A75" s="1"/>
      <c r="B75" s="1"/>
      <c r="C75" s="1" t="s">
        <v>3378</v>
      </c>
      <c r="D75" s="3">
        <v>290.55</v>
      </c>
      <c r="E75" s="1"/>
      <c r="F75" s="1"/>
      <c r="G75" s="1"/>
      <c r="H75" s="1"/>
      <c r="I75" s="1" t="s">
        <v>3379</v>
      </c>
      <c r="J75" s="3">
        <v>290.55</v>
      </c>
      <c r="K75" s="1" t="s">
        <v>3380</v>
      </c>
      <c r="L75" s="3">
        <v>290.55</v>
      </c>
      <c r="M75" s="1"/>
      <c r="N75" s="1"/>
      <c r="O75" s="1" t="s">
        <v>3381</v>
      </c>
      <c r="P75" s="3">
        <v>290.55</v>
      </c>
      <c r="Q75" s="1" t="s">
        <v>3382</v>
      </c>
      <c r="R75" s="3">
        <v>290.55</v>
      </c>
      <c r="S75" s="1" t="s">
        <v>3383</v>
      </c>
      <c r="T75" s="3">
        <v>290.55</v>
      </c>
      <c r="U75" s="1" t="s">
        <v>3384</v>
      </c>
      <c r="V75" s="3">
        <v>290.55</v>
      </c>
      <c r="W75" s="1" t="s">
        <v>3385</v>
      </c>
      <c r="X75" s="3">
        <v>290.55</v>
      </c>
      <c r="Y75" s="1" t="s">
        <v>3386</v>
      </c>
      <c r="Z75" s="3">
        <v>290.55</v>
      </c>
      <c r="AA75" s="1" t="s">
        <v>3387</v>
      </c>
      <c r="AB75" s="3">
        <v>290.55</v>
      </c>
      <c r="AC75" s="1" t="s">
        <v>3388</v>
      </c>
      <c r="AD75" s="3">
        <v>290.55</v>
      </c>
      <c r="AE75" s="1" t="s">
        <v>92</v>
      </c>
      <c r="AF75" s="3">
        <v>290.55</v>
      </c>
      <c r="AG75" s="1" t="s">
        <v>3389</v>
      </c>
      <c r="AH75" s="3">
        <v>290.55</v>
      </c>
      <c r="AI75" s="1" t="s">
        <v>3390</v>
      </c>
      <c r="AJ75" s="3">
        <v>290.55</v>
      </c>
      <c r="AK75" s="1" t="s">
        <v>3391</v>
      </c>
      <c r="AL75" s="3">
        <v>290.55</v>
      </c>
      <c r="AM75" s="1" t="s">
        <v>3392</v>
      </c>
      <c r="AN75" s="3">
        <v>290.55</v>
      </c>
      <c r="AO75" s="1" t="s">
        <v>3393</v>
      </c>
      <c r="AP75" s="3">
        <v>290.55</v>
      </c>
      <c r="AQ75" s="1"/>
      <c r="AR75" s="1"/>
      <c r="AS75" s="1"/>
      <c r="AT75" s="1"/>
      <c r="AU75" s="1" t="s">
        <v>3394</v>
      </c>
      <c r="AV75" s="3">
        <v>290.55</v>
      </c>
      <c r="AW75" s="1" t="s">
        <v>3395</v>
      </c>
      <c r="AX75" s="3">
        <v>290.55</v>
      </c>
      <c r="AY75" s="1" t="s">
        <v>3396</v>
      </c>
      <c r="AZ75" s="3">
        <v>290.55</v>
      </c>
      <c r="BA75" s="1" t="s">
        <v>3397</v>
      </c>
      <c r="BB75" s="3">
        <v>290.55</v>
      </c>
      <c r="BC75" s="67" t="s">
        <v>3398</v>
      </c>
      <c r="BD75" s="67">
        <v>456.3</v>
      </c>
      <c r="BE75" s="67">
        <f t="shared" si="1"/>
        <v>2509.65</v>
      </c>
    </row>
    <row r="76">
      <c r="A76" s="1"/>
      <c r="B76" s="1"/>
      <c r="C76" s="1" t="s">
        <v>3399</v>
      </c>
      <c r="D76" s="3">
        <v>290.55</v>
      </c>
      <c r="E76" s="1"/>
      <c r="F76" s="1"/>
      <c r="G76" s="1"/>
      <c r="H76" s="1"/>
      <c r="I76" s="1" t="s">
        <v>2389</v>
      </c>
      <c r="J76" s="3">
        <v>290.55</v>
      </c>
      <c r="K76" s="1" t="s">
        <v>3400</v>
      </c>
      <c r="L76" s="3">
        <v>290.55</v>
      </c>
      <c r="M76" s="1"/>
      <c r="N76" s="1"/>
      <c r="O76" s="1" t="s">
        <v>3401</v>
      </c>
      <c r="P76" s="3">
        <v>290.55</v>
      </c>
      <c r="Q76" s="1" t="s">
        <v>3402</v>
      </c>
      <c r="R76" s="3">
        <v>290.55</v>
      </c>
      <c r="S76" s="1" t="s">
        <v>3403</v>
      </c>
      <c r="T76" s="3">
        <v>290.55</v>
      </c>
      <c r="U76" s="1" t="s">
        <v>3404</v>
      </c>
      <c r="V76" s="3">
        <v>290.55</v>
      </c>
      <c r="W76" s="1" t="s">
        <v>3405</v>
      </c>
      <c r="X76" s="3">
        <v>290.55</v>
      </c>
      <c r="Y76" s="1" t="s">
        <v>3406</v>
      </c>
      <c r="Z76" s="3">
        <v>290.55</v>
      </c>
      <c r="AA76" s="1" t="s">
        <v>3407</v>
      </c>
      <c r="AB76" s="3">
        <v>290.55</v>
      </c>
      <c r="AC76" s="1" t="s">
        <v>3408</v>
      </c>
      <c r="AD76" s="3">
        <v>290.55</v>
      </c>
      <c r="AE76" s="1" t="s">
        <v>93</v>
      </c>
      <c r="AF76" s="3">
        <v>290.55</v>
      </c>
      <c r="AG76" s="1" t="s">
        <v>3409</v>
      </c>
      <c r="AH76" s="3">
        <v>290.55</v>
      </c>
      <c r="AI76" s="1" t="s">
        <v>3410</v>
      </c>
      <c r="AJ76" s="3">
        <v>290.55</v>
      </c>
      <c r="AK76" s="1" t="s">
        <v>3411</v>
      </c>
      <c r="AL76" s="3">
        <v>290.55</v>
      </c>
      <c r="AM76" s="1" t="s">
        <v>3412</v>
      </c>
      <c r="AN76" s="3">
        <v>290.55</v>
      </c>
      <c r="AO76" s="1" t="s">
        <v>3413</v>
      </c>
      <c r="AP76" s="3">
        <v>290.55</v>
      </c>
      <c r="AQ76" s="1"/>
      <c r="AR76" s="1"/>
      <c r="AS76" s="1"/>
      <c r="AT76" s="1"/>
      <c r="AU76" s="1" t="s">
        <v>3414</v>
      </c>
      <c r="AV76" s="3">
        <v>290.55</v>
      </c>
      <c r="AW76" s="1" t="s">
        <v>3415</v>
      </c>
      <c r="AX76" s="3">
        <v>290.55</v>
      </c>
      <c r="AY76" s="1" t="s">
        <v>3416</v>
      </c>
      <c r="AZ76" s="3">
        <v>290.55</v>
      </c>
      <c r="BA76" s="1" t="s">
        <v>3417</v>
      </c>
      <c r="BB76" s="3">
        <v>290.55</v>
      </c>
      <c r="BC76" s="67" t="s">
        <v>3418</v>
      </c>
      <c r="BD76" s="67">
        <v>456.3</v>
      </c>
      <c r="BE76" s="67">
        <f t="shared" si="1"/>
        <v>2509.65</v>
      </c>
    </row>
    <row r="77">
      <c r="A77" s="1"/>
      <c r="B77" s="1"/>
      <c r="C77" s="1" t="s">
        <v>3419</v>
      </c>
      <c r="D77" s="3">
        <v>290.55</v>
      </c>
      <c r="E77" s="1"/>
      <c r="F77" s="1"/>
      <c r="G77" s="1"/>
      <c r="H77" s="1"/>
      <c r="I77" s="1" t="s">
        <v>3420</v>
      </c>
      <c r="J77" s="3">
        <v>290.55</v>
      </c>
      <c r="K77" s="1" t="s">
        <v>3421</v>
      </c>
      <c r="L77" s="3">
        <v>290.55</v>
      </c>
      <c r="M77" s="1"/>
      <c r="N77" s="1"/>
      <c r="O77" s="1" t="s">
        <v>3422</v>
      </c>
      <c r="P77" s="3">
        <v>290.55</v>
      </c>
      <c r="Q77" s="1" t="s">
        <v>3423</v>
      </c>
      <c r="R77" s="3">
        <v>290.55</v>
      </c>
      <c r="S77" s="1" t="s">
        <v>3424</v>
      </c>
      <c r="T77" s="3">
        <v>290.55</v>
      </c>
      <c r="U77" s="1" t="s">
        <v>3425</v>
      </c>
      <c r="V77" s="3">
        <v>290.55</v>
      </c>
      <c r="W77" s="1" t="s">
        <v>3426</v>
      </c>
      <c r="X77" s="3">
        <v>290.55</v>
      </c>
      <c r="Y77" s="1" t="s">
        <v>54</v>
      </c>
      <c r="Z77" s="3">
        <v>290.55</v>
      </c>
      <c r="AA77" s="1" t="s">
        <v>3427</v>
      </c>
      <c r="AB77" s="3">
        <v>290.55</v>
      </c>
      <c r="AC77" s="1" t="s">
        <v>3428</v>
      </c>
      <c r="AD77" s="3">
        <v>290.55</v>
      </c>
      <c r="AE77" s="1" t="s">
        <v>94</v>
      </c>
      <c r="AF77" s="3">
        <v>290.55</v>
      </c>
      <c r="AG77" s="1" t="s">
        <v>3429</v>
      </c>
      <c r="AH77" s="3">
        <v>290.55</v>
      </c>
      <c r="AI77" s="1" t="s">
        <v>3430</v>
      </c>
      <c r="AJ77" s="3">
        <v>290.55</v>
      </c>
      <c r="AK77" s="1" t="s">
        <v>3431</v>
      </c>
      <c r="AL77" s="3">
        <v>290.55</v>
      </c>
      <c r="AM77" s="1" t="s">
        <v>3432</v>
      </c>
      <c r="AN77" s="3">
        <v>290.55</v>
      </c>
      <c r="AO77" s="1" t="s">
        <v>3433</v>
      </c>
      <c r="AP77" s="3">
        <v>290.55</v>
      </c>
      <c r="AQ77" s="1"/>
      <c r="AR77" s="1"/>
      <c r="AS77" s="1"/>
      <c r="AT77" s="1"/>
      <c r="AU77" s="1" t="s">
        <v>3434</v>
      </c>
      <c r="AV77" s="3">
        <v>290.55</v>
      </c>
      <c r="AW77" s="1" t="s">
        <v>3435</v>
      </c>
      <c r="AX77" s="3">
        <v>290.55</v>
      </c>
      <c r="AY77" s="1"/>
      <c r="AZ77" s="1"/>
      <c r="BA77" s="1" t="s">
        <v>3436</v>
      </c>
      <c r="BB77" s="3">
        <v>290.55</v>
      </c>
      <c r="BC77" s="67" t="s">
        <v>3437</v>
      </c>
      <c r="BD77" s="67">
        <v>398.91</v>
      </c>
      <c r="BE77" s="67">
        <f t="shared" si="1"/>
        <v>2194.005</v>
      </c>
    </row>
    <row r="78">
      <c r="A78" s="1"/>
      <c r="B78" s="1"/>
      <c r="C78" s="1" t="s">
        <v>3438</v>
      </c>
      <c r="D78" s="3">
        <v>290.55</v>
      </c>
      <c r="E78" s="1"/>
      <c r="F78" s="1"/>
      <c r="G78" s="1"/>
      <c r="H78" s="1"/>
      <c r="I78" s="1" t="s">
        <v>3439</v>
      </c>
      <c r="J78" s="3">
        <v>290.55</v>
      </c>
      <c r="K78" s="1" t="s">
        <v>161</v>
      </c>
      <c r="L78" s="3">
        <v>290.55</v>
      </c>
      <c r="M78" s="1"/>
      <c r="N78" s="1"/>
      <c r="O78" s="1" t="s">
        <v>3440</v>
      </c>
      <c r="P78" s="3">
        <v>290.55</v>
      </c>
      <c r="Q78" s="1" t="s">
        <v>3441</v>
      </c>
      <c r="R78" s="3">
        <v>290.55</v>
      </c>
      <c r="S78" s="1" t="s">
        <v>3442</v>
      </c>
      <c r="T78" s="3">
        <v>290.55</v>
      </c>
      <c r="U78" s="1" t="s">
        <v>3443</v>
      </c>
      <c r="V78" s="3">
        <v>290.55</v>
      </c>
      <c r="W78" s="1" t="s">
        <v>3444</v>
      </c>
      <c r="X78" s="3">
        <v>290.55</v>
      </c>
      <c r="Y78" s="1" t="s">
        <v>3445</v>
      </c>
      <c r="Z78" s="3">
        <v>290.55</v>
      </c>
      <c r="AA78" s="1" t="s">
        <v>3446</v>
      </c>
      <c r="AB78" s="3">
        <v>290.55</v>
      </c>
      <c r="AC78" s="1" t="s">
        <v>3447</v>
      </c>
      <c r="AD78" s="3">
        <v>290.55</v>
      </c>
      <c r="AE78" s="1" t="s">
        <v>95</v>
      </c>
      <c r="AF78" s="3">
        <v>290.55</v>
      </c>
      <c r="AG78" s="1" t="s">
        <v>3448</v>
      </c>
      <c r="AH78" s="3">
        <v>290.55</v>
      </c>
      <c r="AI78" s="1" t="s">
        <v>3449</v>
      </c>
      <c r="AJ78" s="3">
        <v>290.55</v>
      </c>
      <c r="AK78" s="1" t="s">
        <v>3450</v>
      </c>
      <c r="AL78" s="3">
        <v>290.55</v>
      </c>
      <c r="AM78" s="1" t="s">
        <v>3451</v>
      </c>
      <c r="AN78" s="3">
        <v>290.55</v>
      </c>
      <c r="AO78" s="1" t="s">
        <v>3452</v>
      </c>
      <c r="AP78" s="3">
        <v>290.55</v>
      </c>
      <c r="AQ78" s="1"/>
      <c r="AR78" s="1"/>
      <c r="AS78" s="1"/>
      <c r="AT78" s="1"/>
      <c r="AU78" s="1" t="s">
        <v>3453</v>
      </c>
      <c r="AV78" s="3">
        <v>290.55</v>
      </c>
      <c r="AW78" s="1" t="s">
        <v>2460</v>
      </c>
      <c r="AX78" s="3">
        <v>290.55</v>
      </c>
      <c r="AY78" s="1"/>
      <c r="AZ78" s="1"/>
      <c r="BA78" s="1" t="s">
        <v>3454</v>
      </c>
      <c r="BB78" s="3">
        <v>290.55</v>
      </c>
      <c r="BC78" s="67" t="s">
        <v>585</v>
      </c>
      <c r="BD78" s="67">
        <v>398.91</v>
      </c>
      <c r="BE78" s="67">
        <f t="shared" si="1"/>
        <v>2194.005</v>
      </c>
    </row>
    <row r="79">
      <c r="A79" s="1"/>
      <c r="B79" s="1"/>
      <c r="C79" s="1" t="s">
        <v>3455</v>
      </c>
      <c r="D79" s="3">
        <v>290.55</v>
      </c>
      <c r="E79" s="1"/>
      <c r="F79" s="1"/>
      <c r="G79" s="1"/>
      <c r="H79" s="1"/>
      <c r="I79" s="1" t="s">
        <v>3456</v>
      </c>
      <c r="J79" s="3">
        <v>290.55</v>
      </c>
      <c r="K79" s="1" t="s">
        <v>3457</v>
      </c>
      <c r="L79" s="3">
        <v>290.55</v>
      </c>
      <c r="M79" s="1"/>
      <c r="N79" s="1"/>
      <c r="O79" s="1" t="s">
        <v>3458</v>
      </c>
      <c r="P79" s="3">
        <v>371.26</v>
      </c>
      <c r="Q79" s="1" t="s">
        <v>3202</v>
      </c>
      <c r="R79" s="3">
        <v>290.55</v>
      </c>
      <c r="S79" s="1" t="s">
        <v>3459</v>
      </c>
      <c r="T79" s="3">
        <v>290.55</v>
      </c>
      <c r="U79" s="1" t="s">
        <v>3460</v>
      </c>
      <c r="V79" s="3">
        <v>290.55</v>
      </c>
      <c r="W79" s="1" t="s">
        <v>3461</v>
      </c>
      <c r="X79" s="3">
        <v>290.55</v>
      </c>
      <c r="Y79" s="1" t="s">
        <v>3462</v>
      </c>
      <c r="Z79" s="3">
        <v>290.55</v>
      </c>
      <c r="AA79" s="1" t="s">
        <v>3463</v>
      </c>
      <c r="AB79" s="3">
        <v>290.55</v>
      </c>
      <c r="AC79" s="1" t="s">
        <v>3464</v>
      </c>
      <c r="AD79" s="3">
        <v>290.55</v>
      </c>
      <c r="AE79" s="1" t="s">
        <v>96</v>
      </c>
      <c r="AF79" s="3">
        <v>290.55</v>
      </c>
      <c r="AG79" s="1" t="s">
        <v>165</v>
      </c>
      <c r="AH79" s="3">
        <v>290.55</v>
      </c>
      <c r="AI79" s="1" t="s">
        <v>3465</v>
      </c>
      <c r="AJ79" s="3">
        <v>290.55</v>
      </c>
      <c r="AK79" s="1" t="s">
        <v>3466</v>
      </c>
      <c r="AL79" s="3">
        <v>290.55</v>
      </c>
      <c r="AM79" s="1" t="s">
        <v>3467</v>
      </c>
      <c r="AN79" s="3">
        <v>290.55</v>
      </c>
      <c r="AO79" s="1" t="s">
        <v>3468</v>
      </c>
      <c r="AP79" s="3">
        <v>290.55</v>
      </c>
      <c r="AQ79" s="1"/>
      <c r="AR79" s="1"/>
      <c r="AS79" s="1"/>
      <c r="AT79" s="1"/>
      <c r="AU79" s="1" t="s">
        <v>3469</v>
      </c>
      <c r="AV79" s="3">
        <v>290.55</v>
      </c>
      <c r="AW79" s="1" t="s">
        <v>3470</v>
      </c>
      <c r="AX79" s="3">
        <v>290.55</v>
      </c>
      <c r="AY79" s="1"/>
      <c r="AZ79" s="1"/>
      <c r="BA79" s="1" t="s">
        <v>3471</v>
      </c>
      <c r="BB79" s="3">
        <v>290.55</v>
      </c>
      <c r="BC79" s="67" t="s">
        <v>3472</v>
      </c>
      <c r="BD79" s="67">
        <v>385.32</v>
      </c>
      <c r="BE79" s="67">
        <f t="shared" si="1"/>
        <v>2119.26</v>
      </c>
    </row>
    <row r="80">
      <c r="A80" s="1"/>
      <c r="B80" s="1"/>
      <c r="C80" s="1" t="s">
        <v>3473</v>
      </c>
      <c r="D80" s="3">
        <v>290.55</v>
      </c>
      <c r="E80" s="1"/>
      <c r="F80" s="1"/>
      <c r="G80" s="1"/>
      <c r="H80" s="1"/>
      <c r="I80" s="1" t="s">
        <v>3474</v>
      </c>
      <c r="J80" s="3">
        <v>290.55</v>
      </c>
      <c r="K80" s="1" t="s">
        <v>3475</v>
      </c>
      <c r="L80" s="3">
        <v>290.55</v>
      </c>
      <c r="M80" s="1"/>
      <c r="N80" s="1"/>
      <c r="O80" s="1"/>
      <c r="P80" s="1"/>
      <c r="Q80" s="1" t="s">
        <v>3476</v>
      </c>
      <c r="R80" s="3">
        <v>290.55</v>
      </c>
      <c r="S80" s="1" t="s">
        <v>3477</v>
      </c>
      <c r="T80" s="3">
        <v>290.55</v>
      </c>
      <c r="U80" s="1" t="s">
        <v>3478</v>
      </c>
      <c r="V80" s="3">
        <v>290.55</v>
      </c>
      <c r="W80" s="1" t="s">
        <v>3479</v>
      </c>
      <c r="X80" s="3">
        <v>290.55</v>
      </c>
      <c r="Y80" s="1" t="s">
        <v>3480</v>
      </c>
      <c r="Z80" s="3">
        <v>290.55</v>
      </c>
      <c r="AA80" s="1" t="s">
        <v>3481</v>
      </c>
      <c r="AB80" s="3">
        <v>290.55</v>
      </c>
      <c r="AC80" s="1" t="s">
        <v>3482</v>
      </c>
      <c r="AD80" s="3">
        <v>290.55</v>
      </c>
      <c r="AE80" s="1" t="s">
        <v>97</v>
      </c>
      <c r="AF80" s="3">
        <v>290.55</v>
      </c>
      <c r="AG80" s="1" t="s">
        <v>3483</v>
      </c>
      <c r="AH80" s="3">
        <v>290.55</v>
      </c>
      <c r="AI80" s="1" t="s">
        <v>2901</v>
      </c>
      <c r="AJ80" s="3">
        <v>290.55</v>
      </c>
      <c r="AK80" s="1" t="s">
        <v>3484</v>
      </c>
      <c r="AL80" s="3">
        <v>290.55</v>
      </c>
      <c r="AM80" s="1" t="s">
        <v>3485</v>
      </c>
      <c r="AN80" s="3">
        <v>290.55</v>
      </c>
      <c r="AO80" s="1" t="s">
        <v>3486</v>
      </c>
      <c r="AP80" s="3">
        <v>290.55</v>
      </c>
      <c r="AQ80" s="1"/>
      <c r="AR80" s="1"/>
      <c r="AS80" s="1"/>
      <c r="AT80" s="1"/>
      <c r="AU80" s="1" t="s">
        <v>3487</v>
      </c>
      <c r="AV80" s="3">
        <v>290.55</v>
      </c>
      <c r="AW80" s="1" t="s">
        <v>3488</v>
      </c>
      <c r="AX80" s="3">
        <v>290.55</v>
      </c>
      <c r="AY80" s="1"/>
      <c r="AZ80" s="1"/>
      <c r="BA80" s="1" t="s">
        <v>3489</v>
      </c>
      <c r="BB80" s="3">
        <v>290.55</v>
      </c>
      <c r="BC80" s="67" t="s">
        <v>3490</v>
      </c>
      <c r="BD80" s="67">
        <v>385.32</v>
      </c>
      <c r="BE80" s="67">
        <f t="shared" si="1"/>
        <v>2119.26</v>
      </c>
    </row>
    <row r="81">
      <c r="A81" s="1"/>
      <c r="B81" s="1"/>
      <c r="C81" s="1" t="s">
        <v>3491</v>
      </c>
      <c r="D81" s="3">
        <v>290.55</v>
      </c>
      <c r="E81" s="1"/>
      <c r="F81" s="1"/>
      <c r="G81" s="1"/>
      <c r="H81" s="1"/>
      <c r="I81" s="1" t="s">
        <v>3492</v>
      </c>
      <c r="J81" s="3">
        <v>290.55</v>
      </c>
      <c r="K81" s="1" t="s">
        <v>3493</v>
      </c>
      <c r="L81" s="3">
        <v>290.55</v>
      </c>
      <c r="M81" s="1"/>
      <c r="N81" s="1"/>
      <c r="O81" s="1"/>
      <c r="P81" s="1"/>
      <c r="Q81" s="1" t="s">
        <v>3494</v>
      </c>
      <c r="R81" s="3">
        <v>290.55</v>
      </c>
      <c r="S81" s="1" t="s">
        <v>3495</v>
      </c>
      <c r="T81" s="3">
        <v>290.55</v>
      </c>
      <c r="U81" s="1" t="s">
        <v>3496</v>
      </c>
      <c r="V81" s="3">
        <v>290.55</v>
      </c>
      <c r="W81" s="1"/>
      <c r="X81" s="1"/>
      <c r="Y81" s="1" t="s">
        <v>3497</v>
      </c>
      <c r="Z81" s="3">
        <v>290.55</v>
      </c>
      <c r="AA81" s="1" t="s">
        <v>3498</v>
      </c>
      <c r="AB81" s="3">
        <v>290.55</v>
      </c>
      <c r="AC81" s="1" t="s">
        <v>3499</v>
      </c>
      <c r="AD81" s="3">
        <v>290.55</v>
      </c>
      <c r="AE81" s="1" t="s">
        <v>98</v>
      </c>
      <c r="AF81" s="3">
        <v>290.55</v>
      </c>
      <c r="AG81" s="1" t="s">
        <v>3500</v>
      </c>
      <c r="AH81" s="3">
        <v>290.55</v>
      </c>
      <c r="AI81" s="1" t="s">
        <v>3501</v>
      </c>
      <c r="AJ81" s="3">
        <v>290.55</v>
      </c>
      <c r="AK81" s="1" t="s">
        <v>3502</v>
      </c>
      <c r="AL81" s="3">
        <v>290.55</v>
      </c>
      <c r="AM81" s="1" t="s">
        <v>3503</v>
      </c>
      <c r="AN81" s="3">
        <v>290.55</v>
      </c>
      <c r="AO81" s="1" t="s">
        <v>3504</v>
      </c>
      <c r="AP81" s="3">
        <v>290.55</v>
      </c>
      <c r="AQ81" s="1"/>
      <c r="AR81" s="1"/>
      <c r="AS81" s="1"/>
      <c r="AT81" s="1"/>
      <c r="AU81" s="1" t="s">
        <v>3505</v>
      </c>
      <c r="AV81" s="3">
        <v>290.55</v>
      </c>
      <c r="AW81" s="1" t="s">
        <v>3506</v>
      </c>
      <c r="AX81" s="3">
        <v>290.55</v>
      </c>
      <c r="AY81" s="1"/>
      <c r="AZ81" s="1"/>
      <c r="BA81" s="1" t="s">
        <v>2811</v>
      </c>
      <c r="BB81" s="3">
        <v>290.55</v>
      </c>
      <c r="BC81" s="67" t="s">
        <v>3507</v>
      </c>
      <c r="BD81" s="67">
        <v>385.32</v>
      </c>
      <c r="BE81" s="67">
        <f t="shared" si="1"/>
        <v>2119.26</v>
      </c>
    </row>
    <row r="82">
      <c r="A82" s="1"/>
      <c r="B82" s="1"/>
      <c r="C82" s="1" t="s">
        <v>3508</v>
      </c>
      <c r="D82" s="3">
        <v>290.55</v>
      </c>
      <c r="E82" s="1"/>
      <c r="F82" s="1"/>
      <c r="G82" s="1"/>
      <c r="H82" s="1"/>
      <c r="I82" s="1" t="s">
        <v>3509</v>
      </c>
      <c r="J82" s="3">
        <v>290.55</v>
      </c>
      <c r="K82" s="1" t="s">
        <v>3510</v>
      </c>
      <c r="L82" s="3">
        <v>290.55</v>
      </c>
      <c r="M82" s="1"/>
      <c r="N82" s="1"/>
      <c r="O82" s="1"/>
      <c r="P82" s="1"/>
      <c r="Q82" s="1" t="s">
        <v>3511</v>
      </c>
      <c r="R82" s="3">
        <v>290.55</v>
      </c>
      <c r="S82" s="1" t="s">
        <v>3512</v>
      </c>
      <c r="T82" s="3">
        <v>290.55</v>
      </c>
      <c r="U82" s="1" t="s">
        <v>3513</v>
      </c>
      <c r="V82" s="3">
        <v>290.55</v>
      </c>
      <c r="W82" s="1"/>
      <c r="X82" s="1"/>
      <c r="Y82" s="1" t="s">
        <v>3514</v>
      </c>
      <c r="Z82" s="3">
        <v>290.55</v>
      </c>
      <c r="AA82" s="1" t="s">
        <v>3515</v>
      </c>
      <c r="AB82" s="3">
        <v>290.55</v>
      </c>
      <c r="AC82" s="1" t="s">
        <v>3516</v>
      </c>
      <c r="AD82" s="3">
        <v>290.55</v>
      </c>
      <c r="AE82" s="1" t="s">
        <v>99</v>
      </c>
      <c r="AF82" s="3">
        <v>290.55</v>
      </c>
      <c r="AG82" s="1" t="s">
        <v>3517</v>
      </c>
      <c r="AH82" s="3">
        <v>290.55</v>
      </c>
      <c r="AI82" s="1" t="s">
        <v>3518</v>
      </c>
      <c r="AJ82" s="3">
        <v>290.55</v>
      </c>
      <c r="AK82" s="1" t="s">
        <v>3519</v>
      </c>
      <c r="AL82" s="3">
        <v>290.55</v>
      </c>
      <c r="AM82" s="1" t="s">
        <v>3520</v>
      </c>
      <c r="AN82" s="3">
        <v>290.55</v>
      </c>
      <c r="AO82" s="1" t="s">
        <v>3521</v>
      </c>
      <c r="AP82" s="3">
        <v>290.55</v>
      </c>
      <c r="AQ82" s="1"/>
      <c r="AR82" s="1"/>
      <c r="AS82" s="1"/>
      <c r="AT82" s="1"/>
      <c r="AU82" s="1" t="s">
        <v>3522</v>
      </c>
      <c r="AV82" s="3">
        <v>290.55</v>
      </c>
      <c r="AW82" s="1" t="s">
        <v>3523</v>
      </c>
      <c r="AX82" s="3">
        <v>290.55</v>
      </c>
      <c r="AY82" s="1"/>
      <c r="AZ82" s="1"/>
      <c r="BA82" s="1" t="s">
        <v>3524</v>
      </c>
      <c r="BB82" s="3">
        <v>290.55</v>
      </c>
      <c r="BC82" s="67" t="s">
        <v>3525</v>
      </c>
      <c r="BD82" s="67">
        <v>398.91</v>
      </c>
      <c r="BE82" s="67">
        <f t="shared" si="1"/>
        <v>2194.005</v>
      </c>
    </row>
    <row r="83">
      <c r="A83" s="1"/>
      <c r="B83" s="1"/>
      <c r="C83" s="1" t="s">
        <v>3526</v>
      </c>
      <c r="D83" s="3">
        <v>290.55</v>
      </c>
      <c r="E83" s="1"/>
      <c r="F83" s="1"/>
      <c r="G83" s="1"/>
      <c r="H83" s="1"/>
      <c r="I83" s="1" t="s">
        <v>3527</v>
      </c>
      <c r="J83" s="3">
        <v>290.55</v>
      </c>
      <c r="K83" s="1" t="s">
        <v>3094</v>
      </c>
      <c r="L83" s="3">
        <v>290.55</v>
      </c>
      <c r="M83" s="1"/>
      <c r="N83" s="1"/>
      <c r="O83" s="1"/>
      <c r="P83" s="1"/>
      <c r="Q83" s="1" t="s">
        <v>3528</v>
      </c>
      <c r="R83" s="3">
        <v>290.55</v>
      </c>
      <c r="S83" s="1" t="s">
        <v>3529</v>
      </c>
      <c r="T83" s="3">
        <v>290.55</v>
      </c>
      <c r="U83" s="1" t="s">
        <v>249</v>
      </c>
      <c r="V83" s="3">
        <v>290.55</v>
      </c>
      <c r="W83" s="1"/>
      <c r="X83" s="1"/>
      <c r="Y83" s="1" t="s">
        <v>3530</v>
      </c>
      <c r="Z83" s="3">
        <v>290.55</v>
      </c>
      <c r="AA83" s="1" t="s">
        <v>3531</v>
      </c>
      <c r="AB83" s="3">
        <v>290.55</v>
      </c>
      <c r="AC83" s="1" t="s">
        <v>3532</v>
      </c>
      <c r="AD83" s="3">
        <v>290.55</v>
      </c>
      <c r="AE83" s="1" t="s">
        <v>100</v>
      </c>
      <c r="AF83" s="3">
        <v>290.55</v>
      </c>
      <c r="AG83" s="1" t="s">
        <v>3533</v>
      </c>
      <c r="AH83" s="3">
        <v>290.55</v>
      </c>
      <c r="AI83" s="1" t="s">
        <v>3534</v>
      </c>
      <c r="AJ83" s="3">
        <v>290.55</v>
      </c>
      <c r="AK83" s="1" t="s">
        <v>3535</v>
      </c>
      <c r="AL83" s="3">
        <v>290.55</v>
      </c>
      <c r="AM83" s="1" t="s">
        <v>3536</v>
      </c>
      <c r="AN83" s="3">
        <v>290.55</v>
      </c>
      <c r="AO83" s="1" t="s">
        <v>3537</v>
      </c>
      <c r="AP83" s="3">
        <v>290.55</v>
      </c>
      <c r="AQ83" s="1"/>
      <c r="AR83" s="1"/>
      <c r="AS83" s="1"/>
      <c r="AT83" s="1"/>
      <c r="AU83" s="1" t="s">
        <v>3538</v>
      </c>
      <c r="AV83" s="3">
        <v>290.55</v>
      </c>
      <c r="AW83" s="1" t="s">
        <v>3539</v>
      </c>
      <c r="AX83" s="3">
        <v>290.55</v>
      </c>
      <c r="AY83" s="1"/>
      <c r="AZ83" s="1"/>
      <c r="BA83" s="1" t="s">
        <v>3540</v>
      </c>
      <c r="BB83" s="3">
        <v>290.55</v>
      </c>
      <c r="BC83" s="67" t="s">
        <v>3525</v>
      </c>
      <c r="BD83" s="67">
        <v>456.3</v>
      </c>
      <c r="BE83" s="67">
        <f t="shared" si="1"/>
        <v>2509.65</v>
      </c>
    </row>
    <row r="84">
      <c r="A84" s="1"/>
      <c r="B84" s="1"/>
      <c r="C84" s="1" t="s">
        <v>3541</v>
      </c>
      <c r="D84" s="3">
        <v>290.55</v>
      </c>
      <c r="E84" s="1"/>
      <c r="F84" s="1"/>
      <c r="G84" s="1"/>
      <c r="H84" s="1"/>
      <c r="I84" s="1" t="s">
        <v>3542</v>
      </c>
      <c r="J84" s="3">
        <v>290.55</v>
      </c>
      <c r="K84" s="1" t="s">
        <v>1961</v>
      </c>
      <c r="L84" s="3">
        <v>290.55</v>
      </c>
      <c r="M84" s="1"/>
      <c r="N84" s="1"/>
      <c r="O84" s="1"/>
      <c r="P84" s="1"/>
      <c r="Q84" s="1" t="s">
        <v>3543</v>
      </c>
      <c r="R84" s="3">
        <v>290.55</v>
      </c>
      <c r="S84" s="1" t="s">
        <v>3544</v>
      </c>
      <c r="T84" s="3">
        <v>290.55</v>
      </c>
      <c r="U84" s="1" t="s">
        <v>3545</v>
      </c>
      <c r="V84" s="3">
        <v>290.55</v>
      </c>
      <c r="W84" s="1"/>
      <c r="X84" s="1"/>
      <c r="Y84" s="1" t="s">
        <v>3546</v>
      </c>
      <c r="Z84" s="3">
        <v>290.55</v>
      </c>
      <c r="AA84" s="1" t="s">
        <v>3547</v>
      </c>
      <c r="AB84" s="3">
        <v>290.55</v>
      </c>
      <c r="AC84" s="1" t="s">
        <v>3548</v>
      </c>
      <c r="AD84" s="3">
        <v>290.55</v>
      </c>
      <c r="AE84" s="1" t="s">
        <v>101</v>
      </c>
      <c r="AF84" s="3">
        <v>290.55</v>
      </c>
      <c r="AG84" s="1" t="s">
        <v>3549</v>
      </c>
      <c r="AH84" s="3">
        <v>290.55</v>
      </c>
      <c r="AI84" s="1" t="s">
        <v>3550</v>
      </c>
      <c r="AJ84" s="3">
        <v>290.55</v>
      </c>
      <c r="AK84" s="1" t="s">
        <v>3551</v>
      </c>
      <c r="AL84" s="3">
        <v>290.55</v>
      </c>
      <c r="AM84" s="1" t="s">
        <v>3552</v>
      </c>
      <c r="AN84" s="3">
        <v>290.55</v>
      </c>
      <c r="AO84" s="1" t="s">
        <v>3553</v>
      </c>
      <c r="AP84" s="3">
        <v>290.55</v>
      </c>
      <c r="AQ84" s="1"/>
      <c r="AR84" s="1"/>
      <c r="AS84" s="1"/>
      <c r="AT84" s="1"/>
      <c r="AU84" s="1" t="s">
        <v>3554</v>
      </c>
      <c r="AV84" s="3">
        <v>290.55</v>
      </c>
      <c r="AW84" s="1" t="s">
        <v>3555</v>
      </c>
      <c r="AX84" s="3">
        <v>290.55</v>
      </c>
      <c r="AY84" s="1"/>
      <c r="AZ84" s="1"/>
      <c r="BA84" s="1" t="s">
        <v>3556</v>
      </c>
      <c r="BB84" s="3">
        <v>290.55</v>
      </c>
      <c r="BC84" s="67" t="s">
        <v>3557</v>
      </c>
      <c r="BD84" s="67">
        <v>295.09</v>
      </c>
      <c r="BE84" s="67">
        <f t="shared" si="1"/>
        <v>1622.995</v>
      </c>
    </row>
    <row r="85">
      <c r="A85" s="1"/>
      <c r="B85" s="1"/>
      <c r="C85" s="1" t="s">
        <v>3558</v>
      </c>
      <c r="D85" s="3">
        <v>290.55</v>
      </c>
      <c r="E85" s="1"/>
      <c r="F85" s="1"/>
      <c r="G85" s="1"/>
      <c r="H85" s="1"/>
      <c r="I85" s="1" t="s">
        <v>3559</v>
      </c>
      <c r="J85" s="3">
        <v>290.55</v>
      </c>
      <c r="K85" s="1" t="s">
        <v>3560</v>
      </c>
      <c r="L85" s="3">
        <v>290.55</v>
      </c>
      <c r="M85" s="1"/>
      <c r="N85" s="1"/>
      <c r="O85" s="1"/>
      <c r="P85" s="1"/>
      <c r="Q85" s="1" t="s">
        <v>3561</v>
      </c>
      <c r="R85" s="3">
        <v>290.55</v>
      </c>
      <c r="S85" s="1" t="s">
        <v>3562</v>
      </c>
      <c r="T85" s="3">
        <v>290.55</v>
      </c>
      <c r="U85" s="1" t="s">
        <v>3563</v>
      </c>
      <c r="V85" s="3">
        <v>290.55</v>
      </c>
      <c r="W85" s="1"/>
      <c r="X85" s="1"/>
      <c r="Y85" s="1" t="s">
        <v>3564</v>
      </c>
      <c r="Z85" s="3">
        <v>290.55</v>
      </c>
      <c r="AA85" s="1" t="s">
        <v>3565</v>
      </c>
      <c r="AB85" s="3">
        <v>290.55</v>
      </c>
      <c r="AC85" s="1" t="s">
        <v>3566</v>
      </c>
      <c r="AD85" s="3">
        <v>290.55</v>
      </c>
      <c r="AE85" s="1" t="s">
        <v>102</v>
      </c>
      <c r="AF85" s="3">
        <v>290.55</v>
      </c>
      <c r="AG85" s="1" t="s">
        <v>174</v>
      </c>
      <c r="AH85" s="3">
        <v>290.55</v>
      </c>
      <c r="AI85" s="1" t="s">
        <v>3567</v>
      </c>
      <c r="AJ85" s="3">
        <v>290.55</v>
      </c>
      <c r="AK85" s="1" t="s">
        <v>3568</v>
      </c>
      <c r="AL85" s="3">
        <v>290.55</v>
      </c>
      <c r="AM85" s="1" t="s">
        <v>3569</v>
      </c>
      <c r="AN85" s="3">
        <v>290.55</v>
      </c>
      <c r="AO85" s="1" t="s">
        <v>3570</v>
      </c>
      <c r="AP85" s="3">
        <v>290.55</v>
      </c>
      <c r="AQ85" s="1"/>
      <c r="AR85" s="1"/>
      <c r="AS85" s="1"/>
      <c r="AT85" s="1"/>
      <c r="AU85" s="1" t="s">
        <v>3571</v>
      </c>
      <c r="AV85" s="3">
        <v>290.55</v>
      </c>
      <c r="AW85" s="1" t="s">
        <v>2564</v>
      </c>
      <c r="AX85" s="3">
        <v>290.55</v>
      </c>
      <c r="AY85" s="1"/>
      <c r="AZ85" s="1"/>
      <c r="BA85" s="1" t="s">
        <v>3572</v>
      </c>
      <c r="BB85" s="3">
        <v>290.55</v>
      </c>
      <c r="BC85" s="67" t="s">
        <v>3573</v>
      </c>
      <c r="BD85" s="67">
        <v>398.91</v>
      </c>
      <c r="BE85" s="67">
        <f t="shared" si="1"/>
        <v>2194.005</v>
      </c>
    </row>
    <row r="86">
      <c r="A86" s="1"/>
      <c r="B86" s="1"/>
      <c r="C86" s="1" t="s">
        <v>3574</v>
      </c>
      <c r="D86" s="3">
        <v>290.55</v>
      </c>
      <c r="E86" s="1"/>
      <c r="F86" s="1"/>
      <c r="G86" s="1"/>
      <c r="H86" s="1"/>
      <c r="I86" s="1" t="s">
        <v>3575</v>
      </c>
      <c r="J86" s="3">
        <v>290.55</v>
      </c>
      <c r="K86" s="1" t="s">
        <v>3576</v>
      </c>
      <c r="L86" s="3">
        <v>290.55</v>
      </c>
      <c r="M86" s="1"/>
      <c r="N86" s="1"/>
      <c r="O86" s="1"/>
      <c r="P86" s="1"/>
      <c r="Q86" s="1" t="s">
        <v>3577</v>
      </c>
      <c r="R86" s="3">
        <v>290.55</v>
      </c>
      <c r="S86" s="1" t="s">
        <v>3578</v>
      </c>
      <c r="T86" s="3">
        <v>290.55</v>
      </c>
      <c r="U86" s="1" t="s">
        <v>3579</v>
      </c>
      <c r="V86" s="3">
        <v>290.55</v>
      </c>
      <c r="W86" s="1"/>
      <c r="X86" s="1"/>
      <c r="Y86" s="1" t="s">
        <v>62</v>
      </c>
      <c r="Z86" s="3">
        <v>290.55</v>
      </c>
      <c r="AA86" s="1" t="s">
        <v>3580</v>
      </c>
      <c r="AB86" s="3">
        <v>290.55</v>
      </c>
      <c r="AC86" s="1" t="s">
        <v>3581</v>
      </c>
      <c r="AD86" s="3">
        <v>290.55</v>
      </c>
      <c r="AE86" s="1" t="s">
        <v>103</v>
      </c>
      <c r="AF86" s="3">
        <v>290.55</v>
      </c>
      <c r="AG86" s="1" t="s">
        <v>3582</v>
      </c>
      <c r="AH86" s="3">
        <v>290.55</v>
      </c>
      <c r="AI86" s="1" t="s">
        <v>3583</v>
      </c>
      <c r="AJ86" s="3">
        <v>290.55</v>
      </c>
      <c r="AK86" s="1" t="s">
        <v>3407</v>
      </c>
      <c r="AL86" s="3">
        <v>290.55</v>
      </c>
      <c r="AM86" s="1" t="s">
        <v>3584</v>
      </c>
      <c r="AN86" s="3">
        <v>290.55</v>
      </c>
      <c r="AO86" s="1" t="s">
        <v>3585</v>
      </c>
      <c r="AP86" s="3">
        <v>290.55</v>
      </c>
      <c r="AQ86" s="1"/>
      <c r="AR86" s="1"/>
      <c r="AS86" s="1"/>
      <c r="AT86" s="1"/>
      <c r="AU86" s="1" t="s">
        <v>3586</v>
      </c>
      <c r="AV86" s="3">
        <v>290.55</v>
      </c>
      <c r="AW86" s="1" t="s">
        <v>3587</v>
      </c>
      <c r="AX86" s="3">
        <v>290.55</v>
      </c>
      <c r="AY86" s="1"/>
      <c r="AZ86" s="1"/>
      <c r="BA86" s="1" t="s">
        <v>3588</v>
      </c>
      <c r="BB86" s="3">
        <v>290.55</v>
      </c>
      <c r="BC86" s="67" t="s">
        <v>3589</v>
      </c>
      <c r="BD86" s="67">
        <v>295.09</v>
      </c>
      <c r="BE86" s="67">
        <f t="shared" si="1"/>
        <v>1622.995</v>
      </c>
    </row>
    <row r="87">
      <c r="A87" s="1"/>
      <c r="B87" s="1"/>
      <c r="C87" s="1" t="s">
        <v>3590</v>
      </c>
      <c r="D87" s="3">
        <v>290.55</v>
      </c>
      <c r="E87" s="1"/>
      <c r="F87" s="1"/>
      <c r="G87" s="1"/>
      <c r="H87" s="1"/>
      <c r="I87" s="1" t="s">
        <v>3591</v>
      </c>
      <c r="J87" s="3">
        <v>290.55</v>
      </c>
      <c r="K87" s="1" t="s">
        <v>3592</v>
      </c>
      <c r="L87" s="3">
        <v>290.55</v>
      </c>
      <c r="M87" s="1"/>
      <c r="N87" s="1"/>
      <c r="O87" s="1"/>
      <c r="P87" s="1"/>
      <c r="Q87" s="1" t="s">
        <v>3593</v>
      </c>
      <c r="R87" s="3">
        <v>290.55</v>
      </c>
      <c r="S87" s="1" t="s">
        <v>3594</v>
      </c>
      <c r="T87" s="3">
        <v>290.55</v>
      </c>
      <c r="U87" s="1" t="s">
        <v>3595</v>
      </c>
      <c r="V87" s="3">
        <v>290.55</v>
      </c>
      <c r="W87" s="1"/>
      <c r="X87" s="1"/>
      <c r="Y87" s="1" t="s">
        <v>1860</v>
      </c>
      <c r="Z87" s="3">
        <v>290.55</v>
      </c>
      <c r="AA87" s="1" t="s">
        <v>3596</v>
      </c>
      <c r="AB87" s="3">
        <v>290.55</v>
      </c>
      <c r="AC87" s="1" t="s">
        <v>3597</v>
      </c>
      <c r="AD87" s="3">
        <v>290.55</v>
      </c>
      <c r="AE87" s="1" t="s">
        <v>4</v>
      </c>
      <c r="AF87" s="3">
        <v>290.55</v>
      </c>
      <c r="AG87" s="1" t="s">
        <v>3598</v>
      </c>
      <c r="AH87" s="3">
        <v>290.55</v>
      </c>
      <c r="AI87" s="1" t="s">
        <v>3599</v>
      </c>
      <c r="AJ87" s="3">
        <v>290.55</v>
      </c>
      <c r="AK87" s="1" t="s">
        <v>3600</v>
      </c>
      <c r="AL87" s="3">
        <v>290.55</v>
      </c>
      <c r="AM87" s="1" t="s">
        <v>3601</v>
      </c>
      <c r="AN87" s="3">
        <v>290.55</v>
      </c>
      <c r="AO87" s="1" t="s">
        <v>3602</v>
      </c>
      <c r="AP87" s="3">
        <v>290.55</v>
      </c>
      <c r="AQ87" s="1"/>
      <c r="AR87" s="1"/>
      <c r="AS87" s="1"/>
      <c r="AT87" s="1"/>
      <c r="AU87" s="1" t="s">
        <v>3603</v>
      </c>
      <c r="AV87" s="3">
        <v>290.55</v>
      </c>
      <c r="AW87" s="1" t="s">
        <v>3604</v>
      </c>
      <c r="AX87" s="3">
        <v>290.55</v>
      </c>
      <c r="AY87" s="1"/>
      <c r="AZ87" s="1"/>
      <c r="BA87" s="1" t="s">
        <v>3605</v>
      </c>
      <c r="BB87" s="3">
        <v>290.55</v>
      </c>
      <c r="BC87" s="67" t="s">
        <v>3606</v>
      </c>
      <c r="BD87" s="67">
        <v>295.09</v>
      </c>
      <c r="BE87" s="67">
        <f t="shared" si="1"/>
        <v>1622.995</v>
      </c>
    </row>
    <row r="88">
      <c r="A88" s="1"/>
      <c r="B88" s="1"/>
      <c r="C88" s="1" t="s">
        <v>3607</v>
      </c>
      <c r="D88" s="3">
        <v>290.55</v>
      </c>
      <c r="E88" s="1"/>
      <c r="F88" s="1"/>
      <c r="G88" s="1"/>
      <c r="H88" s="1"/>
      <c r="I88" s="1" t="s">
        <v>3608</v>
      </c>
      <c r="J88" s="3">
        <v>290.55</v>
      </c>
      <c r="K88" s="1" t="s">
        <v>3609</v>
      </c>
      <c r="L88" s="3">
        <v>290.55</v>
      </c>
      <c r="M88" s="1"/>
      <c r="N88" s="1"/>
      <c r="O88" s="1"/>
      <c r="P88" s="1"/>
      <c r="Q88" s="1" t="s">
        <v>3610</v>
      </c>
      <c r="R88" s="3">
        <v>290.55</v>
      </c>
      <c r="S88" s="1" t="s">
        <v>3611</v>
      </c>
      <c r="T88" s="3">
        <v>290.55</v>
      </c>
      <c r="U88" s="1" t="s">
        <v>3612</v>
      </c>
      <c r="V88" s="3">
        <v>290.55</v>
      </c>
      <c r="W88" s="1"/>
      <c r="X88" s="1"/>
      <c r="Y88" s="1" t="s">
        <v>3613</v>
      </c>
      <c r="Z88" s="3">
        <v>290.55</v>
      </c>
      <c r="AA88" s="1" t="s">
        <v>3614</v>
      </c>
      <c r="AB88" s="3">
        <v>290.55</v>
      </c>
      <c r="AC88" s="1" t="s">
        <v>3615</v>
      </c>
      <c r="AD88" s="3">
        <v>290.55</v>
      </c>
      <c r="AE88" s="1" t="s">
        <v>104</v>
      </c>
      <c r="AF88" s="3">
        <v>290.55</v>
      </c>
      <c r="AG88" s="1" t="s">
        <v>3616</v>
      </c>
      <c r="AH88" s="3">
        <v>290.55</v>
      </c>
      <c r="AI88" s="1" t="s">
        <v>3617</v>
      </c>
      <c r="AJ88" s="3">
        <v>290.55</v>
      </c>
      <c r="AK88" s="1" t="s">
        <v>3618</v>
      </c>
      <c r="AL88" s="3">
        <v>290.55</v>
      </c>
      <c r="AM88" s="1" t="s">
        <v>3619</v>
      </c>
      <c r="AN88" s="3">
        <v>290.55</v>
      </c>
      <c r="AO88" s="1" t="s">
        <v>3620</v>
      </c>
      <c r="AP88" s="3">
        <v>290.55</v>
      </c>
      <c r="AQ88" s="1"/>
      <c r="AR88" s="1"/>
      <c r="AS88" s="1"/>
      <c r="AT88" s="1"/>
      <c r="AU88" s="1" t="s">
        <v>3621</v>
      </c>
      <c r="AV88" s="3">
        <v>290.55</v>
      </c>
      <c r="AW88" s="1" t="s">
        <v>3622</v>
      </c>
      <c r="AX88" s="3">
        <v>290.55</v>
      </c>
      <c r="AY88" s="1"/>
      <c r="AZ88" s="1"/>
      <c r="BA88" s="1" t="s">
        <v>3623</v>
      </c>
      <c r="BB88" s="3">
        <v>290.55</v>
      </c>
      <c r="BC88" s="67" t="s">
        <v>3624</v>
      </c>
      <c r="BD88" s="67">
        <v>295.09</v>
      </c>
      <c r="BE88" s="67">
        <f t="shared" si="1"/>
        <v>1622.995</v>
      </c>
    </row>
    <row r="89">
      <c r="A89" s="1"/>
      <c r="B89" s="1"/>
      <c r="C89" s="1" t="s">
        <v>3625</v>
      </c>
      <c r="D89" s="3">
        <v>290.55</v>
      </c>
      <c r="E89" s="1"/>
      <c r="F89" s="1"/>
      <c r="G89" s="1"/>
      <c r="H89" s="1"/>
      <c r="I89" s="1" t="s">
        <v>3626</v>
      </c>
      <c r="J89" s="3">
        <v>290.55</v>
      </c>
      <c r="K89" s="1" t="s">
        <v>3627</v>
      </c>
      <c r="L89" s="3">
        <v>290.55</v>
      </c>
      <c r="M89" s="1"/>
      <c r="N89" s="1"/>
      <c r="O89" s="1"/>
      <c r="P89" s="1"/>
      <c r="Q89" s="1" t="s">
        <v>3628</v>
      </c>
      <c r="R89" s="3">
        <v>290.55</v>
      </c>
      <c r="S89" s="1" t="s">
        <v>3629</v>
      </c>
      <c r="T89" s="3">
        <v>290.55</v>
      </c>
      <c r="U89" s="1" t="s">
        <v>3630</v>
      </c>
      <c r="V89" s="3">
        <v>290.55</v>
      </c>
      <c r="W89" s="1"/>
      <c r="X89" s="1"/>
      <c r="Y89" s="1" t="s">
        <v>3631</v>
      </c>
      <c r="Z89" s="3">
        <v>290.55</v>
      </c>
      <c r="AA89" s="1" t="s">
        <v>3632</v>
      </c>
      <c r="AB89" s="3">
        <v>290.55</v>
      </c>
      <c r="AC89" s="1" t="s">
        <v>2400</v>
      </c>
      <c r="AD89" s="3">
        <v>290.55</v>
      </c>
      <c r="AE89" s="1" t="s">
        <v>105</v>
      </c>
      <c r="AF89" s="3">
        <v>290.55</v>
      </c>
      <c r="AG89" s="1" t="s">
        <v>3633</v>
      </c>
      <c r="AH89" s="3">
        <v>290.55</v>
      </c>
      <c r="AI89" s="1" t="s">
        <v>3634</v>
      </c>
      <c r="AJ89" s="3">
        <v>290.55</v>
      </c>
      <c r="AK89" s="1" t="s">
        <v>3635</v>
      </c>
      <c r="AL89" s="3">
        <v>371.26</v>
      </c>
      <c r="AM89" s="1" t="s">
        <v>3636</v>
      </c>
      <c r="AN89" s="3">
        <v>290.55</v>
      </c>
      <c r="AO89" s="1" t="s">
        <v>3637</v>
      </c>
      <c r="AP89" s="3">
        <v>290.55</v>
      </c>
      <c r="AQ89" s="1"/>
      <c r="AR89" s="1"/>
      <c r="AS89" s="1"/>
      <c r="AT89" s="1"/>
      <c r="AU89" s="1" t="s">
        <v>3638</v>
      </c>
      <c r="AV89" s="3">
        <v>290.55</v>
      </c>
      <c r="AW89" s="1" t="s">
        <v>3639</v>
      </c>
      <c r="AX89" s="3">
        <v>290.55</v>
      </c>
      <c r="AY89" s="1"/>
      <c r="AZ89" s="1"/>
      <c r="BA89" s="1" t="s">
        <v>259</v>
      </c>
      <c r="BB89" s="3">
        <v>371.26</v>
      </c>
      <c r="BC89" s="67" t="s">
        <v>3640</v>
      </c>
      <c r="BD89" s="67">
        <v>295.09</v>
      </c>
      <c r="BE89" s="67">
        <f t="shared" si="1"/>
        <v>1622.995</v>
      </c>
    </row>
    <row r="90">
      <c r="A90" s="1"/>
      <c r="B90" s="1"/>
      <c r="C90" s="1" t="s">
        <v>3641</v>
      </c>
      <c r="D90" s="3">
        <v>290.55</v>
      </c>
      <c r="E90" s="1"/>
      <c r="F90" s="1"/>
      <c r="G90" s="1"/>
      <c r="H90" s="1"/>
      <c r="I90" s="1" t="s">
        <v>3642</v>
      </c>
      <c r="J90" s="3">
        <v>290.55</v>
      </c>
      <c r="K90" s="1" t="s">
        <v>3643</v>
      </c>
      <c r="L90" s="3">
        <v>290.55</v>
      </c>
      <c r="M90" s="1"/>
      <c r="N90" s="1"/>
      <c r="O90" s="1"/>
      <c r="P90" s="1"/>
      <c r="Q90" s="1" t="s">
        <v>3644</v>
      </c>
      <c r="R90" s="3">
        <v>290.55</v>
      </c>
      <c r="S90" s="1" t="s">
        <v>3645</v>
      </c>
      <c r="T90" s="3">
        <v>290.55</v>
      </c>
      <c r="U90" s="1" t="s">
        <v>3646</v>
      </c>
      <c r="V90" s="3">
        <v>290.55</v>
      </c>
      <c r="W90" s="1"/>
      <c r="X90" s="1"/>
      <c r="Y90" s="1" t="s">
        <v>3647</v>
      </c>
      <c r="Z90" s="3">
        <v>290.55</v>
      </c>
      <c r="AA90" s="1" t="s">
        <v>3648</v>
      </c>
      <c r="AB90" s="3">
        <v>290.55</v>
      </c>
      <c r="AC90" s="1" t="s">
        <v>3649</v>
      </c>
      <c r="AD90" s="3">
        <v>290.55</v>
      </c>
      <c r="AE90" s="1" t="s">
        <v>106</v>
      </c>
      <c r="AF90" s="3">
        <v>290.55</v>
      </c>
      <c r="AG90" s="1" t="s">
        <v>3650</v>
      </c>
      <c r="AH90" s="3">
        <v>290.55</v>
      </c>
      <c r="AI90" s="1" t="s">
        <v>3651</v>
      </c>
      <c r="AJ90" s="3">
        <v>290.55</v>
      </c>
      <c r="AK90" s="1" t="s">
        <v>3652</v>
      </c>
      <c r="AL90" s="3">
        <v>290.55</v>
      </c>
      <c r="AM90" s="1" t="s">
        <v>3653</v>
      </c>
      <c r="AN90" s="3">
        <v>290.55</v>
      </c>
      <c r="AO90" s="1" t="s">
        <v>3654</v>
      </c>
      <c r="AP90" s="3">
        <v>290.55</v>
      </c>
      <c r="AQ90" s="1"/>
      <c r="AR90" s="1"/>
      <c r="AS90" s="1"/>
      <c r="AT90" s="1"/>
      <c r="AU90" s="1" t="s">
        <v>3655</v>
      </c>
      <c r="AV90" s="3">
        <v>290.55</v>
      </c>
      <c r="AW90" s="1" t="s">
        <v>3656</v>
      </c>
      <c r="AX90" s="3">
        <v>290.55</v>
      </c>
      <c r="AY90" s="1"/>
      <c r="AZ90" s="1"/>
      <c r="BA90" s="1" t="s">
        <v>3657</v>
      </c>
      <c r="BB90" s="3">
        <v>290.55</v>
      </c>
      <c r="BC90" s="67" t="s">
        <v>3658</v>
      </c>
      <c r="BD90" s="67">
        <v>385.32</v>
      </c>
      <c r="BE90" s="67">
        <f t="shared" si="1"/>
        <v>2119.26</v>
      </c>
    </row>
    <row r="91">
      <c r="A91" s="1"/>
      <c r="B91" s="1"/>
      <c r="C91" s="1" t="s">
        <v>3659</v>
      </c>
      <c r="D91" s="3">
        <v>290.55</v>
      </c>
      <c r="E91" s="1"/>
      <c r="F91" s="1"/>
      <c r="G91" s="1"/>
      <c r="H91" s="1"/>
      <c r="I91" s="1" t="s">
        <v>3660</v>
      </c>
      <c r="J91" s="3">
        <v>290.55</v>
      </c>
      <c r="K91" s="1" t="s">
        <v>3661</v>
      </c>
      <c r="L91" s="3">
        <v>290.55</v>
      </c>
      <c r="M91" s="1"/>
      <c r="N91" s="1"/>
      <c r="O91" s="1"/>
      <c r="P91" s="1"/>
      <c r="Q91" s="1" t="s">
        <v>3662</v>
      </c>
      <c r="R91" s="3">
        <v>290.55</v>
      </c>
      <c r="S91" s="1" t="s">
        <v>3663</v>
      </c>
      <c r="T91" s="3">
        <v>290.55</v>
      </c>
      <c r="U91" s="1" t="s">
        <v>3664</v>
      </c>
      <c r="V91" s="3">
        <v>290.55</v>
      </c>
      <c r="W91" s="1"/>
      <c r="X91" s="1"/>
      <c r="Y91" s="1" t="s">
        <v>3665</v>
      </c>
      <c r="Z91" s="3">
        <v>290.55</v>
      </c>
      <c r="AA91" s="1" t="s">
        <v>3666</v>
      </c>
      <c r="AB91" s="3">
        <v>290.55</v>
      </c>
      <c r="AC91" s="1" t="s">
        <v>3667</v>
      </c>
      <c r="AD91" s="3">
        <v>290.55</v>
      </c>
      <c r="AE91" s="1" t="s">
        <v>107</v>
      </c>
      <c r="AF91" s="3">
        <v>290.55</v>
      </c>
      <c r="AG91" s="1" t="s">
        <v>3668</v>
      </c>
      <c r="AH91" s="3">
        <v>290.55</v>
      </c>
      <c r="AI91" s="1" t="s">
        <v>3669</v>
      </c>
      <c r="AJ91" s="3">
        <v>290.55</v>
      </c>
      <c r="AK91" s="1" t="s">
        <v>3670</v>
      </c>
      <c r="AL91" s="3">
        <v>290.55</v>
      </c>
      <c r="AM91" s="1" t="s">
        <v>3671</v>
      </c>
      <c r="AN91" s="3">
        <v>290.55</v>
      </c>
      <c r="AO91" s="1" t="s">
        <v>3672</v>
      </c>
      <c r="AP91" s="3">
        <v>290.55</v>
      </c>
      <c r="AQ91" s="1"/>
      <c r="AR91" s="1"/>
      <c r="AS91" s="1"/>
      <c r="AT91" s="1"/>
      <c r="AU91" s="1" t="s">
        <v>1715</v>
      </c>
      <c r="AV91" s="3">
        <v>371.26</v>
      </c>
      <c r="AW91" s="1" t="s">
        <v>3673</v>
      </c>
      <c r="AX91" s="3">
        <v>290.55</v>
      </c>
      <c r="AY91" s="1"/>
      <c r="AZ91" s="1"/>
      <c r="BA91" s="1" t="s">
        <v>3674</v>
      </c>
      <c r="BB91" s="3">
        <v>290.55</v>
      </c>
      <c r="BC91" s="67" t="s">
        <v>3675</v>
      </c>
      <c r="BD91" s="67">
        <v>385.32</v>
      </c>
      <c r="BE91" s="67">
        <f t="shared" si="1"/>
        <v>2119.26</v>
      </c>
    </row>
    <row r="92">
      <c r="A92" s="1"/>
      <c r="B92" s="1"/>
      <c r="C92" s="1" t="s">
        <v>3676</v>
      </c>
      <c r="D92" s="3">
        <v>290.55</v>
      </c>
      <c r="E92" s="1"/>
      <c r="F92" s="1"/>
      <c r="G92" s="1"/>
      <c r="H92" s="1"/>
      <c r="I92" s="1" t="s">
        <v>3677</v>
      </c>
      <c r="J92" s="3">
        <v>290.55</v>
      </c>
      <c r="K92" s="1" t="s">
        <v>3678</v>
      </c>
      <c r="L92" s="3">
        <v>290.55</v>
      </c>
      <c r="M92" s="1"/>
      <c r="N92" s="1"/>
      <c r="O92" s="1"/>
      <c r="P92" s="1"/>
      <c r="Q92" s="1" t="s">
        <v>3679</v>
      </c>
      <c r="R92" s="3">
        <v>290.55</v>
      </c>
      <c r="S92" s="1" t="s">
        <v>3680</v>
      </c>
      <c r="T92" s="3">
        <v>290.55</v>
      </c>
      <c r="U92" s="1" t="s">
        <v>3681</v>
      </c>
      <c r="V92" s="3">
        <v>290.55</v>
      </c>
      <c r="W92" s="1"/>
      <c r="X92" s="1"/>
      <c r="Y92" s="1" t="s">
        <v>3682</v>
      </c>
      <c r="Z92" s="3">
        <v>290.55</v>
      </c>
      <c r="AA92" s="1" t="s">
        <v>3683</v>
      </c>
      <c r="AB92" s="3">
        <v>290.55</v>
      </c>
      <c r="AC92" s="1" t="s">
        <v>3684</v>
      </c>
      <c r="AD92" s="3">
        <v>290.55</v>
      </c>
      <c r="AE92" s="1" t="s">
        <v>108</v>
      </c>
      <c r="AF92" s="3">
        <v>290.55</v>
      </c>
      <c r="AG92" s="1" t="s">
        <v>3685</v>
      </c>
      <c r="AH92" s="3">
        <v>290.55</v>
      </c>
      <c r="AI92" s="1" t="s">
        <v>3589</v>
      </c>
      <c r="AJ92" s="3">
        <v>290.55</v>
      </c>
      <c r="AK92" s="1" t="s">
        <v>3686</v>
      </c>
      <c r="AL92" s="3">
        <v>290.55</v>
      </c>
      <c r="AM92" s="1" t="s">
        <v>3687</v>
      </c>
      <c r="AN92" s="3">
        <v>290.55</v>
      </c>
      <c r="AO92" s="1" t="s">
        <v>3688</v>
      </c>
      <c r="AP92" s="3">
        <v>290.55</v>
      </c>
      <c r="AQ92" s="1"/>
      <c r="AR92" s="1"/>
      <c r="AS92" s="1"/>
      <c r="AT92" s="1"/>
      <c r="AU92" s="1" t="s">
        <v>3689</v>
      </c>
      <c r="AV92" s="3">
        <v>290.55</v>
      </c>
      <c r="AW92" s="1" t="s">
        <v>3690</v>
      </c>
      <c r="AX92" s="3">
        <v>290.55</v>
      </c>
      <c r="AY92" s="1"/>
      <c r="AZ92" s="1"/>
      <c r="BA92" s="1" t="s">
        <v>3691</v>
      </c>
      <c r="BB92" s="3">
        <v>290.55</v>
      </c>
      <c r="BC92" s="67" t="s">
        <v>3692</v>
      </c>
      <c r="BD92" s="67">
        <v>385.32</v>
      </c>
      <c r="BE92" s="67">
        <f t="shared" si="1"/>
        <v>2119.26</v>
      </c>
    </row>
    <row r="93">
      <c r="A93" s="1"/>
      <c r="B93" s="1"/>
      <c r="C93" s="1" t="s">
        <v>3693</v>
      </c>
      <c r="D93" s="3">
        <v>290.55</v>
      </c>
      <c r="E93" s="1"/>
      <c r="F93" s="1"/>
      <c r="G93" s="1"/>
      <c r="H93" s="1"/>
      <c r="I93" s="1" t="s">
        <v>3694</v>
      </c>
      <c r="J93" s="3">
        <v>290.55</v>
      </c>
      <c r="K93" s="1" t="s">
        <v>3695</v>
      </c>
      <c r="L93" s="3">
        <v>290.55</v>
      </c>
      <c r="M93" s="1"/>
      <c r="N93" s="1"/>
      <c r="O93" s="1"/>
      <c r="P93" s="1"/>
      <c r="Q93" s="1" t="s">
        <v>3696</v>
      </c>
      <c r="R93" s="3">
        <v>290.55</v>
      </c>
      <c r="S93" s="1" t="s">
        <v>3697</v>
      </c>
      <c r="T93" s="3">
        <v>290.55</v>
      </c>
      <c r="U93" s="1" t="s">
        <v>3698</v>
      </c>
      <c r="V93" s="3">
        <v>290.55</v>
      </c>
      <c r="W93" s="1"/>
      <c r="X93" s="1"/>
      <c r="Y93" s="1" t="s">
        <v>3699</v>
      </c>
      <c r="Z93" s="3">
        <v>290.55</v>
      </c>
      <c r="AA93" s="1" t="s">
        <v>3700</v>
      </c>
      <c r="AB93" s="3">
        <v>290.55</v>
      </c>
      <c r="AC93" s="1" t="s">
        <v>3701</v>
      </c>
      <c r="AD93" s="3">
        <v>290.55</v>
      </c>
      <c r="AE93" s="1" t="s">
        <v>109</v>
      </c>
      <c r="AF93" s="3">
        <v>290.55</v>
      </c>
      <c r="AG93" s="1" t="s">
        <v>3702</v>
      </c>
      <c r="AH93" s="3">
        <v>290.55</v>
      </c>
      <c r="AI93" s="1" t="s">
        <v>3703</v>
      </c>
      <c r="AJ93" s="3">
        <v>290.55</v>
      </c>
      <c r="AK93" s="1" t="s">
        <v>3197</v>
      </c>
      <c r="AL93" s="3">
        <v>290.55</v>
      </c>
      <c r="AM93" s="1" t="s">
        <v>3704</v>
      </c>
      <c r="AN93" s="3">
        <v>290.55</v>
      </c>
      <c r="AO93" s="1" t="s">
        <v>3705</v>
      </c>
      <c r="AP93" s="3">
        <v>290.55</v>
      </c>
      <c r="AQ93" s="1"/>
      <c r="AR93" s="1"/>
      <c r="AS93" s="1"/>
      <c r="AT93" s="1"/>
      <c r="AU93" s="1" t="s">
        <v>3706</v>
      </c>
      <c r="AV93" s="3">
        <v>290.55</v>
      </c>
      <c r="AW93" s="1" t="s">
        <v>3707</v>
      </c>
      <c r="AX93" s="3">
        <v>290.55</v>
      </c>
      <c r="AY93" s="1"/>
      <c r="AZ93" s="1"/>
      <c r="BA93" s="1" t="s">
        <v>3708</v>
      </c>
      <c r="BB93" s="3">
        <v>290.55</v>
      </c>
      <c r="BC93" s="67" t="s">
        <v>3709</v>
      </c>
      <c r="BD93" s="67">
        <v>295.09</v>
      </c>
      <c r="BE93" s="67">
        <f t="shared" si="1"/>
        <v>1622.995</v>
      </c>
    </row>
    <row r="94">
      <c r="A94" s="1"/>
      <c r="B94" s="1"/>
      <c r="C94" s="1" t="s">
        <v>3710</v>
      </c>
      <c r="D94" s="3">
        <v>290.55</v>
      </c>
      <c r="E94" s="1"/>
      <c r="F94" s="1"/>
      <c r="G94" s="1"/>
      <c r="H94" s="1"/>
      <c r="I94" s="1" t="s">
        <v>3711</v>
      </c>
      <c r="J94" s="3">
        <v>290.55</v>
      </c>
      <c r="K94" s="1" t="s">
        <v>3712</v>
      </c>
      <c r="L94" s="3">
        <v>290.55</v>
      </c>
      <c r="M94" s="1"/>
      <c r="N94" s="1"/>
      <c r="O94" s="1"/>
      <c r="P94" s="1"/>
      <c r="Q94" s="1" t="s">
        <v>3713</v>
      </c>
      <c r="R94" s="3">
        <v>290.55</v>
      </c>
      <c r="S94" s="1" t="s">
        <v>3714</v>
      </c>
      <c r="T94" s="3">
        <v>290.55</v>
      </c>
      <c r="U94" s="1" t="s">
        <v>3715</v>
      </c>
      <c r="V94" s="3">
        <v>290.55</v>
      </c>
      <c r="W94" s="1"/>
      <c r="X94" s="1"/>
      <c r="Y94" s="1" t="s">
        <v>3716</v>
      </c>
      <c r="Z94" s="3">
        <v>290.55</v>
      </c>
      <c r="AA94" s="1" t="s">
        <v>3717</v>
      </c>
      <c r="AB94" s="3">
        <v>290.55</v>
      </c>
      <c r="AC94" s="1" t="s">
        <v>3718</v>
      </c>
      <c r="AD94" s="3">
        <v>290.55</v>
      </c>
      <c r="AE94" s="1" t="s">
        <v>110</v>
      </c>
      <c r="AF94" s="3">
        <v>290.55</v>
      </c>
      <c r="AG94" s="1" t="s">
        <v>3719</v>
      </c>
      <c r="AH94" s="3">
        <v>290.55</v>
      </c>
      <c r="AI94" s="1" t="s">
        <v>3720</v>
      </c>
      <c r="AJ94" s="3">
        <v>290.55</v>
      </c>
      <c r="AK94" s="1" t="s">
        <v>714</v>
      </c>
      <c r="AL94" s="3">
        <v>290.55</v>
      </c>
      <c r="AM94" s="1" t="s">
        <v>3721</v>
      </c>
      <c r="AN94" s="3">
        <v>290.55</v>
      </c>
      <c r="AO94" s="1"/>
      <c r="AP94" s="1"/>
      <c r="AQ94" s="1"/>
      <c r="AR94" s="1"/>
      <c r="AS94" s="1"/>
      <c r="AT94" s="1"/>
      <c r="AU94" s="1" t="s">
        <v>1559</v>
      </c>
      <c r="AV94" s="3">
        <v>290.55</v>
      </c>
      <c r="AW94" s="1" t="s">
        <v>3722</v>
      </c>
      <c r="AX94" s="3">
        <v>290.55</v>
      </c>
      <c r="AY94" s="1"/>
      <c r="AZ94" s="1"/>
      <c r="BA94" s="1" t="s">
        <v>3723</v>
      </c>
      <c r="BB94" s="3">
        <v>290.55</v>
      </c>
      <c r="BC94" s="67" t="s">
        <v>3724</v>
      </c>
      <c r="BD94" s="67">
        <v>295.09</v>
      </c>
      <c r="BE94" s="67">
        <f t="shared" si="1"/>
        <v>1622.995</v>
      </c>
    </row>
    <row r="95">
      <c r="A95" s="1"/>
      <c r="B95" s="1"/>
      <c r="C95" s="1" t="s">
        <v>3725</v>
      </c>
      <c r="D95" s="3">
        <v>290.55</v>
      </c>
      <c r="E95" s="1"/>
      <c r="F95" s="1"/>
      <c r="G95" s="1"/>
      <c r="H95" s="1"/>
      <c r="I95" s="1" t="s">
        <v>3726</v>
      </c>
      <c r="J95" s="3">
        <v>290.55</v>
      </c>
      <c r="K95" s="1" t="s">
        <v>3727</v>
      </c>
      <c r="L95" s="3">
        <v>290.55</v>
      </c>
      <c r="M95" s="1"/>
      <c r="N95" s="1"/>
      <c r="O95" s="1"/>
      <c r="P95" s="1"/>
      <c r="Q95" s="1" t="s">
        <v>3728</v>
      </c>
      <c r="R95" s="3">
        <v>290.55</v>
      </c>
      <c r="S95" s="1" t="s">
        <v>3685</v>
      </c>
      <c r="T95" s="3">
        <v>290.55</v>
      </c>
      <c r="U95" s="1" t="s">
        <v>3729</v>
      </c>
      <c r="V95" s="3">
        <v>290.55</v>
      </c>
      <c r="W95" s="1"/>
      <c r="X95" s="1"/>
      <c r="Y95" s="1" t="s">
        <v>3730</v>
      </c>
      <c r="Z95" s="3">
        <v>290.55</v>
      </c>
      <c r="AA95" s="1" t="s">
        <v>3731</v>
      </c>
      <c r="AB95" s="3">
        <v>290.55</v>
      </c>
      <c r="AC95" s="1" t="s">
        <v>3732</v>
      </c>
      <c r="AD95" s="3">
        <v>371.26</v>
      </c>
      <c r="AE95" s="1" t="s">
        <v>111</v>
      </c>
      <c r="AF95" s="3">
        <v>290.55</v>
      </c>
      <c r="AG95" s="1" t="s">
        <v>3733</v>
      </c>
      <c r="AH95" s="3">
        <v>290.55</v>
      </c>
      <c r="AI95" s="1" t="s">
        <v>3734</v>
      </c>
      <c r="AJ95" s="3">
        <v>290.55</v>
      </c>
      <c r="AK95" s="1" t="s">
        <v>3735</v>
      </c>
      <c r="AL95" s="3">
        <v>290.55</v>
      </c>
      <c r="AM95" s="1" t="s">
        <v>3736</v>
      </c>
      <c r="AN95" s="3">
        <v>290.55</v>
      </c>
      <c r="AO95" s="1"/>
      <c r="AP95" s="1"/>
      <c r="AQ95" s="1"/>
      <c r="AR95" s="1"/>
      <c r="AS95" s="1"/>
      <c r="AT95" s="1"/>
      <c r="AU95" s="1" t="s">
        <v>3737</v>
      </c>
      <c r="AV95" s="3">
        <v>290.55</v>
      </c>
      <c r="AW95" s="1" t="s">
        <v>3738</v>
      </c>
      <c r="AX95" s="3">
        <v>290.55</v>
      </c>
      <c r="AY95" s="1"/>
      <c r="AZ95" s="1"/>
      <c r="BA95" s="1" t="s">
        <v>3683</v>
      </c>
      <c r="BB95" s="3">
        <v>290.55</v>
      </c>
      <c r="BC95" s="67" t="s">
        <v>3739</v>
      </c>
      <c r="BD95" s="67">
        <v>398.91</v>
      </c>
      <c r="BE95" s="67">
        <f t="shared" si="1"/>
        <v>2194.005</v>
      </c>
    </row>
    <row r="96">
      <c r="A96" s="1"/>
      <c r="B96" s="1"/>
      <c r="C96" s="1" t="s">
        <v>3740</v>
      </c>
      <c r="D96" s="3">
        <v>290.55</v>
      </c>
      <c r="E96" s="1"/>
      <c r="F96" s="1"/>
      <c r="G96" s="1"/>
      <c r="H96" s="1"/>
      <c r="I96" s="1" t="s">
        <v>3741</v>
      </c>
      <c r="J96" s="3">
        <v>290.55</v>
      </c>
      <c r="K96" s="1" t="s">
        <v>3742</v>
      </c>
      <c r="L96" s="3">
        <v>290.55</v>
      </c>
      <c r="M96" s="1"/>
      <c r="N96" s="1"/>
      <c r="O96" s="1"/>
      <c r="P96" s="1"/>
      <c r="Q96" s="1" t="s">
        <v>3743</v>
      </c>
      <c r="R96" s="3">
        <v>371.26</v>
      </c>
      <c r="S96" s="1" t="s">
        <v>3744</v>
      </c>
      <c r="T96" s="3">
        <v>290.55</v>
      </c>
      <c r="U96" s="1" t="s">
        <v>3745</v>
      </c>
      <c r="V96" s="3">
        <v>290.55</v>
      </c>
      <c r="W96" s="1"/>
      <c r="X96" s="1"/>
      <c r="Y96" s="1" t="s">
        <v>3746</v>
      </c>
      <c r="Z96" s="3">
        <v>290.55</v>
      </c>
      <c r="AA96" s="1" t="s">
        <v>3747</v>
      </c>
      <c r="AB96" s="3">
        <v>290.55</v>
      </c>
      <c r="AC96" s="1" t="s">
        <v>3748</v>
      </c>
      <c r="AD96" s="3">
        <v>290.55</v>
      </c>
      <c r="AE96" s="1" t="s">
        <v>6</v>
      </c>
      <c r="AF96" s="3">
        <v>371.26</v>
      </c>
      <c r="AG96" s="1" t="s">
        <v>3749</v>
      </c>
      <c r="AH96" s="3">
        <v>290.55</v>
      </c>
      <c r="AI96" s="1" t="s">
        <v>3750</v>
      </c>
      <c r="AJ96" s="3">
        <v>290.55</v>
      </c>
      <c r="AK96" s="1" t="s">
        <v>3751</v>
      </c>
      <c r="AL96" s="3">
        <v>290.55</v>
      </c>
      <c r="AM96" s="1" t="s">
        <v>3752</v>
      </c>
      <c r="AN96" s="3">
        <v>290.55</v>
      </c>
      <c r="AO96" s="1"/>
      <c r="AP96" s="1"/>
      <c r="AQ96" s="1"/>
      <c r="AR96" s="1"/>
      <c r="AS96" s="1"/>
      <c r="AT96" s="1"/>
      <c r="AU96" s="1" t="s">
        <v>3753</v>
      </c>
      <c r="AV96" s="3">
        <v>290.55</v>
      </c>
      <c r="AW96" s="1" t="s">
        <v>3754</v>
      </c>
      <c r="AX96" s="3">
        <v>290.55</v>
      </c>
      <c r="AY96" s="1"/>
      <c r="AZ96" s="1"/>
      <c r="BA96" s="1" t="s">
        <v>3755</v>
      </c>
      <c r="BB96" s="3">
        <v>290.55</v>
      </c>
      <c r="BC96" s="67" t="s">
        <v>3756</v>
      </c>
      <c r="BD96" s="67">
        <v>385.32</v>
      </c>
      <c r="BE96" s="67">
        <f t="shared" si="1"/>
        <v>2119.26</v>
      </c>
    </row>
    <row r="97">
      <c r="A97" s="1"/>
      <c r="B97" s="1"/>
      <c r="C97" s="1" t="s">
        <v>3757</v>
      </c>
      <c r="D97" s="3">
        <v>290.55</v>
      </c>
      <c r="E97" s="1"/>
      <c r="F97" s="1"/>
      <c r="G97" s="1"/>
      <c r="H97" s="1"/>
      <c r="I97" s="1" t="s">
        <v>3758</v>
      </c>
      <c r="J97" s="3">
        <v>290.55</v>
      </c>
      <c r="K97" s="1" t="s">
        <v>2781</v>
      </c>
      <c r="L97" s="3">
        <v>290.55</v>
      </c>
      <c r="M97" s="1"/>
      <c r="N97" s="1"/>
      <c r="O97" s="1"/>
      <c r="P97" s="1"/>
      <c r="Q97" s="1" t="s">
        <v>3759</v>
      </c>
      <c r="R97" s="3">
        <v>290.55</v>
      </c>
      <c r="S97" s="1" t="s">
        <v>3760</v>
      </c>
      <c r="T97" s="3">
        <v>290.55</v>
      </c>
      <c r="U97" s="1" t="s">
        <v>3761</v>
      </c>
      <c r="V97" s="3">
        <v>290.55</v>
      </c>
      <c r="W97" s="1"/>
      <c r="X97" s="1"/>
      <c r="Y97" s="1" t="s">
        <v>3762</v>
      </c>
      <c r="Z97" s="3">
        <v>290.55</v>
      </c>
      <c r="AA97" s="1" t="s">
        <v>3763</v>
      </c>
      <c r="AB97" s="3">
        <v>290.55</v>
      </c>
      <c r="AC97" s="1" t="s">
        <v>3764</v>
      </c>
      <c r="AD97" s="3">
        <v>290.55</v>
      </c>
      <c r="AE97" s="1" t="s">
        <v>112</v>
      </c>
      <c r="AF97" s="3">
        <v>290.55</v>
      </c>
      <c r="AG97" s="1" t="s">
        <v>3765</v>
      </c>
      <c r="AH97" s="3">
        <v>290.55</v>
      </c>
      <c r="AI97" s="1" t="s">
        <v>3766</v>
      </c>
      <c r="AJ97" s="3">
        <v>290.55</v>
      </c>
      <c r="AK97" s="1" t="s">
        <v>3767</v>
      </c>
      <c r="AL97" s="3">
        <v>290.55</v>
      </c>
      <c r="AM97" s="1" t="s">
        <v>3768</v>
      </c>
      <c r="AN97" s="3">
        <v>290.55</v>
      </c>
      <c r="AO97" s="1"/>
      <c r="AP97" s="1"/>
      <c r="AQ97" s="1"/>
      <c r="AR97" s="1"/>
      <c r="AS97" s="1"/>
      <c r="AT97" s="1"/>
      <c r="AU97" s="1" t="s">
        <v>3769</v>
      </c>
      <c r="AV97" s="3">
        <v>290.55</v>
      </c>
      <c r="AW97" s="1" t="s">
        <v>3770</v>
      </c>
      <c r="AX97" s="3">
        <v>290.55</v>
      </c>
      <c r="AY97" s="1"/>
      <c r="AZ97" s="1"/>
      <c r="BA97" s="1" t="s">
        <v>3771</v>
      </c>
      <c r="BB97" s="3">
        <v>290.55</v>
      </c>
      <c r="BC97" s="67" t="s">
        <v>3756</v>
      </c>
      <c r="BD97" s="67">
        <v>456.3</v>
      </c>
      <c r="BE97" s="67">
        <f t="shared" si="1"/>
        <v>2509.65</v>
      </c>
    </row>
    <row r="98">
      <c r="A98" s="1"/>
      <c r="B98" s="1"/>
      <c r="C98" s="1" t="s">
        <v>3772</v>
      </c>
      <c r="D98" s="3">
        <v>290.55</v>
      </c>
      <c r="E98" s="1"/>
      <c r="F98" s="1"/>
      <c r="G98" s="1"/>
      <c r="H98" s="1"/>
      <c r="I98" s="1" t="s">
        <v>3773</v>
      </c>
      <c r="J98" s="3">
        <v>290.55</v>
      </c>
      <c r="K98" s="1" t="s">
        <v>3774</v>
      </c>
      <c r="L98" s="3">
        <v>290.55</v>
      </c>
      <c r="M98" s="1"/>
      <c r="N98" s="1"/>
      <c r="O98" s="1"/>
      <c r="P98" s="1"/>
      <c r="Q98" s="1" t="s">
        <v>3775</v>
      </c>
      <c r="R98" s="3">
        <v>290.55</v>
      </c>
      <c r="S98" s="1" t="s">
        <v>3776</v>
      </c>
      <c r="T98" s="3">
        <v>290.55</v>
      </c>
      <c r="U98" s="1" t="s">
        <v>3777</v>
      </c>
      <c r="V98" s="3">
        <v>290.55</v>
      </c>
      <c r="W98" s="1"/>
      <c r="X98" s="1"/>
      <c r="Y98" s="1" t="s">
        <v>3778</v>
      </c>
      <c r="Z98" s="3">
        <v>290.55</v>
      </c>
      <c r="AA98" s="1" t="s">
        <v>3779</v>
      </c>
      <c r="AB98" s="3">
        <v>290.55</v>
      </c>
      <c r="AC98" s="1" t="s">
        <v>3780</v>
      </c>
      <c r="AD98" s="3">
        <v>290.55</v>
      </c>
      <c r="AE98" s="1" t="s">
        <v>114</v>
      </c>
      <c r="AF98" s="3">
        <v>290.55</v>
      </c>
      <c r="AG98" s="1" t="s">
        <v>3781</v>
      </c>
      <c r="AH98" s="3">
        <v>290.55</v>
      </c>
      <c r="AI98" s="1" t="s">
        <v>3782</v>
      </c>
      <c r="AJ98" s="3">
        <v>290.55</v>
      </c>
      <c r="AK98" s="1" t="s">
        <v>3783</v>
      </c>
      <c r="AL98" s="3">
        <v>290.55</v>
      </c>
      <c r="AM98" s="1" t="s">
        <v>2574</v>
      </c>
      <c r="AN98" s="3">
        <v>290.55</v>
      </c>
      <c r="AO98" s="1"/>
      <c r="AP98" s="1"/>
      <c r="AQ98" s="1"/>
      <c r="AR98" s="1"/>
      <c r="AS98" s="1"/>
      <c r="AT98" s="1"/>
      <c r="AU98" s="1" t="s">
        <v>3784</v>
      </c>
      <c r="AV98" s="3">
        <v>290.55</v>
      </c>
      <c r="AW98" s="1" t="s">
        <v>3785</v>
      </c>
      <c r="AX98" s="3">
        <v>290.55</v>
      </c>
      <c r="AY98" s="1"/>
      <c r="AZ98" s="1"/>
      <c r="BA98" s="1" t="s">
        <v>3786</v>
      </c>
      <c r="BB98" s="3">
        <v>290.55</v>
      </c>
      <c r="BC98" s="67" t="s">
        <v>3787</v>
      </c>
      <c r="BD98" s="67">
        <v>295.09</v>
      </c>
      <c r="BE98" s="67">
        <f t="shared" si="1"/>
        <v>1622.995</v>
      </c>
    </row>
    <row r="99">
      <c r="A99" s="1"/>
      <c r="B99" s="1"/>
      <c r="C99" s="1" t="s">
        <v>3788</v>
      </c>
      <c r="D99" s="3">
        <v>290.55</v>
      </c>
      <c r="E99" s="1"/>
      <c r="F99" s="1"/>
      <c r="G99" s="1"/>
      <c r="H99" s="1"/>
      <c r="I99" s="1" t="s">
        <v>3789</v>
      </c>
      <c r="J99" s="3">
        <v>290.55</v>
      </c>
      <c r="K99" s="1" t="s">
        <v>3790</v>
      </c>
      <c r="L99" s="3">
        <v>290.55</v>
      </c>
      <c r="M99" s="1"/>
      <c r="N99" s="1"/>
      <c r="O99" s="1"/>
      <c r="P99" s="1"/>
      <c r="Q99" s="1" t="s">
        <v>3791</v>
      </c>
      <c r="R99" s="3">
        <v>290.55</v>
      </c>
      <c r="S99" s="1" t="s">
        <v>3792</v>
      </c>
      <c r="T99" s="3">
        <v>290.55</v>
      </c>
      <c r="U99" s="1" t="s">
        <v>3793</v>
      </c>
      <c r="V99" s="3">
        <v>290.55</v>
      </c>
      <c r="W99" s="1"/>
      <c r="X99" s="1"/>
      <c r="Y99" s="1" t="s">
        <v>3794</v>
      </c>
      <c r="Z99" s="3">
        <v>290.55</v>
      </c>
      <c r="AA99" s="1" t="s">
        <v>3795</v>
      </c>
      <c r="AB99" s="3">
        <v>290.55</v>
      </c>
      <c r="AC99" s="1" t="s">
        <v>3796</v>
      </c>
      <c r="AD99" s="3">
        <v>290.55</v>
      </c>
      <c r="AE99" s="1" t="s">
        <v>115</v>
      </c>
      <c r="AF99" s="3">
        <v>290.55</v>
      </c>
      <c r="AG99" s="1" t="s">
        <v>3797</v>
      </c>
      <c r="AH99" s="3">
        <v>290.55</v>
      </c>
      <c r="AI99" s="1" t="s">
        <v>3798</v>
      </c>
      <c r="AJ99" s="3">
        <v>290.55</v>
      </c>
      <c r="AK99" s="1" t="s">
        <v>3799</v>
      </c>
      <c r="AL99" s="3">
        <v>290.55</v>
      </c>
      <c r="AM99" s="1" t="s">
        <v>3800</v>
      </c>
      <c r="AN99" s="3">
        <v>290.55</v>
      </c>
      <c r="AO99" s="1"/>
      <c r="AP99" s="1"/>
      <c r="AQ99" s="1"/>
      <c r="AR99" s="1"/>
      <c r="AS99" s="1"/>
      <c r="AT99" s="1"/>
      <c r="AU99" s="1" t="s">
        <v>3801</v>
      </c>
      <c r="AV99" s="3">
        <v>290.55</v>
      </c>
      <c r="AW99" s="1" t="s">
        <v>3802</v>
      </c>
      <c r="AX99" s="3">
        <v>290.55</v>
      </c>
      <c r="AY99" s="1"/>
      <c r="AZ99" s="1"/>
      <c r="BA99" s="1" t="s">
        <v>3803</v>
      </c>
      <c r="BB99" s="3">
        <v>290.55</v>
      </c>
      <c r="BC99" s="67" t="s">
        <v>3804</v>
      </c>
      <c r="BD99" s="67">
        <v>295.09</v>
      </c>
      <c r="BE99" s="67">
        <f t="shared" si="1"/>
        <v>1622.995</v>
      </c>
    </row>
    <row r="100">
      <c r="A100" s="1"/>
      <c r="B100" s="1"/>
      <c r="C100" s="1" t="s">
        <v>3805</v>
      </c>
      <c r="D100" s="3">
        <v>290.55</v>
      </c>
      <c r="E100" s="1"/>
      <c r="F100" s="1"/>
      <c r="G100" s="1"/>
      <c r="H100" s="1"/>
      <c r="I100" s="1" t="s">
        <v>3806</v>
      </c>
      <c r="J100" s="3">
        <v>290.55</v>
      </c>
      <c r="K100" s="1" t="s">
        <v>3807</v>
      </c>
      <c r="L100" s="3">
        <v>290.55</v>
      </c>
      <c r="M100" s="1"/>
      <c r="N100" s="1"/>
      <c r="O100" s="1"/>
      <c r="P100" s="1"/>
      <c r="Q100" s="1" t="s">
        <v>3808</v>
      </c>
      <c r="R100" s="3">
        <v>290.55</v>
      </c>
      <c r="S100" s="1" t="s">
        <v>3809</v>
      </c>
      <c r="T100" s="3">
        <v>290.55</v>
      </c>
      <c r="U100" s="1" t="s">
        <v>3810</v>
      </c>
      <c r="V100" s="3">
        <v>290.55</v>
      </c>
      <c r="W100" s="1"/>
      <c r="X100" s="1"/>
      <c r="Y100" s="1" t="s">
        <v>3811</v>
      </c>
      <c r="Z100" s="3">
        <v>290.55</v>
      </c>
      <c r="AA100" s="1" t="s">
        <v>3812</v>
      </c>
      <c r="AB100" s="3">
        <v>290.55</v>
      </c>
      <c r="AC100" s="1" t="s">
        <v>3813</v>
      </c>
      <c r="AD100" s="3">
        <v>290.55</v>
      </c>
      <c r="AE100" s="1" t="s">
        <v>3814</v>
      </c>
      <c r="AF100" s="3">
        <v>290.55</v>
      </c>
      <c r="AG100" s="1" t="s">
        <v>3815</v>
      </c>
      <c r="AH100" s="3">
        <v>290.55</v>
      </c>
      <c r="AI100" s="1" t="s">
        <v>3816</v>
      </c>
      <c r="AJ100" s="3">
        <v>290.55</v>
      </c>
      <c r="AK100" s="1" t="s">
        <v>3817</v>
      </c>
      <c r="AL100" s="3">
        <v>290.55</v>
      </c>
      <c r="AM100" s="1" t="s">
        <v>3818</v>
      </c>
      <c r="AN100" s="3">
        <v>290.55</v>
      </c>
      <c r="AO100" s="1"/>
      <c r="AP100" s="1"/>
      <c r="AQ100" s="1"/>
      <c r="AR100" s="1"/>
      <c r="AS100" s="1"/>
      <c r="AT100" s="1"/>
      <c r="AU100" s="1" t="s">
        <v>3819</v>
      </c>
      <c r="AV100" s="3">
        <v>290.55</v>
      </c>
      <c r="AW100" s="1" t="s">
        <v>3820</v>
      </c>
      <c r="AX100" s="3">
        <v>290.55</v>
      </c>
      <c r="AY100" s="1"/>
      <c r="AZ100" s="1"/>
      <c r="BA100" s="1" t="s">
        <v>3821</v>
      </c>
      <c r="BB100" s="3">
        <v>290.55</v>
      </c>
      <c r="BC100" s="67" t="s">
        <v>3822</v>
      </c>
      <c r="BD100" s="67">
        <v>456.3</v>
      </c>
      <c r="BE100" s="67">
        <f t="shared" si="1"/>
        <v>2509.65</v>
      </c>
    </row>
    <row r="101">
      <c r="A101" s="1"/>
      <c r="B101" s="1"/>
      <c r="C101" s="1" t="s">
        <v>3823</v>
      </c>
      <c r="D101" s="3">
        <v>290.55</v>
      </c>
      <c r="E101" s="1"/>
      <c r="F101" s="1"/>
      <c r="G101" s="1"/>
      <c r="H101" s="1"/>
      <c r="I101" s="1" t="s">
        <v>3824</v>
      </c>
      <c r="J101" s="3">
        <v>290.55</v>
      </c>
      <c r="K101" s="1" t="s">
        <v>3825</v>
      </c>
      <c r="L101" s="3">
        <v>290.55</v>
      </c>
      <c r="M101" s="1"/>
      <c r="N101" s="1"/>
      <c r="O101" s="1"/>
      <c r="P101" s="1"/>
      <c r="Q101" s="1" t="s">
        <v>3826</v>
      </c>
      <c r="R101" s="3">
        <v>290.55</v>
      </c>
      <c r="S101" s="1" t="s">
        <v>3827</v>
      </c>
      <c r="T101" s="3">
        <v>290.55</v>
      </c>
      <c r="U101" s="1" t="s">
        <v>3828</v>
      </c>
      <c r="V101" s="3">
        <v>290.55</v>
      </c>
      <c r="W101" s="1"/>
      <c r="X101" s="1"/>
      <c r="Y101" s="1" t="s">
        <v>3829</v>
      </c>
      <c r="Z101" s="3">
        <v>290.55</v>
      </c>
      <c r="AA101" s="1" t="s">
        <v>3830</v>
      </c>
      <c r="AB101" s="3">
        <v>290.55</v>
      </c>
      <c r="AC101" s="1" t="s">
        <v>3831</v>
      </c>
      <c r="AD101" s="3">
        <v>290.55</v>
      </c>
      <c r="AE101" s="1" t="s">
        <v>56</v>
      </c>
      <c r="AF101" s="3">
        <v>290.55</v>
      </c>
      <c r="AG101" s="1" t="s">
        <v>3832</v>
      </c>
      <c r="AH101" s="3">
        <v>290.55</v>
      </c>
      <c r="AI101" s="1" t="s">
        <v>3833</v>
      </c>
      <c r="AJ101" s="3">
        <v>290.55</v>
      </c>
      <c r="AK101" s="1" t="s">
        <v>3834</v>
      </c>
      <c r="AL101" s="3">
        <v>290.55</v>
      </c>
      <c r="AM101" s="1" t="s">
        <v>3835</v>
      </c>
      <c r="AN101" s="3">
        <v>290.55</v>
      </c>
      <c r="AO101" s="1"/>
      <c r="AP101" s="1"/>
      <c r="AQ101" s="1"/>
      <c r="AR101" s="1"/>
      <c r="AS101" s="1"/>
      <c r="AT101" s="1"/>
      <c r="AU101" s="1" t="s">
        <v>3836</v>
      </c>
      <c r="AV101" s="3">
        <v>290.55</v>
      </c>
      <c r="AW101" s="1" t="s">
        <v>69</v>
      </c>
      <c r="AX101" s="3">
        <v>290.55</v>
      </c>
      <c r="AY101" s="1"/>
      <c r="AZ101" s="1"/>
      <c r="BA101" s="1" t="s">
        <v>3837</v>
      </c>
      <c r="BB101" s="3">
        <v>290.55</v>
      </c>
      <c r="BC101" s="67" t="s">
        <v>3838</v>
      </c>
      <c r="BD101" s="67">
        <v>295.09</v>
      </c>
      <c r="BE101" s="67">
        <f t="shared" si="1"/>
        <v>1622.995</v>
      </c>
    </row>
    <row r="102">
      <c r="A102" s="1"/>
      <c r="B102" s="1"/>
      <c r="C102" s="1" t="s">
        <v>3839</v>
      </c>
      <c r="D102" s="3">
        <v>290.55</v>
      </c>
      <c r="E102" s="1"/>
      <c r="F102" s="1"/>
      <c r="G102" s="1"/>
      <c r="H102" s="1"/>
      <c r="I102" s="1" t="s">
        <v>3840</v>
      </c>
      <c r="J102" s="3">
        <v>290.55</v>
      </c>
      <c r="K102" s="1" t="s">
        <v>3841</v>
      </c>
      <c r="L102" s="3">
        <v>290.55</v>
      </c>
      <c r="M102" s="1"/>
      <c r="N102" s="1"/>
      <c r="O102" s="1"/>
      <c r="P102" s="1"/>
      <c r="Q102" s="1" t="s">
        <v>3842</v>
      </c>
      <c r="R102" s="3">
        <v>290.55</v>
      </c>
      <c r="S102" s="1" t="s">
        <v>3843</v>
      </c>
      <c r="T102" s="3">
        <v>290.55</v>
      </c>
      <c r="U102" s="1" t="s">
        <v>3844</v>
      </c>
      <c r="V102" s="3">
        <v>290.55</v>
      </c>
      <c r="W102" s="1"/>
      <c r="X102" s="1"/>
      <c r="Y102" s="1" t="s">
        <v>1909</v>
      </c>
      <c r="Z102" s="3">
        <v>290.55</v>
      </c>
      <c r="AA102" s="1" t="s">
        <v>3845</v>
      </c>
      <c r="AB102" s="3">
        <v>290.55</v>
      </c>
      <c r="AC102" s="1" t="s">
        <v>3846</v>
      </c>
      <c r="AD102" s="3">
        <v>290.55</v>
      </c>
      <c r="AE102" s="1" t="s">
        <v>116</v>
      </c>
      <c r="AF102" s="3">
        <v>290.55</v>
      </c>
      <c r="AG102" s="1" t="s">
        <v>3847</v>
      </c>
      <c r="AH102" s="3">
        <v>290.55</v>
      </c>
      <c r="AI102" s="1" t="s">
        <v>3848</v>
      </c>
      <c r="AJ102" s="3">
        <v>290.55</v>
      </c>
      <c r="AK102" s="1" t="s">
        <v>3849</v>
      </c>
      <c r="AL102" s="3">
        <v>290.55</v>
      </c>
      <c r="AM102" s="1" t="s">
        <v>3850</v>
      </c>
      <c r="AN102" s="3">
        <v>290.55</v>
      </c>
      <c r="AO102" s="1"/>
      <c r="AP102" s="1"/>
      <c r="AQ102" s="1"/>
      <c r="AR102" s="1"/>
      <c r="AS102" s="1"/>
      <c r="AT102" s="1"/>
      <c r="AU102" s="1" t="s">
        <v>3851</v>
      </c>
      <c r="AV102" s="3">
        <v>290.55</v>
      </c>
      <c r="AW102" s="1" t="s">
        <v>3852</v>
      </c>
      <c r="AX102" s="3">
        <v>290.55</v>
      </c>
      <c r="AY102" s="1"/>
      <c r="AZ102" s="1"/>
      <c r="BA102" s="1" t="s">
        <v>3853</v>
      </c>
      <c r="BB102" s="3">
        <v>290.55</v>
      </c>
      <c r="BC102" s="67" t="s">
        <v>3854</v>
      </c>
      <c r="BD102" s="67">
        <v>295.09</v>
      </c>
      <c r="BE102" s="67">
        <f t="shared" si="1"/>
        <v>1622.995</v>
      </c>
    </row>
    <row r="103">
      <c r="A103" s="1"/>
      <c r="B103" s="1"/>
      <c r="C103" s="1" t="s">
        <v>617</v>
      </c>
      <c r="D103" s="3">
        <v>290.55</v>
      </c>
      <c r="E103" s="1"/>
      <c r="F103" s="1"/>
      <c r="G103" s="1"/>
      <c r="H103" s="1"/>
      <c r="I103" s="1" t="s">
        <v>3855</v>
      </c>
      <c r="J103" s="3">
        <v>290.55</v>
      </c>
      <c r="K103" s="1" t="s">
        <v>3856</v>
      </c>
      <c r="L103" s="3">
        <v>290.55</v>
      </c>
      <c r="M103" s="1"/>
      <c r="N103" s="1"/>
      <c r="O103" s="1"/>
      <c r="P103" s="1"/>
      <c r="Q103" s="1" t="s">
        <v>3857</v>
      </c>
      <c r="R103" s="3">
        <v>290.55</v>
      </c>
      <c r="S103" s="1" t="s">
        <v>3858</v>
      </c>
      <c r="T103" s="3">
        <v>290.55</v>
      </c>
      <c r="U103" s="1" t="s">
        <v>3859</v>
      </c>
      <c r="V103" s="3">
        <v>290.55</v>
      </c>
      <c r="W103" s="1"/>
      <c r="X103" s="1"/>
      <c r="Y103" s="1" t="s">
        <v>3860</v>
      </c>
      <c r="Z103" s="3">
        <v>290.55</v>
      </c>
      <c r="AA103" s="1" t="s">
        <v>3861</v>
      </c>
      <c r="AB103" s="3">
        <v>290.55</v>
      </c>
      <c r="AC103" s="1" t="s">
        <v>3862</v>
      </c>
      <c r="AD103" s="3">
        <v>290.55</v>
      </c>
      <c r="AE103" s="1" t="s">
        <v>117</v>
      </c>
      <c r="AF103" s="3">
        <v>290.55</v>
      </c>
      <c r="AG103" s="1" t="s">
        <v>3863</v>
      </c>
      <c r="AH103" s="3">
        <v>290.55</v>
      </c>
      <c r="AI103" s="1" t="s">
        <v>3864</v>
      </c>
      <c r="AJ103" s="3">
        <v>290.55</v>
      </c>
      <c r="AK103" s="1" t="s">
        <v>3865</v>
      </c>
      <c r="AL103" s="3">
        <v>290.55</v>
      </c>
      <c r="AM103" s="1" t="s">
        <v>3866</v>
      </c>
      <c r="AN103" s="3">
        <v>290.55</v>
      </c>
      <c r="AO103" s="1"/>
      <c r="AP103" s="1"/>
      <c r="AQ103" s="1"/>
      <c r="AR103" s="1"/>
      <c r="AS103" s="1"/>
      <c r="AT103" s="1"/>
      <c r="AU103" s="1" t="s">
        <v>3867</v>
      </c>
      <c r="AV103" s="3">
        <v>290.55</v>
      </c>
      <c r="AW103" s="1" t="s">
        <v>3868</v>
      </c>
      <c r="AX103" s="3">
        <v>290.55</v>
      </c>
      <c r="AY103" s="1"/>
      <c r="AZ103" s="1"/>
      <c r="BA103" s="1" t="s">
        <v>3869</v>
      </c>
      <c r="BB103" s="3">
        <v>290.55</v>
      </c>
      <c r="BC103" s="67" t="s">
        <v>3870</v>
      </c>
      <c r="BD103" s="67">
        <v>295.09</v>
      </c>
      <c r="BE103" s="67">
        <f t="shared" si="1"/>
        <v>1622.995</v>
      </c>
    </row>
    <row r="104">
      <c r="A104" s="1"/>
      <c r="B104" s="1"/>
      <c r="C104" s="1"/>
      <c r="D104" s="1"/>
      <c r="E104" s="1"/>
      <c r="F104" s="1"/>
      <c r="G104" s="1"/>
      <c r="H104" s="1"/>
      <c r="I104" s="1" t="s">
        <v>3871</v>
      </c>
      <c r="J104" s="3">
        <v>290.55</v>
      </c>
      <c r="K104" s="1" t="s">
        <v>3872</v>
      </c>
      <c r="L104" s="3">
        <v>290.55</v>
      </c>
      <c r="M104" s="1"/>
      <c r="N104" s="1"/>
      <c r="O104" s="1"/>
      <c r="P104" s="1"/>
      <c r="Q104" s="1" t="s">
        <v>3873</v>
      </c>
      <c r="R104" s="3">
        <v>290.55</v>
      </c>
      <c r="S104" s="1" t="s">
        <v>3874</v>
      </c>
      <c r="T104" s="3">
        <v>290.55</v>
      </c>
      <c r="U104" s="1" t="s">
        <v>3875</v>
      </c>
      <c r="V104" s="3">
        <v>290.55</v>
      </c>
      <c r="W104" s="1"/>
      <c r="X104" s="1"/>
      <c r="Y104" s="1" t="s">
        <v>3876</v>
      </c>
      <c r="Z104" s="3">
        <v>290.55</v>
      </c>
      <c r="AA104" s="1" t="s">
        <v>3877</v>
      </c>
      <c r="AB104" s="3">
        <v>290.55</v>
      </c>
      <c r="AC104" s="1" t="s">
        <v>3878</v>
      </c>
      <c r="AD104" s="3">
        <v>290.55</v>
      </c>
      <c r="AE104" s="1" t="s">
        <v>118</v>
      </c>
      <c r="AF104" s="3">
        <v>290.55</v>
      </c>
      <c r="AG104" s="1" t="s">
        <v>3879</v>
      </c>
      <c r="AH104" s="3">
        <v>290.55</v>
      </c>
      <c r="AI104" s="1" t="s">
        <v>3880</v>
      </c>
      <c r="AJ104" s="3">
        <v>290.55</v>
      </c>
      <c r="AK104" s="1" t="s">
        <v>3698</v>
      </c>
      <c r="AL104" s="3">
        <v>290.55</v>
      </c>
      <c r="AM104" s="1" t="s">
        <v>3881</v>
      </c>
      <c r="AN104" s="3">
        <v>290.55</v>
      </c>
      <c r="AO104" s="1"/>
      <c r="AP104" s="1"/>
      <c r="AQ104" s="1"/>
      <c r="AR104" s="1"/>
      <c r="AS104" s="1"/>
      <c r="AT104" s="1"/>
      <c r="AU104" s="1" t="s">
        <v>3882</v>
      </c>
      <c r="AV104" s="3">
        <v>290.55</v>
      </c>
      <c r="AW104" s="1" t="s">
        <v>3883</v>
      </c>
      <c r="AX104" s="3">
        <v>290.55</v>
      </c>
      <c r="AY104" s="1"/>
      <c r="AZ104" s="1"/>
      <c r="BA104" s="1" t="s">
        <v>3884</v>
      </c>
      <c r="BB104" s="3">
        <v>290.55</v>
      </c>
      <c r="BC104" s="67" t="s">
        <v>3885</v>
      </c>
      <c r="BD104" s="67">
        <v>456.3</v>
      </c>
      <c r="BE104" s="67">
        <f t="shared" si="1"/>
        <v>2509.65</v>
      </c>
    </row>
    <row r="105">
      <c r="A105" s="1"/>
      <c r="B105" s="1"/>
      <c r="C105" s="1"/>
      <c r="D105" s="1"/>
      <c r="E105" s="1"/>
      <c r="F105" s="1"/>
      <c r="G105" s="1"/>
      <c r="H105" s="1"/>
      <c r="I105" s="1" t="s">
        <v>3107</v>
      </c>
      <c r="J105" s="3">
        <v>290.55</v>
      </c>
      <c r="K105" s="1" t="s">
        <v>3886</v>
      </c>
      <c r="L105" s="3">
        <v>290.55</v>
      </c>
      <c r="M105" s="1"/>
      <c r="N105" s="1"/>
      <c r="O105" s="1"/>
      <c r="P105" s="1"/>
      <c r="Q105" s="1" t="s">
        <v>3887</v>
      </c>
      <c r="R105" s="3">
        <v>290.55</v>
      </c>
      <c r="S105" s="1" t="s">
        <v>3888</v>
      </c>
      <c r="T105" s="3">
        <v>290.55</v>
      </c>
      <c r="U105" s="1" t="s">
        <v>3889</v>
      </c>
      <c r="V105" s="3">
        <v>290.55</v>
      </c>
      <c r="W105" s="1"/>
      <c r="X105" s="1"/>
      <c r="Y105" s="1" t="s">
        <v>2621</v>
      </c>
      <c r="Z105" s="3">
        <v>290.55</v>
      </c>
      <c r="AA105" s="1" t="s">
        <v>3890</v>
      </c>
      <c r="AB105" s="3">
        <v>290.55</v>
      </c>
      <c r="AC105" s="1" t="s">
        <v>3891</v>
      </c>
      <c r="AD105" s="3">
        <v>290.55</v>
      </c>
      <c r="AE105" s="1" t="s">
        <v>119</v>
      </c>
      <c r="AF105" s="3">
        <v>290.55</v>
      </c>
      <c r="AG105" s="1" t="s">
        <v>3892</v>
      </c>
      <c r="AH105" s="3">
        <v>290.55</v>
      </c>
      <c r="AI105" s="1" t="s">
        <v>3893</v>
      </c>
      <c r="AJ105" s="3">
        <v>290.55</v>
      </c>
      <c r="AK105" s="1" t="s">
        <v>3894</v>
      </c>
      <c r="AL105" s="3">
        <v>290.55</v>
      </c>
      <c r="AM105" s="1" t="s">
        <v>3895</v>
      </c>
      <c r="AN105" s="3">
        <v>290.55</v>
      </c>
      <c r="AO105" s="1"/>
      <c r="AP105" s="1"/>
      <c r="AQ105" s="1"/>
      <c r="AR105" s="1"/>
      <c r="AS105" s="1"/>
      <c r="AT105" s="1"/>
      <c r="AU105" s="1" t="s">
        <v>3896</v>
      </c>
      <c r="AV105" s="3">
        <v>290.55</v>
      </c>
      <c r="AW105" s="1" t="s">
        <v>3897</v>
      </c>
      <c r="AX105" s="3">
        <v>290.55</v>
      </c>
      <c r="AY105" s="1"/>
      <c r="AZ105" s="1"/>
      <c r="BA105" s="1" t="s">
        <v>3898</v>
      </c>
      <c r="BB105" s="3">
        <v>290.55</v>
      </c>
      <c r="BC105" s="67" t="s">
        <v>3899</v>
      </c>
      <c r="BD105" s="67">
        <v>456.3</v>
      </c>
      <c r="BE105" s="67">
        <f t="shared" si="1"/>
        <v>2509.65</v>
      </c>
    </row>
    <row r="106">
      <c r="A106" s="1"/>
      <c r="B106" s="1"/>
      <c r="C106" s="1"/>
      <c r="D106" s="1"/>
      <c r="E106" s="1"/>
      <c r="F106" s="1"/>
      <c r="G106" s="1"/>
      <c r="H106" s="1"/>
      <c r="I106" s="1" t="s">
        <v>3900</v>
      </c>
      <c r="J106" s="3">
        <v>290.55</v>
      </c>
      <c r="K106" s="1" t="s">
        <v>3901</v>
      </c>
      <c r="L106" s="3">
        <v>290.55</v>
      </c>
      <c r="M106" s="1"/>
      <c r="N106" s="1"/>
      <c r="O106" s="1"/>
      <c r="P106" s="1"/>
      <c r="Q106" s="1" t="s">
        <v>3298</v>
      </c>
      <c r="R106" s="3">
        <v>290.55</v>
      </c>
      <c r="S106" s="1" t="s">
        <v>3902</v>
      </c>
      <c r="T106" s="3">
        <v>290.55</v>
      </c>
      <c r="U106" s="1" t="s">
        <v>3903</v>
      </c>
      <c r="V106" s="3">
        <v>290.55</v>
      </c>
      <c r="W106" s="1"/>
      <c r="X106" s="1"/>
      <c r="Y106" s="1" t="s">
        <v>3904</v>
      </c>
      <c r="Z106" s="3">
        <v>290.55</v>
      </c>
      <c r="AA106" s="1" t="s">
        <v>3905</v>
      </c>
      <c r="AB106" s="3">
        <v>290.55</v>
      </c>
      <c r="AC106" s="1" t="s">
        <v>3906</v>
      </c>
      <c r="AD106" s="3">
        <v>290.55</v>
      </c>
      <c r="AE106" s="1" t="s">
        <v>120</v>
      </c>
      <c r="AF106" s="3">
        <v>290.55</v>
      </c>
      <c r="AG106" s="1" t="s">
        <v>3907</v>
      </c>
      <c r="AH106" s="3">
        <v>290.55</v>
      </c>
      <c r="AI106" s="1" t="s">
        <v>3908</v>
      </c>
      <c r="AJ106" s="3">
        <v>290.55</v>
      </c>
      <c r="AK106" s="1" t="s">
        <v>3909</v>
      </c>
      <c r="AL106" s="3">
        <v>290.55</v>
      </c>
      <c r="AM106" s="1" t="s">
        <v>3910</v>
      </c>
      <c r="AN106" s="3">
        <v>290.55</v>
      </c>
      <c r="AO106" s="1"/>
      <c r="AP106" s="1"/>
      <c r="AQ106" s="1"/>
      <c r="AR106" s="1"/>
      <c r="AS106" s="1"/>
      <c r="AT106" s="1"/>
      <c r="AU106" s="1" t="s">
        <v>3911</v>
      </c>
      <c r="AV106" s="3">
        <v>290.55</v>
      </c>
      <c r="AW106" s="1" t="s">
        <v>3912</v>
      </c>
      <c r="AX106" s="3">
        <v>290.55</v>
      </c>
      <c r="AY106" s="1"/>
      <c r="AZ106" s="1"/>
      <c r="BA106" s="1" t="s">
        <v>3913</v>
      </c>
      <c r="BB106" s="3">
        <v>290.55</v>
      </c>
      <c r="BC106" s="67" t="s">
        <v>3914</v>
      </c>
      <c r="BD106" s="67">
        <v>385.32</v>
      </c>
      <c r="BE106" s="67">
        <f t="shared" si="1"/>
        <v>2119.26</v>
      </c>
    </row>
    <row r="107">
      <c r="A107" s="1"/>
      <c r="B107" s="1"/>
      <c r="C107" s="1"/>
      <c r="D107" s="1"/>
      <c r="E107" s="1"/>
      <c r="F107" s="1"/>
      <c r="G107" s="1"/>
      <c r="H107" s="1"/>
      <c r="I107" s="1" t="s">
        <v>3915</v>
      </c>
      <c r="J107" s="3">
        <v>290.55</v>
      </c>
      <c r="K107" s="1" t="s">
        <v>3916</v>
      </c>
      <c r="L107" s="3">
        <v>290.55</v>
      </c>
      <c r="M107" s="1"/>
      <c r="N107" s="1"/>
      <c r="O107" s="1"/>
      <c r="P107" s="1"/>
      <c r="Q107" s="1" t="s">
        <v>3917</v>
      </c>
      <c r="R107" s="3">
        <v>290.55</v>
      </c>
      <c r="S107" s="1" t="s">
        <v>3918</v>
      </c>
      <c r="T107" s="3">
        <v>290.55</v>
      </c>
      <c r="U107" s="1" t="s">
        <v>3919</v>
      </c>
      <c r="V107" s="3">
        <v>290.55</v>
      </c>
      <c r="W107" s="1"/>
      <c r="X107" s="1"/>
      <c r="Y107" s="1" t="s">
        <v>3920</v>
      </c>
      <c r="Z107" s="3">
        <v>290.55</v>
      </c>
      <c r="AA107" s="1" t="s">
        <v>3921</v>
      </c>
      <c r="AB107" s="3">
        <v>290.55</v>
      </c>
      <c r="AC107" s="1" t="s">
        <v>3922</v>
      </c>
      <c r="AD107" s="3">
        <v>290.55</v>
      </c>
      <c r="AE107" s="1" t="s">
        <v>121</v>
      </c>
      <c r="AF107" s="3">
        <v>290.55</v>
      </c>
      <c r="AG107" s="1" t="s">
        <v>3923</v>
      </c>
      <c r="AH107" s="3">
        <v>290.55</v>
      </c>
      <c r="AI107" s="1" t="s">
        <v>3924</v>
      </c>
      <c r="AJ107" s="3">
        <v>290.55</v>
      </c>
      <c r="AK107" s="1" t="s">
        <v>3925</v>
      </c>
      <c r="AL107" s="3">
        <v>290.55</v>
      </c>
      <c r="AM107" s="1" t="s">
        <v>3926</v>
      </c>
      <c r="AN107" s="3">
        <v>290.55</v>
      </c>
      <c r="AO107" s="1"/>
      <c r="AP107" s="1"/>
      <c r="AQ107" s="1"/>
      <c r="AR107" s="1"/>
      <c r="AS107" s="1"/>
      <c r="AT107" s="1"/>
      <c r="AU107" s="1" t="s">
        <v>3927</v>
      </c>
      <c r="AV107" s="3">
        <v>290.55</v>
      </c>
      <c r="AW107" s="1" t="s">
        <v>3928</v>
      </c>
      <c r="AX107" s="3">
        <v>290.55</v>
      </c>
      <c r="AY107" s="1"/>
      <c r="AZ107" s="1"/>
      <c r="BA107" s="1" t="s">
        <v>3079</v>
      </c>
      <c r="BB107" s="3">
        <v>290.55</v>
      </c>
      <c r="BC107" s="67" t="s">
        <v>3929</v>
      </c>
      <c r="BD107" s="67">
        <v>385.32</v>
      </c>
      <c r="BE107" s="67">
        <f t="shared" si="1"/>
        <v>2119.26</v>
      </c>
    </row>
    <row r="108">
      <c r="A108" s="1"/>
      <c r="B108" s="1"/>
      <c r="C108" s="1"/>
      <c r="D108" s="1"/>
      <c r="E108" s="1"/>
      <c r="F108" s="1"/>
      <c r="G108" s="1"/>
      <c r="H108" s="1"/>
      <c r="I108" s="1" t="s">
        <v>3930</v>
      </c>
      <c r="J108" s="3">
        <v>290.55</v>
      </c>
      <c r="K108" s="1" t="s">
        <v>3931</v>
      </c>
      <c r="L108" s="3">
        <v>290.55</v>
      </c>
      <c r="M108" s="1"/>
      <c r="N108" s="1"/>
      <c r="O108" s="1"/>
      <c r="P108" s="1"/>
      <c r="Q108" s="1" t="s">
        <v>3932</v>
      </c>
      <c r="R108" s="3">
        <v>290.55</v>
      </c>
      <c r="S108" s="1" t="s">
        <v>3933</v>
      </c>
      <c r="T108" s="3">
        <v>290.55</v>
      </c>
      <c r="U108" s="1" t="s">
        <v>3934</v>
      </c>
      <c r="V108" s="3">
        <v>290.55</v>
      </c>
      <c r="W108" s="1"/>
      <c r="X108" s="1"/>
      <c r="Y108" s="1" t="s">
        <v>3935</v>
      </c>
      <c r="Z108" s="3">
        <v>290.55</v>
      </c>
      <c r="AA108" s="1" t="s">
        <v>3936</v>
      </c>
      <c r="AB108" s="3">
        <v>290.55</v>
      </c>
      <c r="AC108" s="1" t="s">
        <v>3937</v>
      </c>
      <c r="AD108" s="3">
        <v>290.55</v>
      </c>
      <c r="AE108" s="1" t="s">
        <v>122</v>
      </c>
      <c r="AF108" s="3">
        <v>290.55</v>
      </c>
      <c r="AG108" s="1" t="s">
        <v>3938</v>
      </c>
      <c r="AH108" s="3">
        <v>290.55</v>
      </c>
      <c r="AI108" s="1" t="s">
        <v>3939</v>
      </c>
      <c r="AJ108" s="3">
        <v>290.55</v>
      </c>
      <c r="AK108" s="1" t="s">
        <v>3940</v>
      </c>
      <c r="AL108" s="3">
        <v>290.55</v>
      </c>
      <c r="AM108" s="1" t="s">
        <v>3941</v>
      </c>
      <c r="AN108" s="3">
        <v>290.55</v>
      </c>
      <c r="AO108" s="1"/>
      <c r="AP108" s="1"/>
      <c r="AQ108" s="1"/>
      <c r="AR108" s="1"/>
      <c r="AS108" s="1"/>
      <c r="AT108" s="1"/>
      <c r="AU108" s="1" t="s">
        <v>3942</v>
      </c>
      <c r="AV108" s="3">
        <v>290.55</v>
      </c>
      <c r="AW108" s="1" t="s">
        <v>3943</v>
      </c>
      <c r="AX108" s="3">
        <v>290.55</v>
      </c>
      <c r="AY108" s="1"/>
      <c r="AZ108" s="1"/>
      <c r="BA108" s="1" t="s">
        <v>3944</v>
      </c>
      <c r="BB108" s="3">
        <v>290.55</v>
      </c>
      <c r="BC108" s="67" t="s">
        <v>3945</v>
      </c>
      <c r="BD108" s="67">
        <v>398.91</v>
      </c>
      <c r="BE108" s="67">
        <f t="shared" si="1"/>
        <v>2194.005</v>
      </c>
    </row>
    <row r="109">
      <c r="A109" s="1"/>
      <c r="B109" s="1"/>
      <c r="C109" s="1"/>
      <c r="D109" s="1"/>
      <c r="E109" s="1"/>
      <c r="F109" s="1"/>
      <c r="G109" s="1"/>
      <c r="H109" s="1"/>
      <c r="I109" s="1" t="s">
        <v>3946</v>
      </c>
      <c r="J109" s="3">
        <v>290.55</v>
      </c>
      <c r="K109" s="1" t="s">
        <v>3947</v>
      </c>
      <c r="L109" s="3">
        <v>290.55</v>
      </c>
      <c r="M109" s="1"/>
      <c r="N109" s="1"/>
      <c r="O109" s="1"/>
      <c r="P109" s="1"/>
      <c r="Q109" s="1" t="s">
        <v>3948</v>
      </c>
      <c r="R109" s="3">
        <v>290.55</v>
      </c>
      <c r="S109" s="1" t="s">
        <v>3949</v>
      </c>
      <c r="T109" s="3">
        <v>290.55</v>
      </c>
      <c r="U109" s="1" t="s">
        <v>3950</v>
      </c>
      <c r="V109" s="3">
        <v>290.55</v>
      </c>
      <c r="W109" s="1"/>
      <c r="X109" s="1"/>
      <c r="Y109" s="1" t="s">
        <v>2778</v>
      </c>
      <c r="Z109" s="3">
        <v>290.55</v>
      </c>
      <c r="AA109" s="1" t="s">
        <v>3951</v>
      </c>
      <c r="AB109" s="3">
        <v>290.55</v>
      </c>
      <c r="AC109" s="1" t="s">
        <v>3952</v>
      </c>
      <c r="AD109" s="3">
        <v>290.55</v>
      </c>
      <c r="AE109" s="1" t="s">
        <v>123</v>
      </c>
      <c r="AF109" s="3">
        <v>290.55</v>
      </c>
      <c r="AG109" s="1" t="s">
        <v>3953</v>
      </c>
      <c r="AH109" s="3">
        <v>290.55</v>
      </c>
      <c r="AI109" s="1" t="s">
        <v>3954</v>
      </c>
      <c r="AJ109" s="3">
        <v>290.55</v>
      </c>
      <c r="AK109" s="1" t="s">
        <v>3955</v>
      </c>
      <c r="AL109" s="3">
        <v>290.55</v>
      </c>
      <c r="AM109" s="1" t="s">
        <v>3956</v>
      </c>
      <c r="AN109" s="3">
        <v>290.55</v>
      </c>
      <c r="AO109" s="1"/>
      <c r="AP109" s="1"/>
      <c r="AQ109" s="1"/>
      <c r="AR109" s="1"/>
      <c r="AS109" s="1"/>
      <c r="AT109" s="1"/>
      <c r="AU109" s="1" t="s">
        <v>3957</v>
      </c>
      <c r="AV109" s="3">
        <v>290.55</v>
      </c>
      <c r="AW109" s="1" t="s">
        <v>3958</v>
      </c>
      <c r="AX109" s="3">
        <v>290.55</v>
      </c>
      <c r="AY109" s="1"/>
      <c r="AZ109" s="1"/>
      <c r="BA109" s="1" t="s">
        <v>3959</v>
      </c>
      <c r="BB109" s="3">
        <v>290.55</v>
      </c>
      <c r="BC109" s="67" t="s">
        <v>3960</v>
      </c>
      <c r="BD109" s="67">
        <v>398.91</v>
      </c>
      <c r="BE109" s="67">
        <f t="shared" si="1"/>
        <v>2194.005</v>
      </c>
    </row>
    <row r="110">
      <c r="A110" s="1"/>
      <c r="B110" s="1"/>
      <c r="C110" s="1"/>
      <c r="D110" s="1"/>
      <c r="E110" s="1"/>
      <c r="F110" s="1"/>
      <c r="G110" s="1"/>
      <c r="H110" s="1"/>
      <c r="I110" s="1" t="s">
        <v>3961</v>
      </c>
      <c r="J110" s="3">
        <v>290.55</v>
      </c>
      <c r="K110" s="1" t="s">
        <v>3962</v>
      </c>
      <c r="L110" s="3">
        <v>290.55</v>
      </c>
      <c r="M110" s="1"/>
      <c r="N110" s="1"/>
      <c r="O110" s="1"/>
      <c r="P110" s="1"/>
      <c r="Q110" s="1" t="s">
        <v>3963</v>
      </c>
      <c r="R110" s="3">
        <v>290.55</v>
      </c>
      <c r="S110" s="1" t="s">
        <v>3964</v>
      </c>
      <c r="T110" s="3">
        <v>290.55</v>
      </c>
      <c r="U110" s="1" t="s">
        <v>2138</v>
      </c>
      <c r="V110" s="3">
        <v>290.55</v>
      </c>
      <c r="W110" s="1"/>
      <c r="X110" s="1"/>
      <c r="Y110" s="1" t="s">
        <v>3965</v>
      </c>
      <c r="Z110" s="3">
        <v>290.55</v>
      </c>
      <c r="AA110" s="1" t="s">
        <v>3966</v>
      </c>
      <c r="AB110" s="3">
        <v>290.55</v>
      </c>
      <c r="AC110" s="1" t="s">
        <v>3967</v>
      </c>
      <c r="AD110" s="3">
        <v>290.55</v>
      </c>
      <c r="AE110" s="1" t="s">
        <v>125</v>
      </c>
      <c r="AF110" s="3">
        <v>290.55</v>
      </c>
      <c r="AG110" s="1" t="s">
        <v>3968</v>
      </c>
      <c r="AH110" s="3">
        <v>290.55</v>
      </c>
      <c r="AI110" s="1" t="s">
        <v>3969</v>
      </c>
      <c r="AJ110" s="3">
        <v>290.55</v>
      </c>
      <c r="AK110" s="1" t="s">
        <v>3970</v>
      </c>
      <c r="AL110" s="3">
        <v>290.55</v>
      </c>
      <c r="AM110" s="1" t="s">
        <v>3971</v>
      </c>
      <c r="AN110" s="3">
        <v>290.55</v>
      </c>
      <c r="AO110" s="1"/>
      <c r="AP110" s="1"/>
      <c r="AQ110" s="1"/>
      <c r="AR110" s="1"/>
      <c r="AS110" s="1"/>
      <c r="AT110" s="1"/>
      <c r="AU110" s="1" t="s">
        <v>3972</v>
      </c>
      <c r="AV110" s="3">
        <v>290.55</v>
      </c>
      <c r="AW110" s="1" t="s">
        <v>1616</v>
      </c>
      <c r="AX110" s="3">
        <v>290.55</v>
      </c>
      <c r="AY110" s="1"/>
      <c r="AZ110" s="1"/>
      <c r="BA110" s="1" t="s">
        <v>3973</v>
      </c>
      <c r="BB110" s="3">
        <v>290.55</v>
      </c>
      <c r="BC110" s="67" t="s">
        <v>3974</v>
      </c>
      <c r="BD110" s="67">
        <v>385.32</v>
      </c>
      <c r="BE110" s="67">
        <f t="shared" si="1"/>
        <v>2119.26</v>
      </c>
    </row>
    <row r="111">
      <c r="A111" s="1"/>
      <c r="B111" s="1"/>
      <c r="C111" s="1"/>
      <c r="D111" s="1"/>
      <c r="E111" s="1"/>
      <c r="F111" s="1"/>
      <c r="G111" s="1"/>
      <c r="H111" s="1"/>
      <c r="I111" s="1" t="s">
        <v>3975</v>
      </c>
      <c r="J111" s="3">
        <v>290.55</v>
      </c>
      <c r="K111" s="1" t="s">
        <v>3976</v>
      </c>
      <c r="L111" s="3">
        <v>290.55</v>
      </c>
      <c r="M111" s="1"/>
      <c r="N111" s="1"/>
      <c r="O111" s="1"/>
      <c r="P111" s="1"/>
      <c r="Q111" s="1" t="s">
        <v>3977</v>
      </c>
      <c r="R111" s="3">
        <v>290.55</v>
      </c>
      <c r="S111" s="1" t="s">
        <v>3978</v>
      </c>
      <c r="T111" s="3">
        <v>290.55</v>
      </c>
      <c r="U111" s="1" t="s">
        <v>3979</v>
      </c>
      <c r="V111" s="3">
        <v>290.55</v>
      </c>
      <c r="W111" s="1"/>
      <c r="X111" s="1"/>
      <c r="Y111" s="1" t="s">
        <v>3980</v>
      </c>
      <c r="Z111" s="3">
        <v>290.55</v>
      </c>
      <c r="AA111" s="1" t="s">
        <v>3981</v>
      </c>
      <c r="AB111" s="3">
        <v>290.55</v>
      </c>
      <c r="AC111" s="1" t="s">
        <v>3982</v>
      </c>
      <c r="AD111" s="3">
        <v>290.55</v>
      </c>
      <c r="AE111" s="1" t="s">
        <v>126</v>
      </c>
      <c r="AF111" s="3">
        <v>290.55</v>
      </c>
      <c r="AG111" s="1" t="s">
        <v>3983</v>
      </c>
      <c r="AH111" s="3">
        <v>290.55</v>
      </c>
      <c r="AI111" s="1" t="s">
        <v>3984</v>
      </c>
      <c r="AJ111" s="3">
        <v>290.55</v>
      </c>
      <c r="AK111" s="1" t="s">
        <v>3985</v>
      </c>
      <c r="AL111" s="3">
        <v>290.55</v>
      </c>
      <c r="AM111" s="1" t="s">
        <v>3986</v>
      </c>
      <c r="AN111" s="3">
        <v>290.55</v>
      </c>
      <c r="AO111" s="1"/>
      <c r="AP111" s="1"/>
      <c r="AQ111" s="1"/>
      <c r="AR111" s="1"/>
      <c r="AS111" s="1"/>
      <c r="AT111" s="1"/>
      <c r="AU111" s="1" t="s">
        <v>3987</v>
      </c>
      <c r="AV111" s="3">
        <v>290.55</v>
      </c>
      <c r="AW111" s="1" t="s">
        <v>3988</v>
      </c>
      <c r="AX111" s="3">
        <v>290.55</v>
      </c>
      <c r="AY111" s="1"/>
      <c r="AZ111" s="1"/>
      <c r="BA111" s="1" t="s">
        <v>3989</v>
      </c>
      <c r="BB111" s="3">
        <v>290.55</v>
      </c>
      <c r="BC111" s="67" t="s">
        <v>578</v>
      </c>
      <c r="BD111" s="67">
        <v>398.91</v>
      </c>
      <c r="BE111" s="67">
        <f t="shared" si="1"/>
        <v>2194.005</v>
      </c>
    </row>
    <row r="112">
      <c r="A112" s="1"/>
      <c r="B112" s="1"/>
      <c r="C112" s="1"/>
      <c r="D112" s="1"/>
      <c r="E112" s="1"/>
      <c r="F112" s="1"/>
      <c r="G112" s="1"/>
      <c r="H112" s="1"/>
      <c r="I112" s="1" t="s">
        <v>3990</v>
      </c>
      <c r="J112" s="3">
        <v>290.55</v>
      </c>
      <c r="K112" s="1" t="s">
        <v>3991</v>
      </c>
      <c r="L112" s="3">
        <v>290.55</v>
      </c>
      <c r="M112" s="1"/>
      <c r="N112" s="1"/>
      <c r="O112" s="1"/>
      <c r="P112" s="1"/>
      <c r="Q112" s="1" t="s">
        <v>3992</v>
      </c>
      <c r="R112" s="3">
        <v>290.55</v>
      </c>
      <c r="S112" s="1" t="s">
        <v>3993</v>
      </c>
      <c r="T112" s="3">
        <v>290.55</v>
      </c>
      <c r="U112" s="1" t="s">
        <v>3994</v>
      </c>
      <c r="V112" s="3">
        <v>290.55</v>
      </c>
      <c r="W112" s="1"/>
      <c r="X112" s="1"/>
      <c r="Y112" s="1" t="s">
        <v>3995</v>
      </c>
      <c r="Z112" s="3">
        <v>290.55</v>
      </c>
      <c r="AA112" s="1" t="s">
        <v>3996</v>
      </c>
      <c r="AB112" s="3">
        <v>290.55</v>
      </c>
      <c r="AC112" s="1" t="s">
        <v>3997</v>
      </c>
      <c r="AD112" s="3">
        <v>290.55</v>
      </c>
      <c r="AE112" s="1" t="s">
        <v>127</v>
      </c>
      <c r="AF112" s="3">
        <v>290.55</v>
      </c>
      <c r="AG112" s="1" t="s">
        <v>3998</v>
      </c>
      <c r="AH112" s="3">
        <v>290.55</v>
      </c>
      <c r="AI112" s="1" t="s">
        <v>3765</v>
      </c>
      <c r="AJ112" s="3">
        <v>290.55</v>
      </c>
      <c r="AK112" s="1" t="s">
        <v>3999</v>
      </c>
      <c r="AL112" s="3">
        <v>290.55</v>
      </c>
      <c r="AM112" s="1" t="s">
        <v>3122</v>
      </c>
      <c r="AN112" s="3">
        <v>290.55</v>
      </c>
      <c r="AO112" s="1"/>
      <c r="AP112" s="1"/>
      <c r="AQ112" s="1"/>
      <c r="AR112" s="1"/>
      <c r="AS112" s="1"/>
      <c r="AT112" s="1"/>
      <c r="AU112" s="1" t="s">
        <v>4000</v>
      </c>
      <c r="AV112" s="3">
        <v>290.55</v>
      </c>
      <c r="AW112" s="1" t="s">
        <v>4001</v>
      </c>
      <c r="AX112" s="3">
        <v>290.55</v>
      </c>
      <c r="AY112" s="1"/>
      <c r="AZ112" s="1"/>
      <c r="BA112" s="1" t="s">
        <v>4002</v>
      </c>
      <c r="BB112" s="3">
        <v>290.55</v>
      </c>
      <c r="BC112" s="67" t="s">
        <v>4003</v>
      </c>
      <c r="BD112" s="67">
        <v>295.09</v>
      </c>
      <c r="BE112" s="67">
        <f t="shared" si="1"/>
        <v>1622.995</v>
      </c>
    </row>
    <row r="113">
      <c r="A113" s="1"/>
      <c r="B113" s="1"/>
      <c r="C113" s="1"/>
      <c r="D113" s="1"/>
      <c r="E113" s="1"/>
      <c r="F113" s="1"/>
      <c r="G113" s="1"/>
      <c r="H113" s="1"/>
      <c r="I113" s="1" t="s">
        <v>4004</v>
      </c>
      <c r="J113" s="3">
        <v>290.55</v>
      </c>
      <c r="K113" s="1" t="s">
        <v>4005</v>
      </c>
      <c r="L113" s="3">
        <v>290.55</v>
      </c>
      <c r="M113" s="1"/>
      <c r="N113" s="1"/>
      <c r="O113" s="1"/>
      <c r="P113" s="1"/>
      <c r="Q113" s="1" t="s">
        <v>4006</v>
      </c>
      <c r="R113" s="3">
        <v>290.55</v>
      </c>
      <c r="S113" s="1" t="s">
        <v>4007</v>
      </c>
      <c r="T113" s="3">
        <v>290.55</v>
      </c>
      <c r="U113" s="1" t="s">
        <v>4008</v>
      </c>
      <c r="V113" s="3">
        <v>290.55</v>
      </c>
      <c r="W113" s="1"/>
      <c r="X113" s="1"/>
      <c r="Y113" s="1" t="s">
        <v>4009</v>
      </c>
      <c r="Z113" s="3">
        <v>290.55</v>
      </c>
      <c r="AA113" s="1" t="s">
        <v>4010</v>
      </c>
      <c r="AB113" s="3">
        <v>290.55</v>
      </c>
      <c r="AC113" s="1" t="s">
        <v>4011</v>
      </c>
      <c r="AD113" s="3">
        <v>290.55</v>
      </c>
      <c r="AE113" s="1" t="s">
        <v>128</v>
      </c>
      <c r="AF113" s="3">
        <v>290.55</v>
      </c>
      <c r="AG113" s="1" t="s">
        <v>4012</v>
      </c>
      <c r="AH113" s="3">
        <v>290.55</v>
      </c>
      <c r="AI113" s="1" t="s">
        <v>4013</v>
      </c>
      <c r="AJ113" s="3">
        <v>290.55</v>
      </c>
      <c r="AK113" s="1" t="s">
        <v>4014</v>
      </c>
      <c r="AL113" s="3">
        <v>290.55</v>
      </c>
      <c r="AM113" s="1" t="s">
        <v>99</v>
      </c>
      <c r="AN113" s="3">
        <v>290.55</v>
      </c>
      <c r="AO113" s="1"/>
      <c r="AP113" s="1"/>
      <c r="AQ113" s="1"/>
      <c r="AR113" s="1"/>
      <c r="AS113" s="1"/>
      <c r="AT113" s="1"/>
      <c r="AU113" s="1" t="s">
        <v>4015</v>
      </c>
      <c r="AV113" s="3">
        <v>290.55</v>
      </c>
      <c r="AW113" s="1" t="s">
        <v>4016</v>
      </c>
      <c r="AX113" s="3">
        <v>290.55</v>
      </c>
      <c r="AY113" s="1"/>
      <c r="AZ113" s="1"/>
      <c r="BA113" s="1" t="s">
        <v>4017</v>
      </c>
      <c r="BB113" s="3">
        <v>290.55</v>
      </c>
      <c r="BC113" s="67" t="s">
        <v>4018</v>
      </c>
      <c r="BD113" s="67">
        <v>456.3</v>
      </c>
      <c r="BE113" s="67">
        <f t="shared" si="1"/>
        <v>2509.65</v>
      </c>
    </row>
    <row r="114">
      <c r="A114" s="1"/>
      <c r="B114" s="1"/>
      <c r="C114" s="1"/>
      <c r="D114" s="1"/>
      <c r="E114" s="1"/>
      <c r="F114" s="1"/>
      <c r="G114" s="1"/>
      <c r="H114" s="1"/>
      <c r="I114" s="1" t="s">
        <v>4019</v>
      </c>
      <c r="J114" s="3">
        <v>290.55</v>
      </c>
      <c r="K114" s="1" t="s">
        <v>4020</v>
      </c>
      <c r="L114" s="3">
        <v>290.55</v>
      </c>
      <c r="M114" s="1"/>
      <c r="N114" s="1"/>
      <c r="O114" s="1"/>
      <c r="P114" s="1"/>
      <c r="Q114" s="1" t="s">
        <v>4021</v>
      </c>
      <c r="R114" s="3">
        <v>290.55</v>
      </c>
      <c r="S114" s="1" t="s">
        <v>4022</v>
      </c>
      <c r="T114" s="3">
        <v>290.55</v>
      </c>
      <c r="U114" s="1" t="s">
        <v>4023</v>
      </c>
      <c r="V114" s="3">
        <v>290.55</v>
      </c>
      <c r="W114" s="1"/>
      <c r="X114" s="1"/>
      <c r="Y114" s="1" t="s">
        <v>4024</v>
      </c>
      <c r="Z114" s="3">
        <v>290.55</v>
      </c>
      <c r="AA114" s="1" t="s">
        <v>4025</v>
      </c>
      <c r="AB114" s="3">
        <v>290.55</v>
      </c>
      <c r="AC114" s="1" t="s">
        <v>4026</v>
      </c>
      <c r="AD114" s="3">
        <v>290.55</v>
      </c>
      <c r="AE114" s="1" t="s">
        <v>129</v>
      </c>
      <c r="AF114" s="3">
        <v>290.55</v>
      </c>
      <c r="AG114" s="1" t="s">
        <v>4027</v>
      </c>
      <c r="AH114" s="3">
        <v>290.55</v>
      </c>
      <c r="AI114" s="1" t="s">
        <v>4028</v>
      </c>
      <c r="AJ114" s="3">
        <v>290.55</v>
      </c>
      <c r="AK114" s="1" t="s">
        <v>4029</v>
      </c>
      <c r="AL114" s="3">
        <v>290.55</v>
      </c>
      <c r="AM114" s="1" t="s">
        <v>4030</v>
      </c>
      <c r="AN114" s="3">
        <v>290.55</v>
      </c>
      <c r="AO114" s="1"/>
      <c r="AP114" s="1"/>
      <c r="AQ114" s="1"/>
      <c r="AR114" s="1"/>
      <c r="AS114" s="1"/>
      <c r="AT114" s="1"/>
      <c r="AU114" s="1" t="s">
        <v>4031</v>
      </c>
      <c r="AV114" s="3">
        <v>290.55</v>
      </c>
      <c r="AW114" s="1" t="s">
        <v>4032</v>
      </c>
      <c r="AX114" s="3">
        <v>290.55</v>
      </c>
      <c r="AY114" s="1"/>
      <c r="AZ114" s="1"/>
      <c r="BA114" s="1" t="s">
        <v>4033</v>
      </c>
      <c r="BB114" s="3">
        <v>290.55</v>
      </c>
      <c r="BC114" s="67" t="s">
        <v>4034</v>
      </c>
      <c r="BD114" s="67">
        <v>385.32</v>
      </c>
      <c r="BE114" s="67">
        <f t="shared" si="1"/>
        <v>2119.26</v>
      </c>
    </row>
    <row r="115">
      <c r="A115" s="1"/>
      <c r="B115" s="1"/>
      <c r="C115" s="1"/>
      <c r="D115" s="1"/>
      <c r="E115" s="1"/>
      <c r="F115" s="1"/>
      <c r="G115" s="1"/>
      <c r="H115" s="1"/>
      <c r="I115" s="1" t="s">
        <v>4035</v>
      </c>
      <c r="J115" s="3">
        <v>290.55</v>
      </c>
      <c r="K115" s="1" t="s">
        <v>4036</v>
      </c>
      <c r="L115" s="3">
        <v>290.55</v>
      </c>
      <c r="M115" s="1"/>
      <c r="N115" s="1"/>
      <c r="O115" s="1"/>
      <c r="P115" s="1"/>
      <c r="Q115" s="1" t="s">
        <v>4037</v>
      </c>
      <c r="R115" s="3">
        <v>290.55</v>
      </c>
      <c r="S115" s="1" t="s">
        <v>4038</v>
      </c>
      <c r="T115" s="3">
        <v>290.55</v>
      </c>
      <c r="U115" s="1" t="s">
        <v>4039</v>
      </c>
      <c r="V115" s="3">
        <v>290.55</v>
      </c>
      <c r="W115" s="1"/>
      <c r="X115" s="1"/>
      <c r="Y115" s="1" t="s">
        <v>4040</v>
      </c>
      <c r="Z115" s="3">
        <v>290.55</v>
      </c>
      <c r="AA115" s="1" t="s">
        <v>4041</v>
      </c>
      <c r="AB115" s="3">
        <v>290.55</v>
      </c>
      <c r="AC115" s="1" t="s">
        <v>4042</v>
      </c>
      <c r="AD115" s="3">
        <v>290.55</v>
      </c>
      <c r="AE115" s="1" t="s">
        <v>131</v>
      </c>
      <c r="AF115" s="3">
        <v>290.55</v>
      </c>
      <c r="AG115" s="1" t="s">
        <v>4043</v>
      </c>
      <c r="AH115" s="3">
        <v>290.55</v>
      </c>
      <c r="AI115" s="1" t="s">
        <v>4044</v>
      </c>
      <c r="AJ115" s="3">
        <v>290.55</v>
      </c>
      <c r="AK115" s="1" t="s">
        <v>4045</v>
      </c>
      <c r="AL115" s="3">
        <v>290.55</v>
      </c>
      <c r="AM115" s="1" t="s">
        <v>4046</v>
      </c>
      <c r="AN115" s="3">
        <v>290.55</v>
      </c>
      <c r="AO115" s="1"/>
      <c r="AP115" s="1"/>
      <c r="AQ115" s="1"/>
      <c r="AR115" s="1"/>
      <c r="AS115" s="1"/>
      <c r="AT115" s="1"/>
      <c r="AU115" s="1" t="s">
        <v>4047</v>
      </c>
      <c r="AV115" s="3">
        <v>290.55</v>
      </c>
      <c r="AW115" s="1" t="s">
        <v>4048</v>
      </c>
      <c r="AX115" s="3">
        <v>290.55</v>
      </c>
      <c r="AY115" s="1"/>
      <c r="AZ115" s="1"/>
      <c r="BA115" s="1" t="s">
        <v>4049</v>
      </c>
      <c r="BB115" s="3">
        <v>290.55</v>
      </c>
      <c r="BC115" s="67" t="s">
        <v>4050</v>
      </c>
      <c r="BD115" s="67">
        <v>385.32</v>
      </c>
      <c r="BE115" s="67">
        <f t="shared" si="1"/>
        <v>2119.26</v>
      </c>
    </row>
    <row r="116">
      <c r="A116" s="1"/>
      <c r="B116" s="1"/>
      <c r="C116" s="1"/>
      <c r="D116" s="1"/>
      <c r="E116" s="1"/>
      <c r="F116" s="1"/>
      <c r="G116" s="1"/>
      <c r="H116" s="1"/>
      <c r="I116" s="1" t="s">
        <v>4051</v>
      </c>
      <c r="J116" s="3">
        <v>290.55</v>
      </c>
      <c r="K116" s="1" t="s">
        <v>4052</v>
      </c>
      <c r="L116" s="3">
        <v>290.55</v>
      </c>
      <c r="M116" s="1"/>
      <c r="N116" s="1"/>
      <c r="O116" s="1"/>
      <c r="P116" s="1"/>
      <c r="Q116" s="1" t="s">
        <v>4053</v>
      </c>
      <c r="R116" s="3">
        <v>290.55</v>
      </c>
      <c r="S116" s="1" t="s">
        <v>4054</v>
      </c>
      <c r="T116" s="3">
        <v>290.55</v>
      </c>
      <c r="U116" s="1" t="s">
        <v>4055</v>
      </c>
      <c r="V116" s="3">
        <v>290.55</v>
      </c>
      <c r="W116" s="1"/>
      <c r="X116" s="1"/>
      <c r="Y116" s="1" t="s">
        <v>4056</v>
      </c>
      <c r="Z116" s="3">
        <v>290.55</v>
      </c>
      <c r="AA116" s="1" t="s">
        <v>4057</v>
      </c>
      <c r="AB116" s="3">
        <v>290.55</v>
      </c>
      <c r="AC116" s="1" t="s">
        <v>4058</v>
      </c>
      <c r="AD116" s="3">
        <v>290.55</v>
      </c>
      <c r="AE116" s="1" t="s">
        <v>132</v>
      </c>
      <c r="AF116" s="3">
        <v>290.55</v>
      </c>
      <c r="AG116" s="1" t="s">
        <v>4059</v>
      </c>
      <c r="AH116" s="3">
        <v>290.55</v>
      </c>
      <c r="AI116" s="1" t="s">
        <v>4060</v>
      </c>
      <c r="AJ116" s="3">
        <v>290.55</v>
      </c>
      <c r="AK116" s="1" t="s">
        <v>4061</v>
      </c>
      <c r="AL116" s="3">
        <v>290.55</v>
      </c>
      <c r="AM116" s="1" t="s">
        <v>4062</v>
      </c>
      <c r="AN116" s="3">
        <v>290.55</v>
      </c>
      <c r="AO116" s="1"/>
      <c r="AP116" s="1"/>
      <c r="AQ116" s="1"/>
      <c r="AR116" s="1"/>
      <c r="AS116" s="1"/>
      <c r="AT116" s="1"/>
      <c r="AU116" s="1" t="s">
        <v>4063</v>
      </c>
      <c r="AV116" s="3">
        <v>290.55</v>
      </c>
      <c r="AW116" s="1" t="s">
        <v>4064</v>
      </c>
      <c r="AX116" s="3">
        <v>290.55</v>
      </c>
      <c r="AY116" s="1"/>
      <c r="AZ116" s="1"/>
      <c r="BA116" s="1" t="s">
        <v>4065</v>
      </c>
      <c r="BB116" s="3">
        <v>290.55</v>
      </c>
      <c r="BC116" s="67" t="s">
        <v>4066</v>
      </c>
      <c r="BD116" s="67">
        <v>456.3</v>
      </c>
      <c r="BE116" s="67">
        <f t="shared" si="1"/>
        <v>2509.65</v>
      </c>
    </row>
    <row r="117">
      <c r="A117" s="1"/>
      <c r="B117" s="1"/>
      <c r="C117" s="1"/>
      <c r="D117" s="1"/>
      <c r="E117" s="1"/>
      <c r="F117" s="1"/>
      <c r="G117" s="1"/>
      <c r="H117" s="1"/>
      <c r="I117" s="1" t="s">
        <v>4067</v>
      </c>
      <c r="J117" s="3">
        <v>290.55</v>
      </c>
      <c r="K117" s="1" t="s">
        <v>4068</v>
      </c>
      <c r="L117" s="3">
        <v>290.55</v>
      </c>
      <c r="M117" s="1"/>
      <c r="N117" s="1"/>
      <c r="O117" s="1"/>
      <c r="P117" s="1"/>
      <c r="Q117" s="1" t="s">
        <v>4069</v>
      </c>
      <c r="R117" s="3">
        <v>290.55</v>
      </c>
      <c r="S117" s="1" t="s">
        <v>4070</v>
      </c>
      <c r="T117" s="3">
        <v>290.55</v>
      </c>
      <c r="U117" s="1" t="s">
        <v>4071</v>
      </c>
      <c r="V117" s="3">
        <v>290.55</v>
      </c>
      <c r="W117" s="1"/>
      <c r="X117" s="1"/>
      <c r="Y117" s="1" t="s">
        <v>4072</v>
      </c>
      <c r="Z117" s="3">
        <v>290.55</v>
      </c>
      <c r="AA117" s="1" t="s">
        <v>4073</v>
      </c>
      <c r="AB117" s="3">
        <v>290.55</v>
      </c>
      <c r="AC117" s="1" t="s">
        <v>4074</v>
      </c>
      <c r="AD117" s="3">
        <v>290.55</v>
      </c>
      <c r="AE117" s="1" t="s">
        <v>133</v>
      </c>
      <c r="AF117" s="3">
        <v>290.55</v>
      </c>
      <c r="AG117" s="1" t="s">
        <v>4075</v>
      </c>
      <c r="AH117" s="3">
        <v>290.55</v>
      </c>
      <c r="AI117" s="1" t="s">
        <v>4076</v>
      </c>
      <c r="AJ117" s="3">
        <v>290.55</v>
      </c>
      <c r="AK117" s="1" t="s">
        <v>3072</v>
      </c>
      <c r="AL117" s="3">
        <v>290.55</v>
      </c>
      <c r="AM117" s="1" t="s">
        <v>4077</v>
      </c>
      <c r="AN117" s="3">
        <v>290.55</v>
      </c>
      <c r="AO117" s="1"/>
      <c r="AP117" s="1"/>
      <c r="AQ117" s="1"/>
      <c r="AR117" s="1"/>
      <c r="AS117" s="1"/>
      <c r="AT117" s="1"/>
      <c r="AU117" s="1" t="s">
        <v>4078</v>
      </c>
      <c r="AV117" s="3">
        <v>290.55</v>
      </c>
      <c r="AW117" s="1" t="s">
        <v>4079</v>
      </c>
      <c r="AX117" s="3">
        <v>290.55</v>
      </c>
      <c r="AY117" s="1"/>
      <c r="AZ117" s="1"/>
      <c r="BA117" s="1" t="s">
        <v>4080</v>
      </c>
      <c r="BB117" s="3">
        <v>290.55</v>
      </c>
      <c r="BC117" s="67" t="s">
        <v>4081</v>
      </c>
      <c r="BD117" s="67">
        <v>385.32</v>
      </c>
      <c r="BE117" s="67">
        <f t="shared" si="1"/>
        <v>2119.26</v>
      </c>
    </row>
    <row r="118">
      <c r="A118" s="1"/>
      <c r="B118" s="1"/>
      <c r="C118" s="1"/>
      <c r="D118" s="1"/>
      <c r="E118" s="1"/>
      <c r="F118" s="1"/>
      <c r="G118" s="1"/>
      <c r="H118" s="1"/>
      <c r="I118" s="1" t="s">
        <v>4082</v>
      </c>
      <c r="J118" s="3">
        <v>290.55</v>
      </c>
      <c r="K118" s="1" t="s">
        <v>4083</v>
      </c>
      <c r="L118" s="3">
        <v>290.55</v>
      </c>
      <c r="M118" s="1"/>
      <c r="N118" s="1"/>
      <c r="O118" s="1"/>
      <c r="P118" s="1"/>
      <c r="Q118" s="1" t="s">
        <v>4084</v>
      </c>
      <c r="R118" s="3">
        <v>290.55</v>
      </c>
      <c r="S118" s="1" t="s">
        <v>4085</v>
      </c>
      <c r="T118" s="3">
        <v>290.55</v>
      </c>
      <c r="U118" s="1" t="s">
        <v>4086</v>
      </c>
      <c r="V118" s="3">
        <v>290.55</v>
      </c>
      <c r="W118" s="1"/>
      <c r="X118" s="1"/>
      <c r="Y118" s="1" t="s">
        <v>4087</v>
      </c>
      <c r="Z118" s="3">
        <v>290.55</v>
      </c>
      <c r="AA118" s="1" t="s">
        <v>4088</v>
      </c>
      <c r="AB118" s="3">
        <v>290.55</v>
      </c>
      <c r="AC118" s="1" t="s">
        <v>4089</v>
      </c>
      <c r="AD118" s="3">
        <v>290.55</v>
      </c>
      <c r="AE118" s="1" t="s">
        <v>134</v>
      </c>
      <c r="AF118" s="3">
        <v>290.55</v>
      </c>
      <c r="AG118" s="1" t="s">
        <v>4090</v>
      </c>
      <c r="AH118" s="3">
        <v>290.55</v>
      </c>
      <c r="AI118" s="1" t="s">
        <v>4091</v>
      </c>
      <c r="AJ118" s="3">
        <v>290.55</v>
      </c>
      <c r="AK118" s="1" t="s">
        <v>4092</v>
      </c>
      <c r="AL118" s="3">
        <v>290.55</v>
      </c>
      <c r="AM118" s="1" t="s">
        <v>4093</v>
      </c>
      <c r="AN118" s="3">
        <v>290.55</v>
      </c>
      <c r="AO118" s="1"/>
      <c r="AP118" s="1"/>
      <c r="AQ118" s="1"/>
      <c r="AR118" s="1"/>
      <c r="AS118" s="1"/>
      <c r="AT118" s="1"/>
      <c r="AU118" s="1" t="s">
        <v>4094</v>
      </c>
      <c r="AV118" s="3">
        <v>290.55</v>
      </c>
      <c r="AW118" s="1" t="s">
        <v>4095</v>
      </c>
      <c r="AX118" s="3">
        <v>290.55</v>
      </c>
      <c r="AY118" s="1"/>
      <c r="AZ118" s="1"/>
      <c r="BA118" s="1" t="s">
        <v>4096</v>
      </c>
      <c r="BB118" s="3">
        <v>290.55</v>
      </c>
      <c r="BC118" s="67" t="s">
        <v>4097</v>
      </c>
      <c r="BD118" s="67">
        <v>456.3</v>
      </c>
      <c r="BE118" s="67">
        <f t="shared" si="1"/>
        <v>2509.65</v>
      </c>
    </row>
    <row r="119">
      <c r="A119" s="1"/>
      <c r="B119" s="1"/>
      <c r="C119" s="1"/>
      <c r="D119" s="1"/>
      <c r="E119" s="1"/>
      <c r="F119" s="1"/>
      <c r="G119" s="1"/>
      <c r="H119" s="1"/>
      <c r="I119" s="1" t="s">
        <v>4098</v>
      </c>
      <c r="J119" s="3">
        <v>290.55</v>
      </c>
      <c r="K119" s="1" t="s">
        <v>4099</v>
      </c>
      <c r="L119" s="3">
        <v>290.55</v>
      </c>
      <c r="M119" s="1"/>
      <c r="N119" s="1"/>
      <c r="O119" s="1"/>
      <c r="P119" s="1"/>
      <c r="Q119" s="1" t="s">
        <v>2959</v>
      </c>
      <c r="R119" s="3">
        <v>290.55</v>
      </c>
      <c r="S119" s="1" t="s">
        <v>233</v>
      </c>
      <c r="T119" s="3">
        <v>290.55</v>
      </c>
      <c r="U119" s="1" t="s">
        <v>4100</v>
      </c>
      <c r="V119" s="3">
        <v>290.55</v>
      </c>
      <c r="W119" s="1"/>
      <c r="X119" s="1"/>
      <c r="Y119" s="1" t="s">
        <v>4101</v>
      </c>
      <c r="Z119" s="3">
        <v>290.55</v>
      </c>
      <c r="AA119" s="1" t="s">
        <v>4102</v>
      </c>
      <c r="AB119" s="3">
        <v>290.55</v>
      </c>
      <c r="AC119" s="1" t="s">
        <v>4103</v>
      </c>
      <c r="AD119" s="3">
        <v>290.55</v>
      </c>
      <c r="AE119" s="1" t="s">
        <v>135</v>
      </c>
      <c r="AF119" s="3">
        <v>290.55</v>
      </c>
      <c r="AG119" s="1" t="s">
        <v>4104</v>
      </c>
      <c r="AH119" s="3">
        <v>290.55</v>
      </c>
      <c r="AI119" s="1" t="s">
        <v>4105</v>
      </c>
      <c r="AJ119" s="3">
        <v>290.55</v>
      </c>
      <c r="AK119" s="1" t="s">
        <v>4106</v>
      </c>
      <c r="AL119" s="3">
        <v>290.55</v>
      </c>
      <c r="AM119" s="1" t="s">
        <v>4107</v>
      </c>
      <c r="AN119" s="3">
        <v>290.55</v>
      </c>
      <c r="AO119" s="1"/>
      <c r="AP119" s="1"/>
      <c r="AQ119" s="1"/>
      <c r="AR119" s="1"/>
      <c r="AS119" s="1"/>
      <c r="AT119" s="1"/>
      <c r="AU119" s="1" t="s">
        <v>4108</v>
      </c>
      <c r="AV119" s="3">
        <v>290.55</v>
      </c>
      <c r="AW119" s="1" t="s">
        <v>4109</v>
      </c>
      <c r="AX119" s="3">
        <v>290.55</v>
      </c>
      <c r="AY119" s="1"/>
      <c r="AZ119" s="1"/>
      <c r="BA119" s="1" t="s">
        <v>4110</v>
      </c>
      <c r="BB119" s="3">
        <v>290.55</v>
      </c>
      <c r="BC119" s="67" t="s">
        <v>4111</v>
      </c>
      <c r="BD119" s="67">
        <v>385.32</v>
      </c>
      <c r="BE119" s="67">
        <f t="shared" si="1"/>
        <v>2119.26</v>
      </c>
    </row>
    <row r="120">
      <c r="A120" s="1"/>
      <c r="B120" s="1"/>
      <c r="C120" s="1"/>
      <c r="D120" s="1"/>
      <c r="E120" s="1"/>
      <c r="F120" s="1"/>
      <c r="G120" s="1"/>
      <c r="H120" s="1"/>
      <c r="I120" s="1" t="s">
        <v>4112</v>
      </c>
      <c r="J120" s="3">
        <v>290.55</v>
      </c>
      <c r="K120" s="1" t="s">
        <v>4113</v>
      </c>
      <c r="L120" s="3">
        <v>290.55</v>
      </c>
      <c r="M120" s="1"/>
      <c r="N120" s="1"/>
      <c r="O120" s="1"/>
      <c r="P120" s="1"/>
      <c r="Q120" s="1" t="s">
        <v>4114</v>
      </c>
      <c r="R120" s="3">
        <v>290.55</v>
      </c>
      <c r="S120" s="1" t="s">
        <v>4115</v>
      </c>
      <c r="T120" s="3">
        <v>290.55</v>
      </c>
      <c r="U120" s="1" t="s">
        <v>4116</v>
      </c>
      <c r="V120" s="3">
        <v>290.55</v>
      </c>
      <c r="W120" s="1"/>
      <c r="X120" s="1"/>
      <c r="Y120" s="1" t="s">
        <v>4117</v>
      </c>
      <c r="Z120" s="3">
        <v>290.55</v>
      </c>
      <c r="AA120" s="1" t="s">
        <v>4118</v>
      </c>
      <c r="AB120" s="3">
        <v>290.55</v>
      </c>
      <c r="AC120" s="1" t="s">
        <v>4119</v>
      </c>
      <c r="AD120" s="3">
        <v>290.55</v>
      </c>
      <c r="AE120" s="1" t="s">
        <v>136</v>
      </c>
      <c r="AF120" s="3">
        <v>290.55</v>
      </c>
      <c r="AG120" s="1" t="s">
        <v>4120</v>
      </c>
      <c r="AH120" s="3">
        <v>290.55</v>
      </c>
      <c r="AI120" s="1" t="s">
        <v>4121</v>
      </c>
      <c r="AJ120" s="3">
        <v>290.55</v>
      </c>
      <c r="AK120" s="1" t="s">
        <v>4122</v>
      </c>
      <c r="AL120" s="3">
        <v>290.55</v>
      </c>
      <c r="AM120" s="1" t="s">
        <v>4123</v>
      </c>
      <c r="AN120" s="3">
        <v>290.55</v>
      </c>
      <c r="AO120" s="1"/>
      <c r="AP120" s="1"/>
      <c r="AQ120" s="1"/>
      <c r="AR120" s="1"/>
      <c r="AS120" s="1"/>
      <c r="AT120" s="1"/>
      <c r="AU120" s="1" t="s">
        <v>4124</v>
      </c>
      <c r="AV120" s="3">
        <v>290.55</v>
      </c>
      <c r="AW120" s="1" t="s">
        <v>4125</v>
      </c>
      <c r="AX120" s="3">
        <v>290.55</v>
      </c>
      <c r="AY120" s="1"/>
      <c r="AZ120" s="1"/>
      <c r="BA120" s="1" t="s">
        <v>4126</v>
      </c>
      <c r="BB120" s="3">
        <v>290.55</v>
      </c>
      <c r="BC120" s="67" t="s">
        <v>4127</v>
      </c>
      <c r="BD120" s="67">
        <v>398.91</v>
      </c>
      <c r="BE120" s="67">
        <f t="shared" si="1"/>
        <v>2194.005</v>
      </c>
    </row>
    <row r="121">
      <c r="A121" s="1"/>
      <c r="B121" s="1"/>
      <c r="C121" s="1"/>
      <c r="D121" s="1"/>
      <c r="E121" s="1"/>
      <c r="F121" s="1"/>
      <c r="G121" s="1"/>
      <c r="H121" s="1"/>
      <c r="I121" s="1" t="s">
        <v>4128</v>
      </c>
      <c r="J121" s="3">
        <v>290.55</v>
      </c>
      <c r="K121" s="1" t="s">
        <v>4129</v>
      </c>
      <c r="L121" s="3">
        <v>290.55</v>
      </c>
      <c r="M121" s="1"/>
      <c r="N121" s="1"/>
      <c r="O121" s="1"/>
      <c r="P121" s="1"/>
      <c r="Q121" s="1" t="s">
        <v>4130</v>
      </c>
      <c r="R121" s="3">
        <v>290.55</v>
      </c>
      <c r="S121" s="1" t="s">
        <v>4131</v>
      </c>
      <c r="T121" s="3">
        <v>290.55</v>
      </c>
      <c r="U121" s="1" t="s">
        <v>4132</v>
      </c>
      <c r="V121" s="3">
        <v>290.55</v>
      </c>
      <c r="W121" s="1"/>
      <c r="X121" s="1"/>
      <c r="Y121" s="1" t="s">
        <v>2089</v>
      </c>
      <c r="Z121" s="3">
        <v>290.55</v>
      </c>
      <c r="AA121" s="1" t="s">
        <v>4133</v>
      </c>
      <c r="AB121" s="3">
        <v>290.55</v>
      </c>
      <c r="AC121" s="1" t="s">
        <v>4134</v>
      </c>
      <c r="AD121" s="3">
        <v>290.55</v>
      </c>
      <c r="AE121" s="1" t="s">
        <v>137</v>
      </c>
      <c r="AF121" s="3">
        <v>290.55</v>
      </c>
      <c r="AG121" s="1" t="s">
        <v>3783</v>
      </c>
      <c r="AH121" s="3">
        <v>290.55</v>
      </c>
      <c r="AI121" s="1" t="s">
        <v>4135</v>
      </c>
      <c r="AJ121" s="3">
        <v>290.55</v>
      </c>
      <c r="AK121" s="1" t="s">
        <v>4136</v>
      </c>
      <c r="AL121" s="3">
        <v>290.55</v>
      </c>
      <c r="AM121" s="1" t="s">
        <v>4137</v>
      </c>
      <c r="AN121" s="3">
        <v>290.55</v>
      </c>
      <c r="AO121" s="1"/>
      <c r="AP121" s="1"/>
      <c r="AQ121" s="1"/>
      <c r="AR121" s="1"/>
      <c r="AS121" s="1"/>
      <c r="AT121" s="1"/>
      <c r="AU121" s="1" t="s">
        <v>4138</v>
      </c>
      <c r="AV121" s="3">
        <v>290.55</v>
      </c>
      <c r="AW121" s="1" t="s">
        <v>4139</v>
      </c>
      <c r="AX121" s="3">
        <v>290.55</v>
      </c>
      <c r="AY121" s="1"/>
      <c r="AZ121" s="1"/>
      <c r="BA121" s="1" t="s">
        <v>4140</v>
      </c>
      <c r="BB121" s="3">
        <v>290.55</v>
      </c>
      <c r="BC121" s="67" t="s">
        <v>4141</v>
      </c>
      <c r="BD121" s="67">
        <v>385.32</v>
      </c>
      <c r="BE121" s="67">
        <f t="shared" si="1"/>
        <v>2119.26</v>
      </c>
    </row>
    <row r="122">
      <c r="A122" s="1"/>
      <c r="B122" s="1"/>
      <c r="C122" s="1"/>
      <c r="D122" s="1"/>
      <c r="E122" s="1"/>
      <c r="F122" s="1"/>
      <c r="G122" s="1"/>
      <c r="H122" s="1"/>
      <c r="I122" s="1" t="s">
        <v>4142</v>
      </c>
      <c r="J122" s="3">
        <v>290.55</v>
      </c>
      <c r="K122" s="1" t="s">
        <v>4143</v>
      </c>
      <c r="L122" s="3">
        <v>290.55</v>
      </c>
      <c r="M122" s="1"/>
      <c r="N122" s="1"/>
      <c r="O122" s="1"/>
      <c r="P122" s="1"/>
      <c r="Q122" s="1" t="s">
        <v>4144</v>
      </c>
      <c r="R122" s="3">
        <v>290.55</v>
      </c>
      <c r="S122" s="1" t="s">
        <v>4145</v>
      </c>
      <c r="T122" s="3">
        <v>290.55</v>
      </c>
      <c r="U122" s="1" t="s">
        <v>4146</v>
      </c>
      <c r="V122" s="3">
        <v>290.55</v>
      </c>
      <c r="W122" s="1"/>
      <c r="X122" s="1"/>
      <c r="Y122" s="1" t="s">
        <v>4147</v>
      </c>
      <c r="Z122" s="3">
        <v>290.55</v>
      </c>
      <c r="AA122" s="1" t="s">
        <v>4148</v>
      </c>
      <c r="AB122" s="3">
        <v>290.55</v>
      </c>
      <c r="AC122" s="1" t="s">
        <v>4149</v>
      </c>
      <c r="AD122" s="3">
        <v>290.55</v>
      </c>
      <c r="AE122" s="1" t="s">
        <v>138</v>
      </c>
      <c r="AF122" s="3">
        <v>290.55</v>
      </c>
      <c r="AG122" s="1" t="s">
        <v>4150</v>
      </c>
      <c r="AH122" s="3">
        <v>290.55</v>
      </c>
      <c r="AI122" s="1" t="s">
        <v>4151</v>
      </c>
      <c r="AJ122" s="3">
        <v>290.55</v>
      </c>
      <c r="AK122" s="1" t="s">
        <v>4152</v>
      </c>
      <c r="AL122" s="3">
        <v>290.55</v>
      </c>
      <c r="AM122" s="1" t="s">
        <v>4153</v>
      </c>
      <c r="AN122" s="3">
        <v>290.55</v>
      </c>
      <c r="AO122" s="1"/>
      <c r="AP122" s="1"/>
      <c r="AQ122" s="1"/>
      <c r="AR122" s="1"/>
      <c r="AS122" s="1"/>
      <c r="AT122" s="1"/>
      <c r="AU122" s="1" t="s">
        <v>4154</v>
      </c>
      <c r="AV122" s="3">
        <v>290.55</v>
      </c>
      <c r="AW122" s="1" t="s">
        <v>4155</v>
      </c>
      <c r="AX122" s="3">
        <v>290.55</v>
      </c>
      <c r="AY122" s="1"/>
      <c r="AZ122" s="1"/>
      <c r="BA122" s="1" t="s">
        <v>4156</v>
      </c>
      <c r="BB122" s="3">
        <v>290.55</v>
      </c>
      <c r="BC122" s="67" t="s">
        <v>4157</v>
      </c>
      <c r="BD122" s="67">
        <v>385.32</v>
      </c>
      <c r="BE122" s="67">
        <f t="shared" si="1"/>
        <v>2119.26</v>
      </c>
    </row>
    <row r="123">
      <c r="A123" s="1"/>
      <c r="B123" s="1"/>
      <c r="C123" s="1"/>
      <c r="D123" s="1"/>
      <c r="E123" s="1"/>
      <c r="F123" s="1"/>
      <c r="G123" s="1"/>
      <c r="H123" s="1"/>
      <c r="I123" s="1" t="s">
        <v>4158</v>
      </c>
      <c r="J123" s="3">
        <v>290.55</v>
      </c>
      <c r="K123" s="1" t="s">
        <v>3540</v>
      </c>
      <c r="L123" s="3">
        <v>290.55</v>
      </c>
      <c r="M123" s="1"/>
      <c r="N123" s="1"/>
      <c r="O123" s="1"/>
      <c r="P123" s="1"/>
      <c r="Q123" s="1" t="s">
        <v>4159</v>
      </c>
      <c r="R123" s="3">
        <v>290.55</v>
      </c>
      <c r="S123" s="1" t="s">
        <v>4160</v>
      </c>
      <c r="T123" s="3">
        <v>290.55</v>
      </c>
      <c r="U123" s="1" t="s">
        <v>4161</v>
      </c>
      <c r="V123" s="3">
        <v>290.55</v>
      </c>
      <c r="W123" s="1"/>
      <c r="X123" s="1"/>
      <c r="Y123" s="1" t="s">
        <v>4162</v>
      </c>
      <c r="Z123" s="3">
        <v>290.55</v>
      </c>
      <c r="AA123" s="1" t="s">
        <v>4163</v>
      </c>
      <c r="AB123" s="3">
        <v>290.55</v>
      </c>
      <c r="AC123" s="1" t="s">
        <v>4164</v>
      </c>
      <c r="AD123" s="3">
        <v>290.55</v>
      </c>
      <c r="AE123" s="1" t="s">
        <v>139</v>
      </c>
      <c r="AF123" s="3">
        <v>290.55</v>
      </c>
      <c r="AG123" s="1" t="s">
        <v>4165</v>
      </c>
      <c r="AH123" s="3">
        <v>290.55</v>
      </c>
      <c r="AI123" s="1" t="s">
        <v>4166</v>
      </c>
      <c r="AJ123" s="3">
        <v>290.55</v>
      </c>
      <c r="AK123" s="1" t="s">
        <v>4167</v>
      </c>
      <c r="AL123" s="3">
        <v>290.55</v>
      </c>
      <c r="AM123" s="1" t="s">
        <v>4168</v>
      </c>
      <c r="AN123" s="3">
        <v>290.55</v>
      </c>
      <c r="AO123" s="1"/>
      <c r="AP123" s="1"/>
      <c r="AQ123" s="1"/>
      <c r="AR123" s="1"/>
      <c r="AS123" s="1"/>
      <c r="AT123" s="1"/>
      <c r="AU123" s="1" t="s">
        <v>4169</v>
      </c>
      <c r="AV123" s="3">
        <v>290.55</v>
      </c>
      <c r="AW123" s="1" t="s">
        <v>4170</v>
      </c>
      <c r="AX123" s="3">
        <v>290.55</v>
      </c>
      <c r="AY123" s="1"/>
      <c r="AZ123" s="1"/>
      <c r="BA123" s="1" t="s">
        <v>4171</v>
      </c>
      <c r="BB123" s="3">
        <v>290.55</v>
      </c>
      <c r="BC123" s="67" t="s">
        <v>4172</v>
      </c>
      <c r="BD123" s="67">
        <v>385.32</v>
      </c>
      <c r="BE123" s="67">
        <f t="shared" si="1"/>
        <v>2119.26</v>
      </c>
    </row>
    <row r="124">
      <c r="A124" s="1"/>
      <c r="B124" s="1"/>
      <c r="C124" s="1"/>
      <c r="D124" s="1"/>
      <c r="E124" s="1"/>
      <c r="F124" s="1"/>
      <c r="G124" s="1"/>
      <c r="H124" s="1"/>
      <c r="I124" s="1" t="s">
        <v>4173</v>
      </c>
      <c r="J124" s="3">
        <v>290.55</v>
      </c>
      <c r="K124" s="1" t="s">
        <v>4174</v>
      </c>
      <c r="L124" s="3">
        <v>290.55</v>
      </c>
      <c r="M124" s="1"/>
      <c r="N124" s="1"/>
      <c r="O124" s="1"/>
      <c r="P124" s="1"/>
      <c r="Q124" s="1" t="s">
        <v>4175</v>
      </c>
      <c r="R124" s="3">
        <v>290.55</v>
      </c>
      <c r="S124" s="1" t="s">
        <v>4176</v>
      </c>
      <c r="T124" s="3">
        <v>290.55</v>
      </c>
      <c r="U124" s="1" t="s">
        <v>4177</v>
      </c>
      <c r="V124" s="3">
        <v>290.55</v>
      </c>
      <c r="W124" s="1"/>
      <c r="X124" s="1"/>
      <c r="Y124" s="1" t="s">
        <v>4178</v>
      </c>
      <c r="Z124" s="3">
        <v>290.55</v>
      </c>
      <c r="AA124" s="1" t="s">
        <v>4179</v>
      </c>
      <c r="AB124" s="3">
        <v>290.55</v>
      </c>
      <c r="AC124" s="1" t="s">
        <v>4180</v>
      </c>
      <c r="AD124" s="3">
        <v>290.55</v>
      </c>
      <c r="AE124" s="1" t="s">
        <v>140</v>
      </c>
      <c r="AF124" s="3">
        <v>290.55</v>
      </c>
      <c r="AG124" s="1" t="s">
        <v>4181</v>
      </c>
      <c r="AH124" s="3">
        <v>290.55</v>
      </c>
      <c r="AI124" s="1" t="s">
        <v>4182</v>
      </c>
      <c r="AJ124" s="3">
        <v>290.55</v>
      </c>
      <c r="AK124" s="1" t="s">
        <v>4183</v>
      </c>
      <c r="AL124" s="3">
        <v>290.55</v>
      </c>
      <c r="AM124" s="1" t="s">
        <v>4184</v>
      </c>
      <c r="AN124" s="3">
        <v>290.55</v>
      </c>
      <c r="AO124" s="1"/>
      <c r="AP124" s="1"/>
      <c r="AQ124" s="1"/>
      <c r="AR124" s="1"/>
      <c r="AS124" s="1"/>
      <c r="AT124" s="1"/>
      <c r="AU124" s="1" t="s">
        <v>4185</v>
      </c>
      <c r="AV124" s="3">
        <v>290.55</v>
      </c>
      <c r="AW124" s="1" t="s">
        <v>4186</v>
      </c>
      <c r="AX124" s="3">
        <v>290.55</v>
      </c>
      <c r="AY124" s="1"/>
      <c r="AZ124" s="1"/>
      <c r="BA124" s="1" t="s">
        <v>4187</v>
      </c>
      <c r="BB124" s="3">
        <v>290.55</v>
      </c>
      <c r="BC124" s="67" t="s">
        <v>4188</v>
      </c>
      <c r="BD124" s="67">
        <v>398.91</v>
      </c>
      <c r="BE124" s="67">
        <f t="shared" si="1"/>
        <v>2194.005</v>
      </c>
    </row>
    <row r="125">
      <c r="A125" s="1"/>
      <c r="B125" s="1"/>
      <c r="C125" s="1"/>
      <c r="D125" s="1"/>
      <c r="E125" s="1"/>
      <c r="F125" s="1"/>
      <c r="G125" s="1"/>
      <c r="H125" s="1"/>
      <c r="I125" s="1" t="s">
        <v>3586</v>
      </c>
      <c r="J125" s="3">
        <v>290.55</v>
      </c>
      <c r="K125" s="1" t="s">
        <v>4189</v>
      </c>
      <c r="L125" s="3">
        <v>290.55</v>
      </c>
      <c r="M125" s="1"/>
      <c r="N125" s="1"/>
      <c r="O125" s="1"/>
      <c r="P125" s="1"/>
      <c r="Q125" s="1" t="s">
        <v>4190</v>
      </c>
      <c r="R125" s="3">
        <v>290.55</v>
      </c>
      <c r="S125" s="1" t="s">
        <v>4191</v>
      </c>
      <c r="T125" s="3">
        <v>290.55</v>
      </c>
      <c r="U125" s="1" t="s">
        <v>4192</v>
      </c>
      <c r="V125" s="3">
        <v>290.55</v>
      </c>
      <c r="W125" s="1"/>
      <c r="X125" s="1"/>
      <c r="Y125" s="1" t="s">
        <v>4193</v>
      </c>
      <c r="Z125" s="3">
        <v>290.55</v>
      </c>
      <c r="AA125" s="1" t="s">
        <v>4194</v>
      </c>
      <c r="AB125" s="3">
        <v>290.55</v>
      </c>
      <c r="AC125" s="1" t="s">
        <v>4143</v>
      </c>
      <c r="AD125" s="3">
        <v>290.55</v>
      </c>
      <c r="AE125" s="1" t="s">
        <v>21</v>
      </c>
      <c r="AF125" s="3">
        <v>290.55</v>
      </c>
      <c r="AG125" s="1" t="s">
        <v>4195</v>
      </c>
      <c r="AH125" s="3">
        <v>290.55</v>
      </c>
      <c r="AI125" s="1" t="s">
        <v>4196</v>
      </c>
      <c r="AJ125" s="3">
        <v>290.55</v>
      </c>
      <c r="AK125" s="1" t="s">
        <v>4197</v>
      </c>
      <c r="AL125" s="3">
        <v>290.55</v>
      </c>
      <c r="AM125" s="1" t="s">
        <v>4198</v>
      </c>
      <c r="AN125" s="3">
        <v>290.55</v>
      </c>
      <c r="AO125" s="1"/>
      <c r="AP125" s="1"/>
      <c r="AQ125" s="1"/>
      <c r="AR125" s="1"/>
      <c r="AS125" s="1"/>
      <c r="AT125" s="1"/>
      <c r="AU125" s="1" t="s">
        <v>130</v>
      </c>
      <c r="AV125" s="3">
        <v>290.55</v>
      </c>
      <c r="AW125" s="1" t="s">
        <v>4199</v>
      </c>
      <c r="AX125" s="3">
        <v>290.55</v>
      </c>
      <c r="AY125" s="1"/>
      <c r="AZ125" s="1"/>
      <c r="BA125" s="1" t="s">
        <v>4200</v>
      </c>
      <c r="BB125" s="3">
        <v>290.55</v>
      </c>
      <c r="BC125" s="67" t="s">
        <v>4201</v>
      </c>
      <c r="BD125" s="67">
        <v>398.91</v>
      </c>
      <c r="BE125" s="67">
        <f t="shared" si="1"/>
        <v>2194.005</v>
      </c>
    </row>
    <row r="126">
      <c r="A126" s="1"/>
      <c r="B126" s="1"/>
      <c r="C126" s="1"/>
      <c r="D126" s="1"/>
      <c r="E126" s="1"/>
      <c r="F126" s="1"/>
      <c r="G126" s="1"/>
      <c r="H126" s="1"/>
      <c r="I126" s="1" t="s">
        <v>4202</v>
      </c>
      <c r="J126" s="3">
        <v>290.55</v>
      </c>
      <c r="K126" s="1" t="s">
        <v>4203</v>
      </c>
      <c r="L126" s="3">
        <v>290.55</v>
      </c>
      <c r="M126" s="1"/>
      <c r="N126" s="1"/>
      <c r="O126" s="1"/>
      <c r="P126" s="1"/>
      <c r="Q126" s="1" t="s">
        <v>4204</v>
      </c>
      <c r="R126" s="3">
        <v>290.55</v>
      </c>
      <c r="S126" s="1" t="s">
        <v>4205</v>
      </c>
      <c r="T126" s="3">
        <v>290.55</v>
      </c>
      <c r="U126" s="1" t="s">
        <v>4206</v>
      </c>
      <c r="V126" s="3">
        <v>290.55</v>
      </c>
      <c r="W126" s="1"/>
      <c r="X126" s="1"/>
      <c r="Y126" s="1" t="s">
        <v>4207</v>
      </c>
      <c r="Z126" s="3">
        <v>290.55</v>
      </c>
      <c r="AA126" s="1" t="s">
        <v>4208</v>
      </c>
      <c r="AB126" s="3">
        <v>290.55</v>
      </c>
      <c r="AC126" s="1" t="s">
        <v>4209</v>
      </c>
      <c r="AD126" s="3">
        <v>290.55</v>
      </c>
      <c r="AE126" s="1" t="s">
        <v>141</v>
      </c>
      <c r="AF126" s="3">
        <v>290.55</v>
      </c>
      <c r="AG126" s="1" t="s">
        <v>4210</v>
      </c>
      <c r="AH126" s="3">
        <v>290.55</v>
      </c>
      <c r="AI126" s="1" t="s">
        <v>4211</v>
      </c>
      <c r="AJ126" s="3">
        <v>290.55</v>
      </c>
      <c r="AK126" s="1" t="s">
        <v>4212</v>
      </c>
      <c r="AL126" s="3">
        <v>290.55</v>
      </c>
      <c r="AM126" s="1" t="s">
        <v>4213</v>
      </c>
      <c r="AN126" s="3">
        <v>290.55</v>
      </c>
      <c r="AO126" s="1"/>
      <c r="AP126" s="1"/>
      <c r="AQ126" s="1"/>
      <c r="AR126" s="1"/>
      <c r="AS126" s="1"/>
      <c r="AT126" s="1"/>
      <c r="AU126" s="1" t="s">
        <v>4214</v>
      </c>
      <c r="AV126" s="3">
        <v>290.55</v>
      </c>
      <c r="AW126" s="1" t="s">
        <v>4215</v>
      </c>
      <c r="AX126" s="3">
        <v>290.55</v>
      </c>
      <c r="AY126" s="1"/>
      <c r="AZ126" s="1"/>
      <c r="BA126" s="1" t="s">
        <v>4216</v>
      </c>
      <c r="BB126" s="3">
        <v>290.55</v>
      </c>
      <c r="BC126" s="67" t="s">
        <v>4217</v>
      </c>
      <c r="BD126" s="67">
        <v>398.91</v>
      </c>
      <c r="BE126" s="67">
        <f t="shared" si="1"/>
        <v>2194.005</v>
      </c>
    </row>
    <row r="127">
      <c r="A127" s="1"/>
      <c r="B127" s="1"/>
      <c r="C127" s="1"/>
      <c r="D127" s="1"/>
      <c r="E127" s="1"/>
      <c r="F127" s="1"/>
      <c r="G127" s="1"/>
      <c r="H127" s="1"/>
      <c r="I127" s="1" t="s">
        <v>4218</v>
      </c>
      <c r="J127" s="3">
        <v>290.55</v>
      </c>
      <c r="K127" s="1" t="s">
        <v>4219</v>
      </c>
      <c r="L127" s="3">
        <v>290.55</v>
      </c>
      <c r="M127" s="1"/>
      <c r="N127" s="1"/>
      <c r="O127" s="1"/>
      <c r="P127" s="1"/>
      <c r="Q127" s="1" t="s">
        <v>4220</v>
      </c>
      <c r="R127" s="3">
        <v>290.55</v>
      </c>
      <c r="S127" s="1" t="s">
        <v>4221</v>
      </c>
      <c r="T127" s="3">
        <v>290.55</v>
      </c>
      <c r="U127" s="1" t="s">
        <v>4222</v>
      </c>
      <c r="V127" s="3">
        <v>290.55</v>
      </c>
      <c r="W127" s="1"/>
      <c r="X127" s="1"/>
      <c r="Y127" s="1" t="s">
        <v>4223</v>
      </c>
      <c r="Z127" s="3">
        <v>290.55</v>
      </c>
      <c r="AA127" s="1" t="s">
        <v>4224</v>
      </c>
      <c r="AB127" s="3">
        <v>290.55</v>
      </c>
      <c r="AC127" s="1" t="s">
        <v>4225</v>
      </c>
      <c r="AD127" s="3">
        <v>290.55</v>
      </c>
      <c r="AE127" s="1" t="s">
        <v>142</v>
      </c>
      <c r="AF127" s="3">
        <v>290.55</v>
      </c>
      <c r="AG127" s="1" t="s">
        <v>4226</v>
      </c>
      <c r="AH127" s="3">
        <v>290.55</v>
      </c>
      <c r="AI127" s="1" t="s">
        <v>4227</v>
      </c>
      <c r="AJ127" s="3">
        <v>290.55</v>
      </c>
      <c r="AK127" s="1" t="s">
        <v>4228</v>
      </c>
      <c r="AL127" s="3">
        <v>290.55</v>
      </c>
      <c r="AM127" s="1" t="s">
        <v>4229</v>
      </c>
      <c r="AN127" s="3">
        <v>290.55</v>
      </c>
      <c r="AO127" s="1"/>
      <c r="AP127" s="1"/>
      <c r="AQ127" s="1"/>
      <c r="AR127" s="1"/>
      <c r="AS127" s="1"/>
      <c r="AT127" s="1"/>
      <c r="AU127" s="1" t="s">
        <v>4230</v>
      </c>
      <c r="AV127" s="3">
        <v>290.55</v>
      </c>
      <c r="AW127" s="1" t="s">
        <v>4231</v>
      </c>
      <c r="AX127" s="3">
        <v>290.55</v>
      </c>
      <c r="AY127" s="1"/>
      <c r="AZ127" s="1"/>
      <c r="BA127" s="1" t="s">
        <v>4232</v>
      </c>
      <c r="BB127" s="3">
        <v>290.55</v>
      </c>
      <c r="BC127" s="67" t="s">
        <v>4233</v>
      </c>
      <c r="BD127" s="67">
        <v>398.91</v>
      </c>
      <c r="BE127" s="67">
        <f t="shared" si="1"/>
        <v>2194.005</v>
      </c>
    </row>
    <row r="128">
      <c r="A128" s="1"/>
      <c r="B128" s="1"/>
      <c r="C128" s="1"/>
      <c r="D128" s="1"/>
      <c r="E128" s="1"/>
      <c r="F128" s="1"/>
      <c r="G128" s="1"/>
      <c r="H128" s="1"/>
      <c r="I128" s="1" t="s">
        <v>4234</v>
      </c>
      <c r="J128" s="3">
        <v>290.55</v>
      </c>
      <c r="K128" s="1" t="s">
        <v>4235</v>
      </c>
      <c r="L128" s="3">
        <v>290.55</v>
      </c>
      <c r="M128" s="1"/>
      <c r="N128" s="1"/>
      <c r="O128" s="1"/>
      <c r="P128" s="1"/>
      <c r="Q128" s="1" t="s">
        <v>4236</v>
      </c>
      <c r="R128" s="3">
        <v>290.55</v>
      </c>
      <c r="S128" s="1" t="s">
        <v>4237</v>
      </c>
      <c r="T128" s="3">
        <v>290.55</v>
      </c>
      <c r="U128" s="1" t="s">
        <v>4238</v>
      </c>
      <c r="V128" s="3">
        <v>290.55</v>
      </c>
      <c r="W128" s="1"/>
      <c r="X128" s="1"/>
      <c r="Y128" s="1" t="s">
        <v>4239</v>
      </c>
      <c r="Z128" s="3">
        <v>290.55</v>
      </c>
      <c r="AA128" s="1" t="s">
        <v>4240</v>
      </c>
      <c r="AB128" s="3">
        <v>290.55</v>
      </c>
      <c r="AC128" s="1" t="s">
        <v>4241</v>
      </c>
      <c r="AD128" s="3">
        <v>290.55</v>
      </c>
      <c r="AE128" s="1" t="s">
        <v>143</v>
      </c>
      <c r="AF128" s="3">
        <v>290.55</v>
      </c>
      <c r="AG128" s="1" t="s">
        <v>1504</v>
      </c>
      <c r="AH128" s="3">
        <v>290.55</v>
      </c>
      <c r="AI128" s="1" t="s">
        <v>4242</v>
      </c>
      <c r="AJ128" s="3">
        <v>290.55</v>
      </c>
      <c r="AK128" s="1" t="s">
        <v>4243</v>
      </c>
      <c r="AL128" s="3">
        <v>290.55</v>
      </c>
      <c r="AM128" s="1" t="s">
        <v>110</v>
      </c>
      <c r="AN128" s="3">
        <v>290.55</v>
      </c>
      <c r="AO128" s="1"/>
      <c r="AP128" s="1"/>
      <c r="AQ128" s="1"/>
      <c r="AR128" s="1"/>
      <c r="AS128" s="1"/>
      <c r="AT128" s="1"/>
      <c r="AU128" s="1" t="s">
        <v>4244</v>
      </c>
      <c r="AV128" s="3">
        <v>290.55</v>
      </c>
      <c r="AW128" s="1" t="s">
        <v>4245</v>
      </c>
      <c r="AX128" s="3">
        <v>290.55</v>
      </c>
      <c r="AY128" s="1"/>
      <c r="AZ128" s="1"/>
      <c r="BA128" s="1" t="s">
        <v>4246</v>
      </c>
      <c r="BB128" s="3">
        <v>290.55</v>
      </c>
      <c r="BC128" s="67" t="s">
        <v>4247</v>
      </c>
      <c r="BD128" s="67">
        <v>385.32</v>
      </c>
      <c r="BE128" s="67">
        <f t="shared" si="1"/>
        <v>2119.26</v>
      </c>
    </row>
    <row r="129">
      <c r="A129" s="1"/>
      <c r="B129" s="1"/>
      <c r="C129" s="1"/>
      <c r="D129" s="1"/>
      <c r="E129" s="1"/>
      <c r="F129" s="1"/>
      <c r="G129" s="1"/>
      <c r="H129" s="1"/>
      <c r="I129" s="1" t="s">
        <v>4248</v>
      </c>
      <c r="J129" s="3">
        <v>290.55</v>
      </c>
      <c r="K129" s="1" t="s">
        <v>2857</v>
      </c>
      <c r="L129" s="3">
        <v>290.55</v>
      </c>
      <c r="M129" s="1"/>
      <c r="N129" s="1"/>
      <c r="O129" s="1"/>
      <c r="P129" s="1"/>
      <c r="Q129" s="1" t="s">
        <v>4249</v>
      </c>
      <c r="R129" s="3">
        <v>290.55</v>
      </c>
      <c r="S129" s="1" t="s">
        <v>4250</v>
      </c>
      <c r="T129" s="3">
        <v>290.55</v>
      </c>
      <c r="U129" s="1" t="s">
        <v>4251</v>
      </c>
      <c r="V129" s="3">
        <v>290.55</v>
      </c>
      <c r="W129" s="1"/>
      <c r="X129" s="1"/>
      <c r="Y129" s="1" t="s">
        <v>4252</v>
      </c>
      <c r="Z129" s="3">
        <v>290.55</v>
      </c>
      <c r="AA129" s="1" t="s">
        <v>3504</v>
      </c>
      <c r="AB129" s="3">
        <v>290.55</v>
      </c>
      <c r="AC129" s="1" t="s">
        <v>3540</v>
      </c>
      <c r="AD129" s="3">
        <v>290.55</v>
      </c>
      <c r="AE129" s="1" t="s">
        <v>144</v>
      </c>
      <c r="AF129" s="3">
        <v>290.55</v>
      </c>
      <c r="AG129" s="1" t="s">
        <v>4253</v>
      </c>
      <c r="AH129" s="3">
        <v>290.55</v>
      </c>
      <c r="AI129" s="1" t="s">
        <v>4254</v>
      </c>
      <c r="AJ129" s="3">
        <v>290.55</v>
      </c>
      <c r="AK129" s="1" t="s">
        <v>4255</v>
      </c>
      <c r="AL129" s="3">
        <v>290.55</v>
      </c>
      <c r="AM129" s="1" t="s">
        <v>4256</v>
      </c>
      <c r="AN129" s="3">
        <v>290.55</v>
      </c>
      <c r="AO129" s="1"/>
      <c r="AP129" s="1"/>
      <c r="AQ129" s="1"/>
      <c r="AR129" s="1"/>
      <c r="AS129" s="1"/>
      <c r="AT129" s="1"/>
      <c r="AU129" s="1" t="s">
        <v>1569</v>
      </c>
      <c r="AV129" s="3">
        <v>290.55</v>
      </c>
      <c r="AW129" s="1" t="s">
        <v>4257</v>
      </c>
      <c r="AX129" s="3">
        <v>290.55</v>
      </c>
      <c r="AY129" s="1"/>
      <c r="AZ129" s="1"/>
      <c r="BA129" s="1" t="s">
        <v>4258</v>
      </c>
      <c r="BB129" s="3">
        <v>290.55</v>
      </c>
      <c r="BC129" s="67" t="s">
        <v>4259</v>
      </c>
      <c r="BD129" s="67">
        <v>456.3</v>
      </c>
      <c r="BE129" s="67">
        <f t="shared" si="1"/>
        <v>2509.65</v>
      </c>
    </row>
    <row r="130">
      <c r="A130" s="1"/>
      <c r="B130" s="1"/>
      <c r="C130" s="1"/>
      <c r="D130" s="1"/>
      <c r="E130" s="1"/>
      <c r="F130" s="1"/>
      <c r="G130" s="1"/>
      <c r="H130" s="1"/>
      <c r="I130" s="1" t="s">
        <v>2923</v>
      </c>
      <c r="J130" s="3">
        <v>290.55</v>
      </c>
      <c r="K130" s="1" t="s">
        <v>4260</v>
      </c>
      <c r="L130" s="3">
        <v>290.55</v>
      </c>
      <c r="M130" s="1"/>
      <c r="N130" s="1"/>
      <c r="O130" s="1"/>
      <c r="P130" s="1"/>
      <c r="Q130" s="1" t="s">
        <v>4261</v>
      </c>
      <c r="R130" s="3">
        <v>290.55</v>
      </c>
      <c r="S130" s="1" t="s">
        <v>4262</v>
      </c>
      <c r="T130" s="3">
        <v>290.55</v>
      </c>
      <c r="U130" s="1" t="s">
        <v>4263</v>
      </c>
      <c r="V130" s="3">
        <v>290.55</v>
      </c>
      <c r="W130" s="1"/>
      <c r="X130" s="1"/>
      <c r="Y130" s="1" t="s">
        <v>4264</v>
      </c>
      <c r="Z130" s="3">
        <v>290.55</v>
      </c>
      <c r="AA130" s="1" t="s">
        <v>4265</v>
      </c>
      <c r="AB130" s="3">
        <v>290.55</v>
      </c>
      <c r="AC130" s="1" t="s">
        <v>4266</v>
      </c>
      <c r="AD130" s="3">
        <v>290.55</v>
      </c>
      <c r="AE130" s="1" t="s">
        <v>145</v>
      </c>
      <c r="AF130" s="3">
        <v>290.55</v>
      </c>
      <c r="AG130" s="1" t="s">
        <v>4267</v>
      </c>
      <c r="AH130" s="3">
        <v>290.55</v>
      </c>
      <c r="AI130" s="1" t="s">
        <v>4268</v>
      </c>
      <c r="AJ130" s="3">
        <v>290.55</v>
      </c>
      <c r="AK130" s="1" t="s">
        <v>4269</v>
      </c>
      <c r="AL130" s="3">
        <v>290.55</v>
      </c>
      <c r="AM130" s="1" t="s">
        <v>4270</v>
      </c>
      <c r="AN130" s="3">
        <v>290.55</v>
      </c>
      <c r="AO130" s="1"/>
      <c r="AP130" s="1"/>
      <c r="AQ130" s="1"/>
      <c r="AR130" s="1"/>
      <c r="AS130" s="1"/>
      <c r="AT130" s="1"/>
      <c r="AU130" s="1" t="s">
        <v>4271</v>
      </c>
      <c r="AV130" s="3">
        <v>290.55</v>
      </c>
      <c r="AW130" s="1" t="s">
        <v>2951</v>
      </c>
      <c r="AX130" s="3">
        <v>290.55</v>
      </c>
      <c r="AY130" s="1"/>
      <c r="AZ130" s="1"/>
      <c r="BA130" s="1" t="s">
        <v>4272</v>
      </c>
      <c r="BB130" s="3">
        <v>290.55</v>
      </c>
      <c r="BC130" s="67" t="s">
        <v>4273</v>
      </c>
      <c r="BD130" s="67">
        <v>385.32</v>
      </c>
      <c r="BE130" s="67">
        <f t="shared" si="1"/>
        <v>2119.26</v>
      </c>
    </row>
    <row r="131">
      <c r="A131" s="1"/>
      <c r="B131" s="1"/>
      <c r="C131" s="1"/>
      <c r="D131" s="1"/>
      <c r="E131" s="1"/>
      <c r="F131" s="1"/>
      <c r="G131" s="1"/>
      <c r="H131" s="1"/>
      <c r="I131" s="1" t="s">
        <v>4274</v>
      </c>
      <c r="J131" s="3">
        <v>290.55</v>
      </c>
      <c r="K131" s="1" t="s">
        <v>4275</v>
      </c>
      <c r="L131" s="3">
        <v>290.55</v>
      </c>
      <c r="M131" s="1"/>
      <c r="N131" s="1"/>
      <c r="O131" s="1"/>
      <c r="P131" s="1"/>
      <c r="Q131" s="1" t="s">
        <v>4276</v>
      </c>
      <c r="R131" s="3">
        <v>290.55</v>
      </c>
      <c r="S131" s="1" t="s">
        <v>4277</v>
      </c>
      <c r="T131" s="3">
        <v>290.55</v>
      </c>
      <c r="U131" s="1" t="s">
        <v>4278</v>
      </c>
      <c r="V131" s="3">
        <v>290.55</v>
      </c>
      <c r="W131" s="1"/>
      <c r="X131" s="1"/>
      <c r="Y131" s="1" t="s">
        <v>3379</v>
      </c>
      <c r="Z131" s="3">
        <v>290.55</v>
      </c>
      <c r="AA131" s="1" t="s">
        <v>4279</v>
      </c>
      <c r="AB131" s="3">
        <v>290.55</v>
      </c>
      <c r="AC131" s="1" t="s">
        <v>4280</v>
      </c>
      <c r="AD131" s="3">
        <v>290.55</v>
      </c>
      <c r="AE131" s="1" t="s">
        <v>146</v>
      </c>
      <c r="AF131" s="3">
        <v>290.55</v>
      </c>
      <c r="AG131" s="1" t="s">
        <v>3812</v>
      </c>
      <c r="AH131" s="3">
        <v>290.55</v>
      </c>
      <c r="AI131" s="1" t="s">
        <v>4281</v>
      </c>
      <c r="AJ131" s="3">
        <v>290.55</v>
      </c>
      <c r="AK131" s="1" t="s">
        <v>4282</v>
      </c>
      <c r="AL131" s="3">
        <v>290.55</v>
      </c>
      <c r="AM131" s="1" t="s">
        <v>4283</v>
      </c>
      <c r="AN131" s="3">
        <v>290.55</v>
      </c>
      <c r="AO131" s="1"/>
      <c r="AP131" s="1"/>
      <c r="AQ131" s="1"/>
      <c r="AR131" s="1"/>
      <c r="AS131" s="1"/>
      <c r="AT131" s="1"/>
      <c r="AU131" s="1" t="s">
        <v>2471</v>
      </c>
      <c r="AV131" s="3">
        <v>290.55</v>
      </c>
      <c r="AW131" s="1" t="s">
        <v>4284</v>
      </c>
      <c r="AX131" s="3">
        <v>290.55</v>
      </c>
      <c r="AY131" s="1"/>
      <c r="AZ131" s="1"/>
      <c r="BA131" s="1" t="s">
        <v>4285</v>
      </c>
      <c r="BB131" s="3">
        <v>290.55</v>
      </c>
      <c r="BC131" s="67" t="s">
        <v>4286</v>
      </c>
      <c r="BD131" s="67">
        <v>456.3</v>
      </c>
      <c r="BE131" s="67">
        <f t="shared" si="1"/>
        <v>2509.65</v>
      </c>
    </row>
    <row r="132">
      <c r="A132" s="1"/>
      <c r="B132" s="1"/>
      <c r="C132" s="1"/>
      <c r="D132" s="1"/>
      <c r="E132" s="1"/>
      <c r="F132" s="1"/>
      <c r="G132" s="1"/>
      <c r="H132" s="1"/>
      <c r="I132" s="1" t="s">
        <v>4287</v>
      </c>
      <c r="J132" s="3">
        <v>290.55</v>
      </c>
      <c r="K132" s="1" t="s">
        <v>4288</v>
      </c>
      <c r="L132" s="3">
        <v>290.55</v>
      </c>
      <c r="M132" s="1"/>
      <c r="N132" s="1"/>
      <c r="O132" s="1"/>
      <c r="P132" s="1"/>
      <c r="Q132" s="1" t="s">
        <v>4289</v>
      </c>
      <c r="R132" s="3">
        <v>290.55</v>
      </c>
      <c r="S132" s="1" t="s">
        <v>4290</v>
      </c>
      <c r="T132" s="3">
        <v>290.55</v>
      </c>
      <c r="U132" s="1" t="s">
        <v>4291</v>
      </c>
      <c r="V132" s="3">
        <v>290.55</v>
      </c>
      <c r="W132" s="1"/>
      <c r="X132" s="1"/>
      <c r="Y132" s="1" t="s">
        <v>3456</v>
      </c>
      <c r="Z132" s="3">
        <v>290.55</v>
      </c>
      <c r="AA132" s="1" t="s">
        <v>4292</v>
      </c>
      <c r="AB132" s="3">
        <v>290.55</v>
      </c>
      <c r="AC132" s="1" t="s">
        <v>4293</v>
      </c>
      <c r="AD132" s="3">
        <v>290.55</v>
      </c>
      <c r="AE132" s="1" t="s">
        <v>147</v>
      </c>
      <c r="AF132" s="3">
        <v>290.55</v>
      </c>
      <c r="AG132" s="1" t="s">
        <v>4294</v>
      </c>
      <c r="AH132" s="3">
        <v>290.55</v>
      </c>
      <c r="AI132" s="1" t="s">
        <v>4295</v>
      </c>
      <c r="AJ132" s="3">
        <v>290.55</v>
      </c>
      <c r="AK132" s="1" t="s">
        <v>4296</v>
      </c>
      <c r="AL132" s="3">
        <v>290.55</v>
      </c>
      <c r="AM132" s="1" t="s">
        <v>4297</v>
      </c>
      <c r="AN132" s="3">
        <v>290.55</v>
      </c>
      <c r="AO132" s="1"/>
      <c r="AP132" s="1"/>
      <c r="AQ132" s="1"/>
      <c r="AR132" s="1"/>
      <c r="AS132" s="1"/>
      <c r="AT132" s="1"/>
      <c r="AU132" s="1" t="s">
        <v>4298</v>
      </c>
      <c r="AV132" s="3">
        <v>290.55</v>
      </c>
      <c r="AW132" s="1" t="s">
        <v>4299</v>
      </c>
      <c r="AX132" s="3">
        <v>290.55</v>
      </c>
      <c r="AY132" s="1"/>
      <c r="AZ132" s="1"/>
      <c r="BA132" s="1" t="s">
        <v>4300</v>
      </c>
      <c r="BB132" s="3">
        <v>290.55</v>
      </c>
      <c r="BC132" s="67" t="s">
        <v>4301</v>
      </c>
      <c r="BD132" s="67">
        <v>385.32</v>
      </c>
      <c r="BE132" s="67">
        <f t="shared" si="1"/>
        <v>2119.26</v>
      </c>
    </row>
    <row r="133">
      <c r="A133" s="1"/>
      <c r="B133" s="1"/>
      <c r="C133" s="1"/>
      <c r="D133" s="1"/>
      <c r="E133" s="1"/>
      <c r="F133" s="1"/>
      <c r="G133" s="1"/>
      <c r="H133" s="1"/>
      <c r="I133" s="1" t="s">
        <v>2965</v>
      </c>
      <c r="J133" s="3">
        <v>290.55</v>
      </c>
      <c r="K133" s="1" t="s">
        <v>4302</v>
      </c>
      <c r="L133" s="3">
        <v>290.55</v>
      </c>
      <c r="M133" s="1"/>
      <c r="N133" s="1"/>
      <c r="O133" s="1"/>
      <c r="P133" s="1"/>
      <c r="Q133" s="1" t="s">
        <v>196</v>
      </c>
      <c r="R133" s="3">
        <v>290.55</v>
      </c>
      <c r="S133" s="1" t="s">
        <v>4303</v>
      </c>
      <c r="T133" s="3">
        <v>290.55</v>
      </c>
      <c r="U133" s="1" t="s">
        <v>4304</v>
      </c>
      <c r="V133" s="3">
        <v>290.55</v>
      </c>
      <c r="W133" s="1"/>
      <c r="X133" s="1"/>
      <c r="Y133" s="1" t="s">
        <v>84</v>
      </c>
      <c r="Z133" s="3">
        <v>290.55</v>
      </c>
      <c r="AA133" s="1" t="s">
        <v>4305</v>
      </c>
      <c r="AB133" s="3">
        <v>290.55</v>
      </c>
      <c r="AC133" s="1" t="s">
        <v>4306</v>
      </c>
      <c r="AD133" s="3">
        <v>290.55</v>
      </c>
      <c r="AE133" s="1" t="s">
        <v>148</v>
      </c>
      <c r="AF133" s="3">
        <v>290.55</v>
      </c>
      <c r="AG133" s="1" t="s">
        <v>4307</v>
      </c>
      <c r="AH133" s="3">
        <v>290.55</v>
      </c>
      <c r="AI133" s="1" t="s">
        <v>4308</v>
      </c>
      <c r="AJ133" s="3">
        <v>290.55</v>
      </c>
      <c r="AK133" s="1" t="s">
        <v>4309</v>
      </c>
      <c r="AL133" s="3">
        <v>290.55</v>
      </c>
      <c r="AM133" s="1" t="s">
        <v>4310</v>
      </c>
      <c r="AN133" s="3">
        <v>290.55</v>
      </c>
      <c r="AO133" s="1"/>
      <c r="AP133" s="1"/>
      <c r="AQ133" s="1"/>
      <c r="AR133" s="1"/>
      <c r="AS133" s="1"/>
      <c r="AT133" s="1"/>
      <c r="AU133" s="1" t="s">
        <v>4311</v>
      </c>
      <c r="AV133" s="3">
        <v>290.55</v>
      </c>
      <c r="AW133" s="1" t="s">
        <v>4312</v>
      </c>
      <c r="AX133" s="3">
        <v>290.55</v>
      </c>
      <c r="AY133" s="1"/>
      <c r="AZ133" s="1"/>
      <c r="BA133" s="1" t="s">
        <v>4313</v>
      </c>
      <c r="BB133" s="3">
        <v>290.55</v>
      </c>
      <c r="BC133" s="67" t="s">
        <v>3967</v>
      </c>
      <c r="BD133" s="67">
        <v>398.91</v>
      </c>
      <c r="BE133" s="67">
        <f t="shared" si="1"/>
        <v>2194.005</v>
      </c>
    </row>
    <row r="134">
      <c r="A134" s="1"/>
      <c r="B134" s="1"/>
      <c r="C134" s="1"/>
      <c r="D134" s="1"/>
      <c r="E134" s="1"/>
      <c r="F134" s="1"/>
      <c r="G134" s="1"/>
      <c r="H134" s="1"/>
      <c r="I134" s="1" t="s">
        <v>4314</v>
      </c>
      <c r="J134" s="3">
        <v>290.55</v>
      </c>
      <c r="K134" s="1" t="s">
        <v>4315</v>
      </c>
      <c r="L134" s="3">
        <v>290.55</v>
      </c>
      <c r="M134" s="1"/>
      <c r="N134" s="1"/>
      <c r="O134" s="1"/>
      <c r="P134" s="1"/>
      <c r="Q134" s="1" t="s">
        <v>4316</v>
      </c>
      <c r="R134" s="3">
        <v>290.55</v>
      </c>
      <c r="S134" s="1" t="s">
        <v>4317</v>
      </c>
      <c r="T134" s="3">
        <v>290.55</v>
      </c>
      <c r="U134" s="1" t="s">
        <v>4318</v>
      </c>
      <c r="V134" s="3">
        <v>290.55</v>
      </c>
      <c r="W134" s="1"/>
      <c r="X134" s="1"/>
      <c r="Y134" s="1" t="s">
        <v>4319</v>
      </c>
      <c r="Z134" s="3">
        <v>290.55</v>
      </c>
      <c r="AA134" s="1" t="s">
        <v>4320</v>
      </c>
      <c r="AB134" s="3">
        <v>290.55</v>
      </c>
      <c r="AC134" s="1" t="s">
        <v>4321</v>
      </c>
      <c r="AD134" s="3">
        <v>290.55</v>
      </c>
      <c r="AE134" s="1" t="s">
        <v>149</v>
      </c>
      <c r="AF134" s="3">
        <v>290.55</v>
      </c>
      <c r="AG134" s="1" t="s">
        <v>1500</v>
      </c>
      <c r="AH134" s="3">
        <v>371.26</v>
      </c>
      <c r="AI134" s="1" t="s">
        <v>4322</v>
      </c>
      <c r="AJ134" s="3">
        <v>290.55</v>
      </c>
      <c r="AK134" s="1" t="s">
        <v>4323</v>
      </c>
      <c r="AL134" s="3">
        <v>290.55</v>
      </c>
      <c r="AM134" s="1" t="s">
        <v>4324</v>
      </c>
      <c r="AN134" s="3">
        <v>290.55</v>
      </c>
      <c r="AO134" s="1"/>
      <c r="AP134" s="1"/>
      <c r="AQ134" s="1"/>
      <c r="AR134" s="1"/>
      <c r="AS134" s="1"/>
      <c r="AT134" s="1"/>
      <c r="AU134" s="1" t="s">
        <v>4325</v>
      </c>
      <c r="AV134" s="3">
        <v>290.55</v>
      </c>
      <c r="AW134" s="1" t="s">
        <v>4326</v>
      </c>
      <c r="AX134" s="3">
        <v>290.55</v>
      </c>
      <c r="AY134" s="1"/>
      <c r="AZ134" s="1"/>
      <c r="BA134" s="1" t="s">
        <v>4327</v>
      </c>
      <c r="BB134" s="3">
        <v>290.55</v>
      </c>
      <c r="BC134" s="67" t="s">
        <v>4328</v>
      </c>
      <c r="BD134" s="67">
        <v>385.32</v>
      </c>
      <c r="BE134" s="67">
        <f t="shared" si="1"/>
        <v>2119.26</v>
      </c>
    </row>
    <row r="135">
      <c r="A135" s="1"/>
      <c r="B135" s="1"/>
      <c r="C135" s="1"/>
      <c r="D135" s="1"/>
      <c r="E135" s="1"/>
      <c r="F135" s="1"/>
      <c r="G135" s="1"/>
      <c r="H135" s="1"/>
      <c r="I135" s="1" t="s">
        <v>4329</v>
      </c>
      <c r="J135" s="3">
        <v>290.55</v>
      </c>
      <c r="K135" s="1" t="s">
        <v>4330</v>
      </c>
      <c r="L135" s="3">
        <v>290.55</v>
      </c>
      <c r="M135" s="1"/>
      <c r="N135" s="1"/>
      <c r="O135" s="1"/>
      <c r="P135" s="1"/>
      <c r="Q135" s="1" t="s">
        <v>4331</v>
      </c>
      <c r="R135" s="3">
        <v>290.55</v>
      </c>
      <c r="S135" s="1" t="s">
        <v>4332</v>
      </c>
      <c r="T135" s="3">
        <v>290.55</v>
      </c>
      <c r="U135" s="1" t="s">
        <v>4333</v>
      </c>
      <c r="V135" s="3">
        <v>290.55</v>
      </c>
      <c r="W135" s="1"/>
      <c r="X135" s="1"/>
      <c r="Y135" s="1" t="s">
        <v>4334</v>
      </c>
      <c r="Z135" s="3">
        <v>290.55</v>
      </c>
      <c r="AA135" s="1" t="s">
        <v>4335</v>
      </c>
      <c r="AB135" s="3">
        <v>290.55</v>
      </c>
      <c r="AC135" s="1" t="s">
        <v>3817</v>
      </c>
      <c r="AD135" s="3">
        <v>290.55</v>
      </c>
      <c r="AE135" s="1" t="s">
        <v>150</v>
      </c>
      <c r="AF135" s="3">
        <v>290.55</v>
      </c>
      <c r="AG135" s="1" t="s">
        <v>4336</v>
      </c>
      <c r="AH135" s="3">
        <v>290.55</v>
      </c>
      <c r="AI135" s="1" t="s">
        <v>4337</v>
      </c>
      <c r="AJ135" s="3">
        <v>290.55</v>
      </c>
      <c r="AK135" s="1" t="s">
        <v>4338</v>
      </c>
      <c r="AL135" s="3">
        <v>290.55</v>
      </c>
      <c r="AM135" s="1" t="s">
        <v>4339</v>
      </c>
      <c r="AN135" s="3">
        <v>290.55</v>
      </c>
      <c r="AO135" s="1"/>
      <c r="AP135" s="1"/>
      <c r="AQ135" s="1"/>
      <c r="AR135" s="1"/>
      <c r="AS135" s="1"/>
      <c r="AT135" s="1"/>
      <c r="AU135" s="1" t="s">
        <v>4340</v>
      </c>
      <c r="AV135" s="3">
        <v>290.55</v>
      </c>
      <c r="AW135" s="1" t="s">
        <v>4341</v>
      </c>
      <c r="AX135" s="3">
        <v>290.55</v>
      </c>
      <c r="AY135" s="1"/>
      <c r="AZ135" s="1"/>
      <c r="BA135" s="1" t="s">
        <v>4342</v>
      </c>
      <c r="BB135" s="3">
        <v>290.55</v>
      </c>
      <c r="BC135" s="67" t="s">
        <v>4343</v>
      </c>
      <c r="BD135" s="67">
        <v>295.09</v>
      </c>
      <c r="BE135" s="67">
        <f t="shared" si="1"/>
        <v>1622.995</v>
      </c>
    </row>
    <row r="136">
      <c r="A136" s="1"/>
      <c r="B136" s="1"/>
      <c r="C136" s="1"/>
      <c r="D136" s="1"/>
      <c r="E136" s="1"/>
      <c r="F136" s="1"/>
      <c r="G136" s="1"/>
      <c r="H136" s="1"/>
      <c r="I136" s="1" t="s">
        <v>4344</v>
      </c>
      <c r="J136" s="3">
        <v>290.55</v>
      </c>
      <c r="K136" s="1" t="s">
        <v>4345</v>
      </c>
      <c r="L136" s="3">
        <v>290.55</v>
      </c>
      <c r="M136" s="1"/>
      <c r="N136" s="1"/>
      <c r="O136" s="1"/>
      <c r="P136" s="1"/>
      <c r="Q136" s="1" t="s">
        <v>4346</v>
      </c>
      <c r="R136" s="3">
        <v>290.55</v>
      </c>
      <c r="S136" s="1" t="s">
        <v>4347</v>
      </c>
      <c r="T136" s="3">
        <v>290.55</v>
      </c>
      <c r="U136" s="1" t="s">
        <v>4348</v>
      </c>
      <c r="V136" s="3">
        <v>290.55</v>
      </c>
      <c r="W136" s="1"/>
      <c r="X136" s="1"/>
      <c r="Y136" s="1" t="s">
        <v>4349</v>
      </c>
      <c r="Z136" s="3">
        <v>290.55</v>
      </c>
      <c r="AA136" s="1" t="s">
        <v>4350</v>
      </c>
      <c r="AB136" s="3">
        <v>290.55</v>
      </c>
      <c r="AC136" s="1" t="s">
        <v>4351</v>
      </c>
      <c r="AD136" s="3">
        <v>290.55</v>
      </c>
      <c r="AE136" s="1" t="s">
        <v>151</v>
      </c>
      <c r="AF136" s="3">
        <v>290.55</v>
      </c>
      <c r="AG136" s="1" t="s">
        <v>4352</v>
      </c>
      <c r="AH136" s="3">
        <v>290.55</v>
      </c>
      <c r="AI136" s="1" t="s">
        <v>4353</v>
      </c>
      <c r="AJ136" s="3">
        <v>290.55</v>
      </c>
      <c r="AK136" s="1" t="s">
        <v>4354</v>
      </c>
      <c r="AL136" s="3">
        <v>290.55</v>
      </c>
      <c r="AM136" s="1" t="s">
        <v>4355</v>
      </c>
      <c r="AN136" s="3">
        <v>290.55</v>
      </c>
      <c r="AO136" s="1"/>
      <c r="AP136" s="1"/>
      <c r="AQ136" s="1"/>
      <c r="AR136" s="1"/>
      <c r="AS136" s="1"/>
      <c r="AT136" s="1"/>
      <c r="AU136" s="1" t="s">
        <v>4356</v>
      </c>
      <c r="AV136" s="3">
        <v>290.55</v>
      </c>
      <c r="AW136" s="1" t="s">
        <v>4357</v>
      </c>
      <c r="AX136" s="3">
        <v>290.55</v>
      </c>
      <c r="AY136" s="1"/>
      <c r="AZ136" s="1"/>
      <c r="BA136" s="1" t="s">
        <v>4358</v>
      </c>
      <c r="BB136" s="3">
        <v>290.55</v>
      </c>
      <c r="BC136" s="67" t="s">
        <v>4359</v>
      </c>
      <c r="BD136" s="67">
        <v>385.32</v>
      </c>
      <c r="BE136" s="67">
        <f t="shared" si="1"/>
        <v>2119.26</v>
      </c>
    </row>
    <row r="137">
      <c r="A137" s="1"/>
      <c r="B137" s="1"/>
      <c r="C137" s="1"/>
      <c r="D137" s="1"/>
      <c r="E137" s="1"/>
      <c r="F137" s="1"/>
      <c r="G137" s="1"/>
      <c r="H137" s="1"/>
      <c r="I137" s="1" t="s">
        <v>4360</v>
      </c>
      <c r="J137" s="3">
        <v>290.55</v>
      </c>
      <c r="K137" s="1" t="s">
        <v>4361</v>
      </c>
      <c r="L137" s="3">
        <v>290.55</v>
      </c>
      <c r="M137" s="1"/>
      <c r="N137" s="1"/>
      <c r="O137" s="1"/>
      <c r="P137" s="1"/>
      <c r="Q137" s="1" t="s">
        <v>4362</v>
      </c>
      <c r="R137" s="3">
        <v>290.55</v>
      </c>
      <c r="S137" s="1" t="s">
        <v>4363</v>
      </c>
      <c r="T137" s="3">
        <v>290.55</v>
      </c>
      <c r="U137" s="1" t="s">
        <v>4364</v>
      </c>
      <c r="V137" s="3">
        <v>290.55</v>
      </c>
      <c r="W137" s="1"/>
      <c r="X137" s="1"/>
      <c r="Y137" s="1" t="s">
        <v>4365</v>
      </c>
      <c r="Z137" s="3">
        <v>290.55</v>
      </c>
      <c r="AA137" s="1" t="s">
        <v>4366</v>
      </c>
      <c r="AB137" s="3">
        <v>290.55</v>
      </c>
      <c r="AC137" s="1" t="s">
        <v>4181</v>
      </c>
      <c r="AD137" s="3">
        <v>290.55</v>
      </c>
      <c r="AE137" s="1" t="s">
        <v>152</v>
      </c>
      <c r="AF137" s="3">
        <v>290.55</v>
      </c>
      <c r="AG137" s="1" t="s">
        <v>4367</v>
      </c>
      <c r="AH137" s="3">
        <v>290.55</v>
      </c>
      <c r="AI137" s="1" t="s">
        <v>4368</v>
      </c>
      <c r="AJ137" s="3">
        <v>290.55</v>
      </c>
      <c r="AK137" s="1" t="s">
        <v>4369</v>
      </c>
      <c r="AL137" s="3">
        <v>290.55</v>
      </c>
      <c r="AM137" s="1" t="s">
        <v>4370</v>
      </c>
      <c r="AN137" s="3">
        <v>290.55</v>
      </c>
      <c r="AO137" s="1"/>
      <c r="AP137" s="1"/>
      <c r="AQ137" s="1"/>
      <c r="AR137" s="1"/>
      <c r="AS137" s="1"/>
      <c r="AT137" s="1"/>
      <c r="AU137" s="1" t="s">
        <v>4371</v>
      </c>
      <c r="AV137" s="3">
        <v>290.55</v>
      </c>
      <c r="AW137" s="1" t="s">
        <v>1625</v>
      </c>
      <c r="AX137" s="3">
        <v>290.55</v>
      </c>
      <c r="AY137" s="1"/>
      <c r="AZ137" s="1"/>
      <c r="BA137" s="1" t="s">
        <v>4372</v>
      </c>
      <c r="BB137" s="3">
        <v>290.55</v>
      </c>
      <c r="BC137" s="67" t="s">
        <v>4373</v>
      </c>
      <c r="BD137" s="67">
        <v>385.32</v>
      </c>
      <c r="BE137" s="67">
        <f t="shared" si="1"/>
        <v>2119.26</v>
      </c>
    </row>
    <row r="138">
      <c r="A138" s="1"/>
      <c r="B138" s="1"/>
      <c r="C138" s="1"/>
      <c r="D138" s="1"/>
      <c r="E138" s="1"/>
      <c r="F138" s="1"/>
      <c r="G138" s="1"/>
      <c r="H138" s="1"/>
      <c r="I138" s="1" t="s">
        <v>4374</v>
      </c>
      <c r="J138" s="3">
        <v>290.55</v>
      </c>
      <c r="K138" s="1" t="s">
        <v>4375</v>
      </c>
      <c r="L138" s="3">
        <v>290.55</v>
      </c>
      <c r="M138" s="1"/>
      <c r="N138" s="1"/>
      <c r="O138" s="1"/>
      <c r="P138" s="1"/>
      <c r="Q138" s="1" t="s">
        <v>4376</v>
      </c>
      <c r="R138" s="3">
        <v>290.55</v>
      </c>
      <c r="S138" s="1" t="s">
        <v>4377</v>
      </c>
      <c r="T138" s="3">
        <v>290.55</v>
      </c>
      <c r="U138" s="1" t="s">
        <v>4378</v>
      </c>
      <c r="V138" s="3">
        <v>290.55</v>
      </c>
      <c r="W138" s="1"/>
      <c r="X138" s="1"/>
      <c r="Y138" s="1" t="s">
        <v>4379</v>
      </c>
      <c r="Z138" s="3">
        <v>290.55</v>
      </c>
      <c r="AA138" s="1" t="s">
        <v>4380</v>
      </c>
      <c r="AB138" s="3">
        <v>290.55</v>
      </c>
      <c r="AC138" s="1" t="s">
        <v>4375</v>
      </c>
      <c r="AD138" s="3">
        <v>290.55</v>
      </c>
      <c r="AE138" s="1" t="s">
        <v>58</v>
      </c>
      <c r="AF138" s="3">
        <v>290.55</v>
      </c>
      <c r="AG138" s="1" t="s">
        <v>4381</v>
      </c>
      <c r="AH138" s="3">
        <v>290.55</v>
      </c>
      <c r="AI138" s="1" t="s">
        <v>4382</v>
      </c>
      <c r="AJ138" s="3">
        <v>290.55</v>
      </c>
      <c r="AK138" s="1" t="s">
        <v>4383</v>
      </c>
      <c r="AL138" s="3">
        <v>290.55</v>
      </c>
      <c r="AM138" s="1" t="s">
        <v>4384</v>
      </c>
      <c r="AN138" s="3">
        <v>290.55</v>
      </c>
      <c r="AO138" s="1"/>
      <c r="AP138" s="1"/>
      <c r="AQ138" s="1"/>
      <c r="AR138" s="1"/>
      <c r="AS138" s="1"/>
      <c r="AT138" s="1"/>
      <c r="AU138" s="1" t="s">
        <v>4385</v>
      </c>
      <c r="AV138" s="3">
        <v>290.55</v>
      </c>
      <c r="AW138" s="1" t="s">
        <v>2880</v>
      </c>
      <c r="AX138" s="3">
        <v>290.55</v>
      </c>
      <c r="AY138" s="1"/>
      <c r="AZ138" s="1"/>
      <c r="BA138" s="1" t="s">
        <v>4386</v>
      </c>
      <c r="BB138" s="3">
        <v>290.55</v>
      </c>
      <c r="BC138" s="67" t="s">
        <v>4387</v>
      </c>
      <c r="BD138" s="67">
        <v>295.09</v>
      </c>
      <c r="BE138" s="67">
        <f t="shared" si="1"/>
        <v>1622.995</v>
      </c>
    </row>
    <row r="139">
      <c r="A139" s="1"/>
      <c r="B139" s="1"/>
      <c r="C139" s="1"/>
      <c r="D139" s="1"/>
      <c r="E139" s="1"/>
      <c r="F139" s="1"/>
      <c r="G139" s="1"/>
      <c r="H139" s="1"/>
      <c r="I139" s="1" t="s">
        <v>4388</v>
      </c>
      <c r="J139" s="3">
        <v>290.55</v>
      </c>
      <c r="K139" s="1" t="s">
        <v>4389</v>
      </c>
      <c r="L139" s="3">
        <v>290.55</v>
      </c>
      <c r="M139" s="1"/>
      <c r="N139" s="1"/>
      <c r="O139" s="1"/>
      <c r="P139" s="1"/>
      <c r="Q139" s="1" t="s">
        <v>4390</v>
      </c>
      <c r="R139" s="3">
        <v>290.55</v>
      </c>
      <c r="S139" s="1" t="s">
        <v>4391</v>
      </c>
      <c r="T139" s="3">
        <v>290.55</v>
      </c>
      <c r="U139" s="1" t="s">
        <v>4392</v>
      </c>
      <c r="V139" s="3">
        <v>290.55</v>
      </c>
      <c r="W139" s="1"/>
      <c r="X139" s="1"/>
      <c r="Y139" s="1" t="s">
        <v>4393</v>
      </c>
      <c r="Z139" s="3">
        <v>290.55</v>
      </c>
      <c r="AA139" s="1" t="s">
        <v>4394</v>
      </c>
      <c r="AB139" s="3">
        <v>290.55</v>
      </c>
      <c r="AC139" s="1" t="s">
        <v>4395</v>
      </c>
      <c r="AD139" s="3">
        <v>290.55</v>
      </c>
      <c r="AE139" s="1" t="s">
        <v>153</v>
      </c>
      <c r="AF139" s="3">
        <v>290.55</v>
      </c>
      <c r="AG139" s="1" t="s">
        <v>4396</v>
      </c>
      <c r="AH139" s="3">
        <v>290.55</v>
      </c>
      <c r="AI139" s="1" t="s">
        <v>4397</v>
      </c>
      <c r="AJ139" s="3">
        <v>290.55</v>
      </c>
      <c r="AK139" s="1" t="s">
        <v>4398</v>
      </c>
      <c r="AL139" s="3">
        <v>290.55</v>
      </c>
      <c r="AM139" s="1" t="s">
        <v>4399</v>
      </c>
      <c r="AN139" s="3">
        <v>290.55</v>
      </c>
      <c r="AO139" s="1"/>
      <c r="AP139" s="1"/>
      <c r="AQ139" s="1"/>
      <c r="AR139" s="1"/>
      <c r="AS139" s="1"/>
      <c r="AT139" s="1"/>
      <c r="AU139" s="1" t="s">
        <v>4400</v>
      </c>
      <c r="AV139" s="3">
        <v>290.55</v>
      </c>
      <c r="AW139" s="1" t="s">
        <v>4401</v>
      </c>
      <c r="AX139" s="3">
        <v>290.55</v>
      </c>
      <c r="AY139" s="1"/>
      <c r="AZ139" s="1"/>
      <c r="BA139" s="1" t="s">
        <v>4402</v>
      </c>
      <c r="BB139" s="3">
        <v>290.55</v>
      </c>
      <c r="BC139" s="67" t="s">
        <v>4403</v>
      </c>
      <c r="BD139" s="67">
        <v>456.3</v>
      </c>
      <c r="BE139" s="67">
        <f t="shared" si="1"/>
        <v>2509.65</v>
      </c>
    </row>
    <row r="140">
      <c r="A140" s="1"/>
      <c r="B140" s="1"/>
      <c r="C140" s="1"/>
      <c r="D140" s="1"/>
      <c r="E140" s="1"/>
      <c r="F140" s="1"/>
      <c r="G140" s="1"/>
      <c r="H140" s="1"/>
      <c r="I140" s="1" t="s">
        <v>4404</v>
      </c>
      <c r="J140" s="3">
        <v>290.55</v>
      </c>
      <c r="K140" s="1" t="s">
        <v>4405</v>
      </c>
      <c r="L140" s="3">
        <v>290.55</v>
      </c>
      <c r="M140" s="1"/>
      <c r="N140" s="1"/>
      <c r="O140" s="1"/>
      <c r="P140" s="1"/>
      <c r="Q140" s="1" t="s">
        <v>4406</v>
      </c>
      <c r="R140" s="3">
        <v>290.55</v>
      </c>
      <c r="S140" s="1" t="s">
        <v>4407</v>
      </c>
      <c r="T140" s="3">
        <v>290.55</v>
      </c>
      <c r="U140" s="1" t="s">
        <v>4408</v>
      </c>
      <c r="V140" s="3">
        <v>290.55</v>
      </c>
      <c r="W140" s="1"/>
      <c r="X140" s="1"/>
      <c r="Y140" s="1" t="s">
        <v>4409</v>
      </c>
      <c r="Z140" s="3">
        <v>290.55</v>
      </c>
      <c r="AA140" s="1" t="s">
        <v>4410</v>
      </c>
      <c r="AB140" s="3">
        <v>290.55</v>
      </c>
      <c r="AC140" s="1" t="s">
        <v>4411</v>
      </c>
      <c r="AD140" s="3">
        <v>290.55</v>
      </c>
      <c r="AE140" s="1" t="s">
        <v>154</v>
      </c>
      <c r="AF140" s="3">
        <v>290.55</v>
      </c>
      <c r="AG140" s="1" t="s">
        <v>4412</v>
      </c>
      <c r="AH140" s="3">
        <v>290.55</v>
      </c>
      <c r="AI140" s="1" t="s">
        <v>4413</v>
      </c>
      <c r="AJ140" s="3">
        <v>290.55</v>
      </c>
      <c r="AK140" s="1" t="s">
        <v>365</v>
      </c>
      <c r="AL140" s="3">
        <v>290.55</v>
      </c>
      <c r="AM140" s="1" t="s">
        <v>4414</v>
      </c>
      <c r="AN140" s="3">
        <v>290.55</v>
      </c>
      <c r="AO140" s="1"/>
      <c r="AP140" s="1"/>
      <c r="AQ140" s="1"/>
      <c r="AR140" s="1"/>
      <c r="AS140" s="1"/>
      <c r="AT140" s="1"/>
      <c r="AU140" s="1" t="s">
        <v>4415</v>
      </c>
      <c r="AV140" s="3">
        <v>290.55</v>
      </c>
      <c r="AW140" s="1" t="s">
        <v>4416</v>
      </c>
      <c r="AX140" s="3">
        <v>290.55</v>
      </c>
      <c r="AY140" s="1"/>
      <c r="AZ140" s="1"/>
      <c r="BA140" s="1" t="s">
        <v>4417</v>
      </c>
      <c r="BB140" s="3">
        <v>290.55</v>
      </c>
      <c r="BC140" s="67" t="s">
        <v>4418</v>
      </c>
      <c r="BD140" s="67">
        <v>385.32</v>
      </c>
      <c r="BE140" s="67">
        <f t="shared" si="1"/>
        <v>2119.26</v>
      </c>
    </row>
    <row r="141">
      <c r="A141" s="1"/>
      <c r="B141" s="1"/>
      <c r="C141" s="1"/>
      <c r="D141" s="1"/>
      <c r="E141" s="1"/>
      <c r="F141" s="1"/>
      <c r="G141" s="1"/>
      <c r="H141" s="1"/>
      <c r="I141" s="1" t="s">
        <v>4419</v>
      </c>
      <c r="J141" s="3">
        <v>290.55</v>
      </c>
      <c r="K141" s="1" t="s">
        <v>4420</v>
      </c>
      <c r="L141" s="3">
        <v>290.55</v>
      </c>
      <c r="M141" s="1"/>
      <c r="N141" s="1"/>
      <c r="O141" s="1"/>
      <c r="P141" s="1"/>
      <c r="Q141" s="1" t="s">
        <v>4421</v>
      </c>
      <c r="R141" s="3">
        <v>290.55</v>
      </c>
      <c r="S141" s="1" t="s">
        <v>4422</v>
      </c>
      <c r="T141" s="3">
        <v>290.55</v>
      </c>
      <c r="U141" s="1" t="s">
        <v>4423</v>
      </c>
      <c r="V141" s="3">
        <v>290.55</v>
      </c>
      <c r="W141" s="1"/>
      <c r="X141" s="1"/>
      <c r="Y141" s="1" t="s">
        <v>4424</v>
      </c>
      <c r="Z141" s="3">
        <v>290.55</v>
      </c>
      <c r="AA141" s="1" t="s">
        <v>4425</v>
      </c>
      <c r="AB141" s="3">
        <v>290.55</v>
      </c>
      <c r="AC141" s="1" t="s">
        <v>4426</v>
      </c>
      <c r="AD141" s="3">
        <v>290.55</v>
      </c>
      <c r="AE141" s="1" t="s">
        <v>155</v>
      </c>
      <c r="AF141" s="3">
        <v>290.55</v>
      </c>
      <c r="AG141" s="1" t="s">
        <v>4427</v>
      </c>
      <c r="AH141" s="3">
        <v>290.55</v>
      </c>
      <c r="AI141" s="1" t="s">
        <v>4428</v>
      </c>
      <c r="AJ141" s="3">
        <v>290.55</v>
      </c>
      <c r="AK141" s="1" t="s">
        <v>4429</v>
      </c>
      <c r="AL141" s="3">
        <v>290.55</v>
      </c>
      <c r="AM141" s="1" t="s">
        <v>4430</v>
      </c>
      <c r="AN141" s="3">
        <v>290.55</v>
      </c>
      <c r="AO141" s="1"/>
      <c r="AP141" s="1"/>
      <c r="AQ141" s="1"/>
      <c r="AR141" s="1"/>
      <c r="AS141" s="1"/>
      <c r="AT141" s="1"/>
      <c r="AU141" s="1" t="s">
        <v>4431</v>
      </c>
      <c r="AV141" s="3">
        <v>290.55</v>
      </c>
      <c r="AW141" s="1" t="s">
        <v>1675</v>
      </c>
      <c r="AX141" s="3">
        <v>290.55</v>
      </c>
      <c r="AY141" s="1"/>
      <c r="AZ141" s="1"/>
      <c r="BA141" s="1"/>
      <c r="BB141" s="1"/>
      <c r="BC141" s="67" t="s">
        <v>4432</v>
      </c>
      <c r="BD141" s="67">
        <v>398.91</v>
      </c>
      <c r="BE141" s="67">
        <f t="shared" si="1"/>
        <v>2194.005</v>
      </c>
    </row>
    <row r="142">
      <c r="A142" s="1"/>
      <c r="B142" s="1"/>
      <c r="C142" s="1"/>
      <c r="D142" s="1"/>
      <c r="E142" s="1"/>
      <c r="F142" s="1"/>
      <c r="G142" s="1"/>
      <c r="H142" s="1"/>
      <c r="I142" s="1" t="s">
        <v>4433</v>
      </c>
      <c r="J142" s="3">
        <v>290.55</v>
      </c>
      <c r="K142" s="1" t="s">
        <v>4434</v>
      </c>
      <c r="L142" s="3">
        <v>290.55</v>
      </c>
      <c r="M142" s="1"/>
      <c r="N142" s="1"/>
      <c r="O142" s="1"/>
      <c r="P142" s="1"/>
      <c r="Q142" s="1" t="s">
        <v>4435</v>
      </c>
      <c r="R142" s="3">
        <v>290.55</v>
      </c>
      <c r="S142" s="1" t="s">
        <v>4436</v>
      </c>
      <c r="T142" s="3">
        <v>290.55</v>
      </c>
      <c r="U142" s="1" t="s">
        <v>4437</v>
      </c>
      <c r="V142" s="3">
        <v>290.55</v>
      </c>
      <c r="W142" s="1"/>
      <c r="X142" s="1"/>
      <c r="Y142" s="1" t="s">
        <v>4438</v>
      </c>
      <c r="Z142" s="3">
        <v>290.55</v>
      </c>
      <c r="AA142" s="1" t="s">
        <v>4439</v>
      </c>
      <c r="AB142" s="3">
        <v>290.55</v>
      </c>
      <c r="AC142" s="1" t="s">
        <v>4440</v>
      </c>
      <c r="AD142" s="3">
        <v>290.55</v>
      </c>
      <c r="AE142" s="1" t="s">
        <v>156</v>
      </c>
      <c r="AF142" s="3">
        <v>290.55</v>
      </c>
      <c r="AG142" s="1" t="s">
        <v>4441</v>
      </c>
      <c r="AH142" s="3">
        <v>290.55</v>
      </c>
      <c r="AI142" s="1" t="s">
        <v>4442</v>
      </c>
      <c r="AJ142" s="3">
        <v>290.55</v>
      </c>
      <c r="AK142" s="1" t="s">
        <v>4443</v>
      </c>
      <c r="AL142" s="3">
        <v>290.55</v>
      </c>
      <c r="AM142" s="1" t="s">
        <v>4444</v>
      </c>
      <c r="AN142" s="3">
        <v>290.55</v>
      </c>
      <c r="AO142" s="1"/>
      <c r="AP142" s="1"/>
      <c r="AQ142" s="1"/>
      <c r="AR142" s="1"/>
      <c r="AS142" s="1"/>
      <c r="AT142" s="1"/>
      <c r="AU142" s="1" t="s">
        <v>4445</v>
      </c>
      <c r="AV142" s="3">
        <v>290.55</v>
      </c>
      <c r="AW142" s="1" t="s">
        <v>4446</v>
      </c>
      <c r="AX142" s="3">
        <v>290.55</v>
      </c>
      <c r="AY142" s="1"/>
      <c r="AZ142" s="1"/>
      <c r="BA142" s="1"/>
      <c r="BB142" s="1"/>
      <c r="BC142" s="67" t="s">
        <v>4447</v>
      </c>
      <c r="BD142" s="67">
        <v>398.91</v>
      </c>
      <c r="BE142" s="67">
        <f t="shared" si="1"/>
        <v>2194.005</v>
      </c>
    </row>
    <row r="143">
      <c r="A143" s="1"/>
      <c r="B143" s="1"/>
      <c r="C143" s="1"/>
      <c r="D143" s="1"/>
      <c r="E143" s="1"/>
      <c r="F143" s="1"/>
      <c r="G143" s="1"/>
      <c r="H143" s="1"/>
      <c r="I143" s="1" t="s">
        <v>4448</v>
      </c>
      <c r="J143" s="3">
        <v>290.55</v>
      </c>
      <c r="K143" s="1" t="s">
        <v>4449</v>
      </c>
      <c r="L143" s="3">
        <v>290.55</v>
      </c>
      <c r="M143" s="1"/>
      <c r="N143" s="1"/>
      <c r="O143" s="1"/>
      <c r="P143" s="1"/>
      <c r="Q143" s="1" t="s">
        <v>4450</v>
      </c>
      <c r="R143" s="3">
        <v>290.55</v>
      </c>
      <c r="S143" s="1" t="s">
        <v>4451</v>
      </c>
      <c r="T143" s="3">
        <v>290.55</v>
      </c>
      <c r="U143" s="1" t="s">
        <v>4452</v>
      </c>
      <c r="V143" s="3">
        <v>290.55</v>
      </c>
      <c r="W143" s="1"/>
      <c r="X143" s="1"/>
      <c r="Y143" s="1" t="s">
        <v>4453</v>
      </c>
      <c r="Z143" s="3">
        <v>290.55</v>
      </c>
      <c r="AA143" s="1" t="s">
        <v>4454</v>
      </c>
      <c r="AB143" s="3">
        <v>290.55</v>
      </c>
      <c r="AC143" s="1" t="s">
        <v>4455</v>
      </c>
      <c r="AD143" s="3">
        <v>290.55</v>
      </c>
      <c r="AE143" s="1" t="s">
        <v>157</v>
      </c>
      <c r="AF143" s="3">
        <v>290.55</v>
      </c>
      <c r="AG143" s="1" t="s">
        <v>4136</v>
      </c>
      <c r="AH143" s="3">
        <v>290.55</v>
      </c>
      <c r="AI143" s="1" t="s">
        <v>3630</v>
      </c>
      <c r="AJ143" s="3">
        <v>290.55</v>
      </c>
      <c r="AK143" s="1" t="s">
        <v>4456</v>
      </c>
      <c r="AL143" s="3">
        <v>290.55</v>
      </c>
      <c r="AM143" s="1" t="s">
        <v>4457</v>
      </c>
      <c r="AN143" s="3">
        <v>290.55</v>
      </c>
      <c r="AO143" s="1"/>
      <c r="AP143" s="1"/>
      <c r="AQ143" s="1"/>
      <c r="AR143" s="1"/>
      <c r="AS143" s="1"/>
      <c r="AT143" s="1"/>
      <c r="AU143" s="1" t="s">
        <v>4458</v>
      </c>
      <c r="AV143" s="3">
        <v>290.55</v>
      </c>
      <c r="AW143" s="1" t="s">
        <v>4459</v>
      </c>
      <c r="AX143" s="3">
        <v>290.55</v>
      </c>
      <c r="AY143" s="1"/>
      <c r="AZ143" s="1"/>
      <c r="BA143" s="1"/>
      <c r="BB143" s="1"/>
      <c r="BC143" s="67" t="s">
        <v>4460</v>
      </c>
      <c r="BD143" s="67">
        <v>456.3</v>
      </c>
      <c r="BE143" s="67">
        <f t="shared" si="1"/>
        <v>2509.65</v>
      </c>
    </row>
    <row r="144">
      <c r="A144" s="1"/>
      <c r="B144" s="1"/>
      <c r="C144" s="1"/>
      <c r="D144" s="1"/>
      <c r="E144" s="1"/>
      <c r="F144" s="1"/>
      <c r="G144" s="1"/>
      <c r="H144" s="1"/>
      <c r="I144" s="1" t="s">
        <v>4461</v>
      </c>
      <c r="J144" s="3">
        <v>290.55</v>
      </c>
      <c r="K144" s="1" t="s">
        <v>4462</v>
      </c>
      <c r="L144" s="3">
        <v>290.55</v>
      </c>
      <c r="M144" s="1"/>
      <c r="N144" s="1"/>
      <c r="O144" s="1"/>
      <c r="P144" s="1"/>
      <c r="Q144" s="1" t="s">
        <v>4463</v>
      </c>
      <c r="R144" s="3">
        <v>290.55</v>
      </c>
      <c r="S144" s="1" t="s">
        <v>4464</v>
      </c>
      <c r="T144" s="3">
        <v>290.55</v>
      </c>
      <c r="U144" s="1"/>
      <c r="V144" s="1"/>
      <c r="W144" s="1"/>
      <c r="X144" s="1"/>
      <c r="Y144" s="1" t="s">
        <v>4465</v>
      </c>
      <c r="Z144" s="3">
        <v>290.55</v>
      </c>
      <c r="AA144" s="1" t="s">
        <v>4466</v>
      </c>
      <c r="AB144" s="3">
        <v>290.55</v>
      </c>
      <c r="AC144" s="1" t="s">
        <v>3399</v>
      </c>
      <c r="AD144" s="3">
        <v>290.55</v>
      </c>
      <c r="AE144" s="1" t="s">
        <v>158</v>
      </c>
      <c r="AF144" s="3">
        <v>290.55</v>
      </c>
      <c r="AG144" s="1" t="s">
        <v>4467</v>
      </c>
      <c r="AH144" s="3">
        <v>290.55</v>
      </c>
      <c r="AI144" s="1" t="s">
        <v>4468</v>
      </c>
      <c r="AJ144" s="3">
        <v>290.55</v>
      </c>
      <c r="AK144" s="1" t="s">
        <v>4469</v>
      </c>
      <c r="AL144" s="3">
        <v>290.55</v>
      </c>
      <c r="AM144" s="1" t="s">
        <v>4470</v>
      </c>
      <c r="AN144" s="3">
        <v>290.55</v>
      </c>
      <c r="AO144" s="1"/>
      <c r="AP144" s="1"/>
      <c r="AQ144" s="1"/>
      <c r="AR144" s="1"/>
      <c r="AS144" s="1"/>
      <c r="AT144" s="1"/>
      <c r="AU144" s="1" t="s">
        <v>4471</v>
      </c>
      <c r="AV144" s="3">
        <v>290.55</v>
      </c>
      <c r="AW144" s="1" t="s">
        <v>4472</v>
      </c>
      <c r="AX144" s="3">
        <v>290.55</v>
      </c>
      <c r="AY144" s="1"/>
      <c r="AZ144" s="1"/>
      <c r="BA144" s="1"/>
      <c r="BB144" s="1"/>
      <c r="BC144" s="67" t="s">
        <v>4473</v>
      </c>
      <c r="BD144" s="67">
        <v>398.91</v>
      </c>
      <c r="BE144" s="67">
        <f t="shared" si="1"/>
        <v>2194.005</v>
      </c>
    </row>
    <row r="145">
      <c r="A145" s="1"/>
      <c r="B145" s="1"/>
      <c r="C145" s="1"/>
      <c r="D145" s="1"/>
      <c r="E145" s="1"/>
      <c r="F145" s="1"/>
      <c r="G145" s="1"/>
      <c r="H145" s="1"/>
      <c r="I145" s="1" t="s">
        <v>4474</v>
      </c>
      <c r="J145" s="3">
        <v>290.55</v>
      </c>
      <c r="K145" s="1" t="s">
        <v>4475</v>
      </c>
      <c r="L145" s="3">
        <v>290.55</v>
      </c>
      <c r="M145" s="1"/>
      <c r="N145" s="1"/>
      <c r="O145" s="1"/>
      <c r="P145" s="1"/>
      <c r="Q145" s="1" t="s">
        <v>4476</v>
      </c>
      <c r="R145" s="3">
        <v>290.55</v>
      </c>
      <c r="S145" s="1" t="s">
        <v>4477</v>
      </c>
      <c r="T145" s="3">
        <v>290.55</v>
      </c>
      <c r="U145" s="1"/>
      <c r="V145" s="1"/>
      <c r="W145" s="1"/>
      <c r="X145" s="1"/>
      <c r="Y145" s="1" t="s">
        <v>4478</v>
      </c>
      <c r="Z145" s="3">
        <v>290.55</v>
      </c>
      <c r="AA145" s="1" t="s">
        <v>4479</v>
      </c>
      <c r="AB145" s="3">
        <v>290.55</v>
      </c>
      <c r="AC145" s="1" t="s">
        <v>3940</v>
      </c>
      <c r="AD145" s="3">
        <v>290.55</v>
      </c>
      <c r="AE145" s="1" t="s">
        <v>159</v>
      </c>
      <c r="AF145" s="3">
        <v>290.55</v>
      </c>
      <c r="AG145" s="1" t="s">
        <v>4480</v>
      </c>
      <c r="AH145" s="3">
        <v>290.55</v>
      </c>
      <c r="AI145" s="1" t="s">
        <v>4481</v>
      </c>
      <c r="AJ145" s="3">
        <v>290.55</v>
      </c>
      <c r="AK145" s="1" t="s">
        <v>4482</v>
      </c>
      <c r="AL145" s="3">
        <v>290.55</v>
      </c>
      <c r="AM145" s="1" t="s">
        <v>4483</v>
      </c>
      <c r="AN145" s="3">
        <v>290.55</v>
      </c>
      <c r="AO145" s="1"/>
      <c r="AP145" s="1"/>
      <c r="AQ145" s="1"/>
      <c r="AR145" s="1"/>
      <c r="AS145" s="1"/>
      <c r="AT145" s="1"/>
      <c r="AU145" s="1" t="s">
        <v>4484</v>
      </c>
      <c r="AV145" s="3">
        <v>290.55</v>
      </c>
      <c r="AW145" s="1" t="s">
        <v>4485</v>
      </c>
      <c r="AX145" s="3">
        <v>290.55</v>
      </c>
      <c r="AY145" s="1"/>
      <c r="AZ145" s="1"/>
      <c r="BA145" s="1"/>
      <c r="BB145" s="1"/>
      <c r="BC145" s="67" t="s">
        <v>4486</v>
      </c>
      <c r="BD145" s="67">
        <v>295.09</v>
      </c>
      <c r="BE145" s="67">
        <f t="shared" si="1"/>
        <v>1622.995</v>
      </c>
    </row>
    <row r="146">
      <c r="A146" s="1"/>
      <c r="B146" s="1"/>
      <c r="C146" s="1"/>
      <c r="D146" s="1"/>
      <c r="E146" s="1"/>
      <c r="F146" s="1"/>
      <c r="G146" s="1"/>
      <c r="H146" s="1"/>
      <c r="I146" s="1" t="s">
        <v>4487</v>
      </c>
      <c r="J146" s="3">
        <v>290.55</v>
      </c>
      <c r="K146" s="1" t="s">
        <v>4488</v>
      </c>
      <c r="L146" s="3">
        <v>290.55</v>
      </c>
      <c r="M146" s="1"/>
      <c r="N146" s="1"/>
      <c r="O146" s="1"/>
      <c r="P146" s="1"/>
      <c r="Q146" s="1" t="s">
        <v>4489</v>
      </c>
      <c r="R146" s="3">
        <v>290.55</v>
      </c>
      <c r="S146" s="1" t="s">
        <v>4490</v>
      </c>
      <c r="T146" s="3">
        <v>290.55</v>
      </c>
      <c r="U146" s="1"/>
      <c r="V146" s="1"/>
      <c r="W146" s="1"/>
      <c r="X146" s="1"/>
      <c r="Y146" s="1" t="s">
        <v>4491</v>
      </c>
      <c r="Z146" s="3">
        <v>290.55</v>
      </c>
      <c r="AA146" s="1"/>
      <c r="AB146" s="1"/>
      <c r="AC146" s="1" t="s">
        <v>4492</v>
      </c>
      <c r="AD146" s="3">
        <v>290.55</v>
      </c>
      <c r="AE146" s="1" t="s">
        <v>160</v>
      </c>
      <c r="AF146" s="3">
        <v>290.55</v>
      </c>
      <c r="AG146" s="1" t="s">
        <v>4493</v>
      </c>
      <c r="AH146" s="3">
        <v>290.55</v>
      </c>
      <c r="AI146" s="1" t="s">
        <v>4494</v>
      </c>
      <c r="AJ146" s="3">
        <v>290.55</v>
      </c>
      <c r="AK146" s="1" t="s">
        <v>4495</v>
      </c>
      <c r="AL146" s="3">
        <v>290.55</v>
      </c>
      <c r="AM146" s="1" t="s">
        <v>4496</v>
      </c>
      <c r="AN146" s="3">
        <v>290.55</v>
      </c>
      <c r="AO146" s="1"/>
      <c r="AP146" s="1"/>
      <c r="AQ146" s="1"/>
      <c r="AR146" s="1"/>
      <c r="AS146" s="1"/>
      <c r="AT146" s="1"/>
      <c r="AU146" s="1" t="s">
        <v>4497</v>
      </c>
      <c r="AV146" s="3">
        <v>290.55</v>
      </c>
      <c r="AW146" s="1" t="s">
        <v>4498</v>
      </c>
      <c r="AX146" s="3">
        <v>290.55</v>
      </c>
      <c r="AY146" s="1"/>
      <c r="AZ146" s="1"/>
      <c r="BA146" s="1"/>
      <c r="BB146" s="1"/>
      <c r="BC146" s="67" t="s">
        <v>4499</v>
      </c>
      <c r="BD146" s="67">
        <v>385.32</v>
      </c>
      <c r="BE146" s="67">
        <f t="shared" si="1"/>
        <v>2119.26</v>
      </c>
    </row>
    <row r="147">
      <c r="A147" s="1"/>
      <c r="B147" s="1"/>
      <c r="C147" s="1"/>
      <c r="D147" s="1"/>
      <c r="E147" s="1"/>
      <c r="F147" s="1"/>
      <c r="G147" s="1"/>
      <c r="H147" s="1"/>
      <c r="I147" s="1" t="s">
        <v>4500</v>
      </c>
      <c r="J147" s="3">
        <v>290.55</v>
      </c>
      <c r="K147" s="1" t="s">
        <v>4501</v>
      </c>
      <c r="L147" s="3">
        <v>290.55</v>
      </c>
      <c r="M147" s="1"/>
      <c r="N147" s="1"/>
      <c r="O147" s="1"/>
      <c r="P147" s="1"/>
      <c r="Q147" s="1" t="s">
        <v>4502</v>
      </c>
      <c r="R147" s="3">
        <v>290.55</v>
      </c>
      <c r="S147" s="1" t="s">
        <v>4503</v>
      </c>
      <c r="T147" s="3">
        <v>290.55</v>
      </c>
      <c r="U147" s="1"/>
      <c r="V147" s="1"/>
      <c r="W147" s="1"/>
      <c r="X147" s="1"/>
      <c r="Y147" s="1" t="s">
        <v>4504</v>
      </c>
      <c r="Z147" s="3">
        <v>290.55</v>
      </c>
      <c r="AA147" s="1"/>
      <c r="AB147" s="1"/>
      <c r="AC147" s="1" t="s">
        <v>4505</v>
      </c>
      <c r="AD147" s="3">
        <v>290.55</v>
      </c>
      <c r="AE147" s="1" t="s">
        <v>161</v>
      </c>
      <c r="AF147" s="3">
        <v>290.55</v>
      </c>
      <c r="AG147" s="1" t="s">
        <v>4506</v>
      </c>
      <c r="AH147" s="3">
        <v>290.55</v>
      </c>
      <c r="AI147" s="1" t="s">
        <v>4507</v>
      </c>
      <c r="AJ147" s="3">
        <v>290.55</v>
      </c>
      <c r="AK147" s="1" t="s">
        <v>4508</v>
      </c>
      <c r="AL147" s="3">
        <v>290.55</v>
      </c>
      <c r="AM147" s="1" t="s">
        <v>4509</v>
      </c>
      <c r="AN147" s="3">
        <v>290.55</v>
      </c>
      <c r="AO147" s="1"/>
      <c r="AP147" s="1"/>
      <c r="AQ147" s="1"/>
      <c r="AR147" s="1"/>
      <c r="AS147" s="1"/>
      <c r="AT147" s="1"/>
      <c r="AU147" s="1" t="s">
        <v>4510</v>
      </c>
      <c r="AV147" s="3">
        <v>290.55</v>
      </c>
      <c r="AW147" s="1" t="s">
        <v>4511</v>
      </c>
      <c r="AX147" s="3">
        <v>290.55</v>
      </c>
      <c r="AY147" s="1"/>
      <c r="AZ147" s="1"/>
      <c r="BA147" s="1"/>
      <c r="BB147" s="1"/>
      <c r="BC147" s="67" t="s">
        <v>4512</v>
      </c>
      <c r="BD147" s="67">
        <v>456.3</v>
      </c>
      <c r="BE147" s="67">
        <f t="shared" si="1"/>
        <v>2509.65</v>
      </c>
    </row>
    <row r="148">
      <c r="A148" s="1"/>
      <c r="B148" s="1"/>
      <c r="C148" s="1"/>
      <c r="D148" s="1"/>
      <c r="E148" s="1"/>
      <c r="F148" s="1"/>
      <c r="G148" s="1"/>
      <c r="H148" s="1"/>
      <c r="I148" s="1" t="s">
        <v>4513</v>
      </c>
      <c r="J148" s="3">
        <v>290.55</v>
      </c>
      <c r="K148" s="1" t="s">
        <v>4514</v>
      </c>
      <c r="L148" s="3">
        <v>290.55</v>
      </c>
      <c r="M148" s="1"/>
      <c r="N148" s="1"/>
      <c r="O148" s="1"/>
      <c r="P148" s="1"/>
      <c r="Q148" s="1" t="s">
        <v>4515</v>
      </c>
      <c r="R148" s="3">
        <v>290.55</v>
      </c>
      <c r="S148" s="1" t="s">
        <v>4516</v>
      </c>
      <c r="T148" s="3">
        <v>290.55</v>
      </c>
      <c r="U148" s="1"/>
      <c r="V148" s="1"/>
      <c r="W148" s="1"/>
      <c r="X148" s="1"/>
      <c r="Y148" s="1" t="s">
        <v>4517</v>
      </c>
      <c r="Z148" s="3">
        <v>290.55</v>
      </c>
      <c r="AA148" s="1"/>
      <c r="AB148" s="1"/>
      <c r="AC148" s="1" t="s">
        <v>4518</v>
      </c>
      <c r="AD148" s="3">
        <v>290.55</v>
      </c>
      <c r="AE148" s="1" t="s">
        <v>162</v>
      </c>
      <c r="AF148" s="3">
        <v>290.55</v>
      </c>
      <c r="AG148" s="1" t="s">
        <v>4519</v>
      </c>
      <c r="AH148" s="3">
        <v>290.55</v>
      </c>
      <c r="AI148" s="1" t="s">
        <v>4520</v>
      </c>
      <c r="AJ148" s="3">
        <v>290.55</v>
      </c>
      <c r="AK148" s="1" t="s">
        <v>4521</v>
      </c>
      <c r="AL148" s="3">
        <v>290.55</v>
      </c>
      <c r="AM148" s="1" t="s">
        <v>4522</v>
      </c>
      <c r="AN148" s="3">
        <v>290.55</v>
      </c>
      <c r="AO148" s="1"/>
      <c r="AP148" s="1"/>
      <c r="AQ148" s="1"/>
      <c r="AR148" s="1"/>
      <c r="AS148" s="1"/>
      <c r="AT148" s="1"/>
      <c r="AU148" s="1" t="s">
        <v>4523</v>
      </c>
      <c r="AV148" s="3">
        <v>290.55</v>
      </c>
      <c r="AW148" s="1" t="s">
        <v>4524</v>
      </c>
      <c r="AX148" s="3">
        <v>290.55</v>
      </c>
      <c r="AY148" s="1"/>
      <c r="AZ148" s="1"/>
      <c r="BA148" s="1"/>
      <c r="BB148" s="1"/>
      <c r="BC148" s="67" t="s">
        <v>4525</v>
      </c>
      <c r="BD148" s="67">
        <v>456.3</v>
      </c>
      <c r="BE148" s="67">
        <f t="shared" si="1"/>
        <v>2509.65</v>
      </c>
    </row>
    <row r="149">
      <c r="A149" s="1"/>
      <c r="B149" s="1"/>
      <c r="C149" s="1"/>
      <c r="D149" s="1"/>
      <c r="E149" s="1"/>
      <c r="F149" s="1"/>
      <c r="G149" s="1"/>
      <c r="H149" s="1"/>
      <c r="I149" s="1" t="s">
        <v>4526</v>
      </c>
      <c r="J149" s="3">
        <v>290.55</v>
      </c>
      <c r="K149" s="1" t="s">
        <v>4527</v>
      </c>
      <c r="L149" s="3">
        <v>290.55</v>
      </c>
      <c r="M149" s="1"/>
      <c r="N149" s="1"/>
      <c r="O149" s="1"/>
      <c r="P149" s="1"/>
      <c r="Q149" s="1" t="s">
        <v>4528</v>
      </c>
      <c r="R149" s="3">
        <v>290.55</v>
      </c>
      <c r="S149" s="1" t="s">
        <v>4529</v>
      </c>
      <c r="T149" s="3">
        <v>290.55</v>
      </c>
      <c r="U149" s="1"/>
      <c r="V149" s="1"/>
      <c r="W149" s="1"/>
      <c r="X149" s="1"/>
      <c r="Y149" s="1" t="s">
        <v>4530</v>
      </c>
      <c r="Z149" s="3">
        <v>290.55</v>
      </c>
      <c r="AA149" s="1"/>
      <c r="AB149" s="1"/>
      <c r="AC149" s="1" t="s">
        <v>4531</v>
      </c>
      <c r="AD149" s="3">
        <v>290.55</v>
      </c>
      <c r="AE149" s="1" t="s">
        <v>163</v>
      </c>
      <c r="AF149" s="3">
        <v>290.55</v>
      </c>
      <c r="AG149" s="1" t="s">
        <v>4086</v>
      </c>
      <c r="AH149" s="3">
        <v>290.55</v>
      </c>
      <c r="AI149" s="1" t="s">
        <v>4532</v>
      </c>
      <c r="AJ149" s="3">
        <v>290.55</v>
      </c>
      <c r="AK149" s="1" t="s">
        <v>4533</v>
      </c>
      <c r="AL149" s="3">
        <v>290.55</v>
      </c>
      <c r="AM149" s="1" t="s">
        <v>4534</v>
      </c>
      <c r="AN149" s="3">
        <v>290.55</v>
      </c>
      <c r="AO149" s="1"/>
      <c r="AP149" s="1"/>
      <c r="AQ149" s="1"/>
      <c r="AR149" s="1"/>
      <c r="AS149" s="1"/>
      <c r="AT149" s="1"/>
      <c r="AU149" s="1" t="s">
        <v>4535</v>
      </c>
      <c r="AV149" s="3">
        <v>290.55</v>
      </c>
      <c r="AW149" s="1" t="s">
        <v>4536</v>
      </c>
      <c r="AX149" s="3">
        <v>290.55</v>
      </c>
      <c r="AY149" s="1"/>
      <c r="AZ149" s="1"/>
      <c r="BA149" s="1"/>
      <c r="BB149" s="1"/>
      <c r="BC149" s="67" t="s">
        <v>4537</v>
      </c>
      <c r="BD149" s="67">
        <v>295.09</v>
      </c>
      <c r="BE149" s="67">
        <f t="shared" si="1"/>
        <v>1622.995</v>
      </c>
    </row>
    <row r="150">
      <c r="A150" s="1"/>
      <c r="B150" s="1"/>
      <c r="C150" s="1"/>
      <c r="D150" s="1"/>
      <c r="E150" s="1"/>
      <c r="F150" s="1"/>
      <c r="G150" s="1"/>
      <c r="H150" s="1"/>
      <c r="I150" s="1" t="s">
        <v>4538</v>
      </c>
      <c r="J150" s="3">
        <v>290.55</v>
      </c>
      <c r="K150" s="1" t="s">
        <v>4539</v>
      </c>
      <c r="L150" s="3">
        <v>290.55</v>
      </c>
      <c r="M150" s="1"/>
      <c r="N150" s="1"/>
      <c r="O150" s="1"/>
      <c r="P150" s="1"/>
      <c r="Q150" s="1" t="s">
        <v>4540</v>
      </c>
      <c r="R150" s="3">
        <v>290.55</v>
      </c>
      <c r="S150" s="1" t="s">
        <v>4541</v>
      </c>
      <c r="T150" s="3">
        <v>290.55</v>
      </c>
      <c r="U150" s="1"/>
      <c r="V150" s="1"/>
      <c r="W150" s="1"/>
      <c r="X150" s="1"/>
      <c r="Y150" s="1" t="s">
        <v>4542</v>
      </c>
      <c r="Z150" s="3">
        <v>290.55</v>
      </c>
      <c r="AA150" s="1"/>
      <c r="AB150" s="1"/>
      <c r="AC150" s="1" t="s">
        <v>4543</v>
      </c>
      <c r="AD150" s="3">
        <v>290.55</v>
      </c>
      <c r="AE150" s="1" t="s">
        <v>164</v>
      </c>
      <c r="AF150" s="3">
        <v>290.55</v>
      </c>
      <c r="AG150" s="1" t="s">
        <v>4544</v>
      </c>
      <c r="AH150" s="3">
        <v>290.55</v>
      </c>
      <c r="AI150" s="1" t="s">
        <v>4545</v>
      </c>
      <c r="AJ150" s="3">
        <v>290.55</v>
      </c>
      <c r="AK150" s="1" t="s">
        <v>4546</v>
      </c>
      <c r="AL150" s="3">
        <v>290.55</v>
      </c>
      <c r="AM150" s="1" t="s">
        <v>4547</v>
      </c>
      <c r="AN150" s="3">
        <v>290.55</v>
      </c>
      <c r="AO150" s="1"/>
      <c r="AP150" s="1"/>
      <c r="AQ150" s="1"/>
      <c r="AR150" s="1"/>
      <c r="AS150" s="1"/>
      <c r="AT150" s="1"/>
      <c r="AU150" s="1" t="s">
        <v>4548</v>
      </c>
      <c r="AV150" s="3">
        <v>290.55</v>
      </c>
      <c r="AW150" s="1" t="s">
        <v>4549</v>
      </c>
      <c r="AX150" s="3">
        <v>290.55</v>
      </c>
      <c r="AY150" s="1"/>
      <c r="AZ150" s="1"/>
      <c r="BA150" s="1"/>
      <c r="BB150" s="1"/>
      <c r="BC150" s="67" t="s">
        <v>4550</v>
      </c>
      <c r="BD150" s="67">
        <v>385.32</v>
      </c>
      <c r="BE150" s="67">
        <f t="shared" si="1"/>
        <v>2119.26</v>
      </c>
    </row>
    <row r="151">
      <c r="A151" s="1"/>
      <c r="B151" s="1"/>
      <c r="C151" s="1"/>
      <c r="D151" s="1"/>
      <c r="E151" s="1"/>
      <c r="F151" s="1"/>
      <c r="G151" s="1"/>
      <c r="H151" s="1"/>
      <c r="I151" s="1" t="s">
        <v>4551</v>
      </c>
      <c r="J151" s="3">
        <v>290.55</v>
      </c>
      <c r="K151" s="1" t="s">
        <v>4552</v>
      </c>
      <c r="L151" s="3">
        <v>290.55</v>
      </c>
      <c r="M151" s="1"/>
      <c r="N151" s="1"/>
      <c r="O151" s="1"/>
      <c r="P151" s="1"/>
      <c r="Q151" s="1" t="s">
        <v>4113</v>
      </c>
      <c r="R151" s="3">
        <v>290.55</v>
      </c>
      <c r="S151" s="1" t="s">
        <v>4553</v>
      </c>
      <c r="T151" s="3">
        <v>290.55</v>
      </c>
      <c r="U151" s="1"/>
      <c r="V151" s="1"/>
      <c r="W151" s="1"/>
      <c r="X151" s="1"/>
      <c r="Y151" s="1" t="s">
        <v>4554</v>
      </c>
      <c r="Z151" s="3">
        <v>290.55</v>
      </c>
      <c r="AA151" s="1"/>
      <c r="AB151" s="1"/>
      <c r="AC151" s="1" t="s">
        <v>4555</v>
      </c>
      <c r="AD151" s="3">
        <v>290.55</v>
      </c>
      <c r="AE151" s="1" t="s">
        <v>165</v>
      </c>
      <c r="AF151" s="3">
        <v>290.55</v>
      </c>
      <c r="AG151" s="1" t="s">
        <v>4556</v>
      </c>
      <c r="AH151" s="3">
        <v>290.55</v>
      </c>
      <c r="AI151" s="1" t="s">
        <v>4557</v>
      </c>
      <c r="AJ151" s="3">
        <v>290.55</v>
      </c>
      <c r="AK151" s="1" t="s">
        <v>4558</v>
      </c>
      <c r="AL151" s="3">
        <v>290.55</v>
      </c>
      <c r="AM151" s="1" t="s">
        <v>4559</v>
      </c>
      <c r="AN151" s="3">
        <v>290.55</v>
      </c>
      <c r="AO151" s="1"/>
      <c r="AP151" s="1"/>
      <c r="AQ151" s="1"/>
      <c r="AR151" s="1"/>
      <c r="AS151" s="1"/>
      <c r="AT151" s="1"/>
      <c r="AU151" s="1" t="s">
        <v>4560</v>
      </c>
      <c r="AV151" s="3">
        <v>290.55</v>
      </c>
      <c r="AW151" s="1" t="s">
        <v>4561</v>
      </c>
      <c r="AX151" s="3">
        <v>290.55</v>
      </c>
      <c r="AY151" s="1"/>
      <c r="AZ151" s="1"/>
      <c r="BA151" s="1"/>
      <c r="BB151" s="1"/>
      <c r="BC151" s="67" t="s">
        <v>4562</v>
      </c>
      <c r="BD151" s="67">
        <v>385.32</v>
      </c>
      <c r="BE151" s="67">
        <f t="shared" si="1"/>
        <v>2119.26</v>
      </c>
    </row>
    <row r="152">
      <c r="A152" s="1"/>
      <c r="B152" s="1"/>
      <c r="C152" s="1"/>
      <c r="D152" s="1"/>
      <c r="E152" s="1"/>
      <c r="F152" s="1"/>
      <c r="G152" s="1"/>
      <c r="H152" s="1"/>
      <c r="I152" s="1" t="s">
        <v>4563</v>
      </c>
      <c r="J152" s="3">
        <v>290.55</v>
      </c>
      <c r="K152" s="1" t="s">
        <v>4564</v>
      </c>
      <c r="L152" s="3">
        <v>290.55</v>
      </c>
      <c r="M152" s="1"/>
      <c r="N152" s="1"/>
      <c r="O152" s="1"/>
      <c r="P152" s="1"/>
      <c r="Q152" s="1" t="s">
        <v>4565</v>
      </c>
      <c r="R152" s="3">
        <v>290.55</v>
      </c>
      <c r="S152" s="1" t="s">
        <v>4566</v>
      </c>
      <c r="T152" s="3">
        <v>290.55</v>
      </c>
      <c r="U152" s="1"/>
      <c r="V152" s="1"/>
      <c r="W152" s="1"/>
      <c r="X152" s="1"/>
      <c r="Y152" s="1" t="s">
        <v>4567</v>
      </c>
      <c r="Z152" s="3">
        <v>290.55</v>
      </c>
      <c r="AA152" s="1"/>
      <c r="AB152" s="1"/>
      <c r="AC152" s="1" t="s">
        <v>4568</v>
      </c>
      <c r="AD152" s="3">
        <v>290.55</v>
      </c>
      <c r="AE152" s="1" t="s">
        <v>166</v>
      </c>
      <c r="AF152" s="3">
        <v>290.55</v>
      </c>
      <c r="AG152" s="1" t="s">
        <v>4569</v>
      </c>
      <c r="AH152" s="3">
        <v>290.55</v>
      </c>
      <c r="AI152" s="1" t="s">
        <v>4570</v>
      </c>
      <c r="AJ152" s="3">
        <v>290.55</v>
      </c>
      <c r="AK152" s="1" t="s">
        <v>4571</v>
      </c>
      <c r="AL152" s="3">
        <v>290.55</v>
      </c>
      <c r="AM152" s="1" t="s">
        <v>4572</v>
      </c>
      <c r="AN152" s="3">
        <v>290.55</v>
      </c>
      <c r="AO152" s="1"/>
      <c r="AP152" s="1"/>
      <c r="AQ152" s="1"/>
      <c r="AR152" s="1"/>
      <c r="AS152" s="1"/>
      <c r="AT152" s="1"/>
      <c r="AU152" s="1" t="s">
        <v>4573</v>
      </c>
      <c r="AV152" s="3">
        <v>290.55</v>
      </c>
      <c r="AW152" s="1" t="s">
        <v>4574</v>
      </c>
      <c r="AX152" s="3">
        <v>290.55</v>
      </c>
      <c r="AY152" s="1"/>
      <c r="AZ152" s="1"/>
      <c r="BA152" s="1"/>
      <c r="BB152" s="1"/>
      <c r="BC152" s="67" t="s">
        <v>4575</v>
      </c>
      <c r="BD152" s="67">
        <v>398.91</v>
      </c>
      <c r="BE152" s="67">
        <f t="shared" si="1"/>
        <v>2194.005</v>
      </c>
    </row>
    <row r="153">
      <c r="A153" s="1"/>
      <c r="B153" s="1"/>
      <c r="C153" s="1"/>
      <c r="D153" s="1"/>
      <c r="E153" s="1"/>
      <c r="F153" s="1"/>
      <c r="G153" s="1"/>
      <c r="H153" s="1"/>
      <c r="I153" s="1" t="s">
        <v>4576</v>
      </c>
      <c r="J153" s="3">
        <v>290.55</v>
      </c>
      <c r="K153" s="1" t="s">
        <v>4577</v>
      </c>
      <c r="L153" s="3">
        <v>290.55</v>
      </c>
      <c r="M153" s="1"/>
      <c r="N153" s="1"/>
      <c r="O153" s="1"/>
      <c r="P153" s="1"/>
      <c r="Q153" s="1" t="s">
        <v>4578</v>
      </c>
      <c r="R153" s="3">
        <v>290.55</v>
      </c>
      <c r="S153" s="1" t="s">
        <v>2637</v>
      </c>
      <c r="T153" s="3">
        <v>290.55</v>
      </c>
      <c r="U153" s="1"/>
      <c r="V153" s="1"/>
      <c r="W153" s="1"/>
      <c r="X153" s="1"/>
      <c r="Y153" s="1" t="s">
        <v>4579</v>
      </c>
      <c r="Z153" s="3">
        <v>290.55</v>
      </c>
      <c r="AA153" s="1"/>
      <c r="AB153" s="1"/>
      <c r="AC153" s="1" t="s">
        <v>4580</v>
      </c>
      <c r="AD153" s="3">
        <v>290.55</v>
      </c>
      <c r="AE153" s="1" t="s">
        <v>167</v>
      </c>
      <c r="AF153" s="3">
        <v>290.55</v>
      </c>
      <c r="AG153" s="1" t="s">
        <v>348</v>
      </c>
      <c r="AH153" s="3">
        <v>290.55</v>
      </c>
      <c r="AI153" s="1" t="s">
        <v>4581</v>
      </c>
      <c r="AJ153" s="3">
        <v>290.55</v>
      </c>
      <c r="AK153" s="1" t="s">
        <v>4582</v>
      </c>
      <c r="AL153" s="3">
        <v>290.55</v>
      </c>
      <c r="AM153" s="1" t="s">
        <v>4583</v>
      </c>
      <c r="AN153" s="3">
        <v>290.55</v>
      </c>
      <c r="AO153" s="1"/>
      <c r="AP153" s="1"/>
      <c r="AQ153" s="1"/>
      <c r="AR153" s="1"/>
      <c r="AS153" s="1"/>
      <c r="AT153" s="1"/>
      <c r="AU153" s="1" t="s">
        <v>4584</v>
      </c>
      <c r="AV153" s="3">
        <v>290.55</v>
      </c>
      <c r="AW153" s="1" t="s">
        <v>4585</v>
      </c>
      <c r="AX153" s="3">
        <v>290.55</v>
      </c>
      <c r="AY153" s="1"/>
      <c r="AZ153" s="1"/>
      <c r="BA153" s="1"/>
      <c r="BB153" s="1"/>
      <c r="BC153" s="67" t="s">
        <v>4586</v>
      </c>
      <c r="BD153" s="67">
        <v>456.3</v>
      </c>
      <c r="BE153" s="67">
        <f t="shared" si="1"/>
        <v>2509.65</v>
      </c>
    </row>
    <row r="154">
      <c r="A154" s="1"/>
      <c r="B154" s="1"/>
      <c r="C154" s="1"/>
      <c r="D154" s="1"/>
      <c r="E154" s="1"/>
      <c r="F154" s="1"/>
      <c r="G154" s="1"/>
      <c r="H154" s="1"/>
      <c r="I154" s="1" t="s">
        <v>4587</v>
      </c>
      <c r="J154" s="3">
        <v>290.55</v>
      </c>
      <c r="K154" s="1" t="s">
        <v>3845</v>
      </c>
      <c r="L154" s="3">
        <v>290.55</v>
      </c>
      <c r="M154" s="1"/>
      <c r="N154" s="1"/>
      <c r="O154" s="1"/>
      <c r="P154" s="1"/>
      <c r="Q154" s="1" t="s">
        <v>4588</v>
      </c>
      <c r="R154" s="3">
        <v>290.55</v>
      </c>
      <c r="S154" s="1" t="s">
        <v>4589</v>
      </c>
      <c r="T154" s="3">
        <v>290.55</v>
      </c>
      <c r="U154" s="1"/>
      <c r="V154" s="1"/>
      <c r="W154" s="1"/>
      <c r="X154" s="1"/>
      <c r="Y154" s="1" t="s">
        <v>4590</v>
      </c>
      <c r="Z154" s="3">
        <v>290.55</v>
      </c>
      <c r="AA154" s="1"/>
      <c r="AB154" s="1"/>
      <c r="AC154" s="1" t="s">
        <v>4591</v>
      </c>
      <c r="AD154" s="3">
        <v>290.55</v>
      </c>
      <c r="AE154" s="1" t="s">
        <v>168</v>
      </c>
      <c r="AF154" s="3">
        <v>290.55</v>
      </c>
      <c r="AG154" s="1" t="s">
        <v>4592</v>
      </c>
      <c r="AH154" s="3">
        <v>290.55</v>
      </c>
      <c r="AI154" s="1" t="s">
        <v>4593</v>
      </c>
      <c r="AJ154" s="3">
        <v>290.55</v>
      </c>
      <c r="AK154" s="1" t="s">
        <v>4594</v>
      </c>
      <c r="AL154" s="3">
        <v>290.55</v>
      </c>
      <c r="AM154" s="1" t="s">
        <v>4595</v>
      </c>
      <c r="AN154" s="3">
        <v>290.55</v>
      </c>
      <c r="AO154" s="1"/>
      <c r="AP154" s="1"/>
      <c r="AQ154" s="1"/>
      <c r="AR154" s="1"/>
      <c r="AS154" s="1"/>
      <c r="AT154" s="1"/>
      <c r="AU154" s="1" t="s">
        <v>4596</v>
      </c>
      <c r="AV154" s="3">
        <v>290.55</v>
      </c>
      <c r="AW154" s="1" t="s">
        <v>4597</v>
      </c>
      <c r="AX154" s="3">
        <v>290.55</v>
      </c>
      <c r="AY154" s="1"/>
      <c r="AZ154" s="1"/>
      <c r="BA154" s="1"/>
      <c r="BB154" s="1"/>
      <c r="BC154" s="67" t="s">
        <v>4598</v>
      </c>
      <c r="BD154" s="67">
        <v>385.32</v>
      </c>
      <c r="BE154" s="67">
        <f t="shared" si="1"/>
        <v>2119.26</v>
      </c>
    </row>
    <row r="155">
      <c r="A155" s="1"/>
      <c r="B155" s="1"/>
      <c r="C155" s="1"/>
      <c r="D155" s="1"/>
      <c r="E155" s="1"/>
      <c r="F155" s="1"/>
      <c r="G155" s="1"/>
      <c r="H155" s="1"/>
      <c r="I155" s="1" t="s">
        <v>4599</v>
      </c>
      <c r="J155" s="3">
        <v>290.55</v>
      </c>
      <c r="K155" s="1" t="s">
        <v>4600</v>
      </c>
      <c r="L155" s="3">
        <v>290.55</v>
      </c>
      <c r="M155" s="1"/>
      <c r="N155" s="1"/>
      <c r="O155" s="1"/>
      <c r="P155" s="1"/>
      <c r="Q155" s="1" t="s">
        <v>2933</v>
      </c>
      <c r="R155" s="3">
        <v>290.55</v>
      </c>
      <c r="S155" s="1" t="s">
        <v>4601</v>
      </c>
      <c r="T155" s="3">
        <v>290.55</v>
      </c>
      <c r="U155" s="1"/>
      <c r="V155" s="1"/>
      <c r="W155" s="1"/>
      <c r="X155" s="1"/>
      <c r="Y155" s="1" t="s">
        <v>4602</v>
      </c>
      <c r="Z155" s="3">
        <v>290.55</v>
      </c>
      <c r="AA155" s="1"/>
      <c r="AB155" s="1"/>
      <c r="AC155" s="1" t="s">
        <v>4603</v>
      </c>
      <c r="AD155" s="3">
        <v>290.55</v>
      </c>
      <c r="AE155" s="1" t="s">
        <v>169</v>
      </c>
      <c r="AF155" s="3">
        <v>290.55</v>
      </c>
      <c r="AG155" s="1" t="s">
        <v>4604</v>
      </c>
      <c r="AH155" s="3">
        <v>290.55</v>
      </c>
      <c r="AI155" s="1" t="s">
        <v>4605</v>
      </c>
      <c r="AJ155" s="3">
        <v>290.55</v>
      </c>
      <c r="AK155" s="1" t="s">
        <v>4606</v>
      </c>
      <c r="AL155" s="3">
        <v>290.55</v>
      </c>
      <c r="AM155" s="1" t="s">
        <v>4607</v>
      </c>
      <c r="AN155" s="3">
        <v>290.55</v>
      </c>
      <c r="AO155" s="1"/>
      <c r="AP155" s="1"/>
      <c r="AQ155" s="1"/>
      <c r="AR155" s="1"/>
      <c r="AS155" s="1"/>
      <c r="AT155" s="1"/>
      <c r="AU155" s="1" t="s">
        <v>4608</v>
      </c>
      <c r="AV155" s="3">
        <v>290.55</v>
      </c>
      <c r="AW155" s="1" t="s">
        <v>4609</v>
      </c>
      <c r="AX155" s="3">
        <v>290.55</v>
      </c>
      <c r="AY155" s="1"/>
      <c r="AZ155" s="1"/>
      <c r="BA155" s="1"/>
      <c r="BB155" s="1"/>
      <c r="BC155" s="67" t="s">
        <v>4610</v>
      </c>
      <c r="BD155" s="67">
        <v>398.91</v>
      </c>
      <c r="BE155" s="67">
        <f t="shared" si="1"/>
        <v>2194.005</v>
      </c>
    </row>
    <row r="156">
      <c r="A156" s="1"/>
      <c r="B156" s="1"/>
      <c r="C156" s="1"/>
      <c r="D156" s="1"/>
      <c r="E156" s="1"/>
      <c r="F156" s="1"/>
      <c r="G156" s="1"/>
      <c r="H156" s="1"/>
      <c r="I156" s="1" t="s">
        <v>4611</v>
      </c>
      <c r="J156" s="3">
        <v>290.55</v>
      </c>
      <c r="K156" s="1" t="s">
        <v>4612</v>
      </c>
      <c r="L156" s="3">
        <v>290.55</v>
      </c>
      <c r="M156" s="1"/>
      <c r="N156" s="1"/>
      <c r="O156" s="1"/>
      <c r="P156" s="1"/>
      <c r="Q156" s="1" t="s">
        <v>4613</v>
      </c>
      <c r="R156" s="3">
        <v>290.55</v>
      </c>
      <c r="S156" s="1" t="s">
        <v>4614</v>
      </c>
      <c r="T156" s="3">
        <v>290.55</v>
      </c>
      <c r="U156" s="1"/>
      <c r="V156" s="1"/>
      <c r="W156" s="1"/>
      <c r="X156" s="1"/>
      <c r="Y156" s="1" t="s">
        <v>4615</v>
      </c>
      <c r="Z156" s="3">
        <v>290.55</v>
      </c>
      <c r="AA156" s="1"/>
      <c r="AB156" s="1"/>
      <c r="AC156" s="1" t="s">
        <v>4616</v>
      </c>
      <c r="AD156" s="3">
        <v>290.55</v>
      </c>
      <c r="AE156" s="1" t="s">
        <v>130</v>
      </c>
      <c r="AF156" s="3">
        <v>290.55</v>
      </c>
      <c r="AG156" s="1" t="s">
        <v>4617</v>
      </c>
      <c r="AH156" s="3">
        <v>290.55</v>
      </c>
      <c r="AI156" s="1" t="s">
        <v>4618</v>
      </c>
      <c r="AJ156" s="3">
        <v>290.55</v>
      </c>
      <c r="AK156" s="1" t="s">
        <v>4619</v>
      </c>
      <c r="AL156" s="3">
        <v>290.55</v>
      </c>
      <c r="AM156" s="1" t="s">
        <v>4620</v>
      </c>
      <c r="AN156" s="3">
        <v>290.55</v>
      </c>
      <c r="AO156" s="1"/>
      <c r="AP156" s="1"/>
      <c r="AQ156" s="1"/>
      <c r="AR156" s="1"/>
      <c r="AS156" s="1"/>
      <c r="AT156" s="1"/>
      <c r="AU156" s="1" t="s">
        <v>4621</v>
      </c>
      <c r="AV156" s="3">
        <v>290.55</v>
      </c>
      <c r="AW156" s="1" t="s">
        <v>4622</v>
      </c>
      <c r="AX156" s="3">
        <v>290.55</v>
      </c>
      <c r="AY156" s="1"/>
      <c r="AZ156" s="1"/>
      <c r="BA156" s="1"/>
      <c r="BB156" s="1"/>
      <c r="BC156" s="67" t="s">
        <v>4623</v>
      </c>
      <c r="BD156" s="67">
        <v>456.3</v>
      </c>
      <c r="BE156" s="67">
        <f t="shared" si="1"/>
        <v>2509.65</v>
      </c>
    </row>
    <row r="157">
      <c r="A157" s="1"/>
      <c r="B157" s="1"/>
      <c r="C157" s="1"/>
      <c r="D157" s="1"/>
      <c r="E157" s="1"/>
      <c r="F157" s="1"/>
      <c r="G157" s="1"/>
      <c r="H157" s="1"/>
      <c r="I157" s="1" t="s">
        <v>4624</v>
      </c>
      <c r="J157" s="3">
        <v>290.55</v>
      </c>
      <c r="K157" s="1" t="s">
        <v>4625</v>
      </c>
      <c r="L157" s="3">
        <v>290.55</v>
      </c>
      <c r="M157" s="1"/>
      <c r="N157" s="1"/>
      <c r="O157" s="1"/>
      <c r="P157" s="1"/>
      <c r="Q157" s="1" t="s">
        <v>4626</v>
      </c>
      <c r="R157" s="3">
        <v>290.55</v>
      </c>
      <c r="S157" s="1" t="s">
        <v>4627</v>
      </c>
      <c r="T157" s="3">
        <v>290.55</v>
      </c>
      <c r="U157" s="1"/>
      <c r="V157" s="1"/>
      <c r="W157" s="1"/>
      <c r="X157" s="1"/>
      <c r="Y157" s="1" t="s">
        <v>4628</v>
      </c>
      <c r="Z157" s="3">
        <v>290.55</v>
      </c>
      <c r="AA157" s="1"/>
      <c r="AB157" s="1"/>
      <c r="AC157" s="1" t="s">
        <v>4307</v>
      </c>
      <c r="AD157" s="3">
        <v>290.55</v>
      </c>
      <c r="AE157" s="1" t="s">
        <v>170</v>
      </c>
      <c r="AF157" s="3">
        <v>290.55</v>
      </c>
      <c r="AG157" s="1" t="s">
        <v>4629</v>
      </c>
      <c r="AH157" s="3">
        <v>290.55</v>
      </c>
      <c r="AI157" s="1" t="s">
        <v>4630</v>
      </c>
      <c r="AJ157" s="3">
        <v>290.55</v>
      </c>
      <c r="AK157" s="1" t="s">
        <v>4631</v>
      </c>
      <c r="AL157" s="3">
        <v>290.55</v>
      </c>
      <c r="AM157" s="1" t="s">
        <v>4632</v>
      </c>
      <c r="AN157" s="3">
        <v>290.55</v>
      </c>
      <c r="AO157" s="1"/>
      <c r="AP157" s="1"/>
      <c r="AQ157" s="1"/>
      <c r="AR157" s="1"/>
      <c r="AS157" s="1"/>
      <c r="AT157" s="1"/>
      <c r="AU157" s="1" t="s">
        <v>4633</v>
      </c>
      <c r="AV157" s="3">
        <v>290.55</v>
      </c>
      <c r="AW157" s="1" t="s">
        <v>4634</v>
      </c>
      <c r="AX157" s="3">
        <v>290.55</v>
      </c>
      <c r="AY157" s="1"/>
      <c r="AZ157" s="1"/>
      <c r="BA157" s="1"/>
      <c r="BB157" s="1"/>
      <c r="BC157" s="67" t="s">
        <v>4635</v>
      </c>
      <c r="BD157" s="67">
        <v>295.09</v>
      </c>
      <c r="BE157" s="67">
        <f t="shared" si="1"/>
        <v>1622.995</v>
      </c>
    </row>
    <row r="158">
      <c r="A158" s="1"/>
      <c r="B158" s="1"/>
      <c r="C158" s="1"/>
      <c r="D158" s="1"/>
      <c r="E158" s="1"/>
      <c r="F158" s="1"/>
      <c r="G158" s="1"/>
      <c r="H158" s="1"/>
      <c r="I158" s="1" t="s">
        <v>4636</v>
      </c>
      <c r="J158" s="3">
        <v>290.55</v>
      </c>
      <c r="K158" s="1" t="s">
        <v>4637</v>
      </c>
      <c r="L158" s="3">
        <v>290.55</v>
      </c>
      <c r="M158" s="1"/>
      <c r="N158" s="1"/>
      <c r="O158" s="1"/>
      <c r="P158" s="1"/>
      <c r="Q158" s="1" t="s">
        <v>4638</v>
      </c>
      <c r="R158" s="3">
        <v>290.55</v>
      </c>
      <c r="S158" s="1" t="s">
        <v>4639</v>
      </c>
      <c r="T158" s="3">
        <v>290.55</v>
      </c>
      <c r="U158" s="1"/>
      <c r="V158" s="1"/>
      <c r="W158" s="1"/>
      <c r="X158" s="1"/>
      <c r="Y158" s="1" t="s">
        <v>4640</v>
      </c>
      <c r="Z158" s="3">
        <v>290.55</v>
      </c>
      <c r="AA158" s="1"/>
      <c r="AB158" s="1"/>
      <c r="AC158" s="1" t="s">
        <v>4641</v>
      </c>
      <c r="AD158" s="3">
        <v>290.55</v>
      </c>
      <c r="AE158" s="1" t="s">
        <v>171</v>
      </c>
      <c r="AF158" s="3">
        <v>290.55</v>
      </c>
      <c r="AG158" s="1" t="s">
        <v>4642</v>
      </c>
      <c r="AH158" s="3">
        <v>290.55</v>
      </c>
      <c r="AI158" s="1" t="s">
        <v>4643</v>
      </c>
      <c r="AJ158" s="3">
        <v>290.55</v>
      </c>
      <c r="AK158" s="1" t="s">
        <v>4644</v>
      </c>
      <c r="AL158" s="3">
        <v>290.55</v>
      </c>
      <c r="AM158" s="1" t="s">
        <v>4645</v>
      </c>
      <c r="AN158" s="3">
        <v>290.55</v>
      </c>
      <c r="AO158" s="1"/>
      <c r="AP158" s="1"/>
      <c r="AQ158" s="1"/>
      <c r="AR158" s="1"/>
      <c r="AS158" s="1"/>
      <c r="AT158" s="1"/>
      <c r="AU158" s="1" t="s">
        <v>4646</v>
      </c>
      <c r="AV158" s="3">
        <v>290.55</v>
      </c>
      <c r="AW158" s="1" t="s">
        <v>4647</v>
      </c>
      <c r="AX158" s="3">
        <v>290.55</v>
      </c>
      <c r="AY158" s="1"/>
      <c r="AZ158" s="1"/>
      <c r="BA158" s="1"/>
      <c r="BB158" s="1"/>
      <c r="BC158" s="67" t="s">
        <v>4648</v>
      </c>
      <c r="BD158" s="67">
        <v>456.3</v>
      </c>
      <c r="BE158" s="67">
        <f t="shared" si="1"/>
        <v>2509.65</v>
      </c>
    </row>
    <row r="159">
      <c r="A159" s="1"/>
      <c r="B159" s="1"/>
      <c r="C159" s="1"/>
      <c r="D159" s="1"/>
      <c r="E159" s="1"/>
      <c r="F159" s="1"/>
      <c r="G159" s="1"/>
      <c r="H159" s="1"/>
      <c r="I159" s="1" t="s">
        <v>4649</v>
      </c>
      <c r="J159" s="3">
        <v>290.55</v>
      </c>
      <c r="K159" s="1" t="s">
        <v>4650</v>
      </c>
      <c r="L159" s="3">
        <v>290.55</v>
      </c>
      <c r="M159" s="1"/>
      <c r="N159" s="1"/>
      <c r="O159" s="1"/>
      <c r="P159" s="1"/>
      <c r="Q159" s="1" t="s">
        <v>4651</v>
      </c>
      <c r="R159" s="3">
        <v>290.55</v>
      </c>
      <c r="S159" s="1" t="s">
        <v>4652</v>
      </c>
      <c r="T159" s="3">
        <v>290.55</v>
      </c>
      <c r="U159" s="1"/>
      <c r="V159" s="1"/>
      <c r="W159" s="1"/>
      <c r="X159" s="1"/>
      <c r="Y159" s="1" t="s">
        <v>4653</v>
      </c>
      <c r="Z159" s="3">
        <v>290.55</v>
      </c>
      <c r="AA159" s="1"/>
      <c r="AB159" s="1"/>
      <c r="AC159" s="1" t="s">
        <v>4639</v>
      </c>
      <c r="AD159" s="3">
        <v>290.55</v>
      </c>
      <c r="AE159" s="1" t="s">
        <v>172</v>
      </c>
      <c r="AF159" s="3">
        <v>290.55</v>
      </c>
      <c r="AG159" s="1" t="s">
        <v>4654</v>
      </c>
      <c r="AH159" s="3">
        <v>290.55</v>
      </c>
      <c r="AI159" s="1" t="s">
        <v>4655</v>
      </c>
      <c r="AJ159" s="3">
        <v>290.55</v>
      </c>
      <c r="AK159" s="1" t="s">
        <v>4656</v>
      </c>
      <c r="AL159" s="3">
        <v>290.55</v>
      </c>
      <c r="AM159" s="1" t="s">
        <v>4657</v>
      </c>
      <c r="AN159" s="3">
        <v>290.55</v>
      </c>
      <c r="AO159" s="1"/>
      <c r="AP159" s="1"/>
      <c r="AQ159" s="1"/>
      <c r="AR159" s="1"/>
      <c r="AS159" s="1"/>
      <c r="AT159" s="1"/>
      <c r="AU159" s="1" t="s">
        <v>4658</v>
      </c>
      <c r="AV159" s="3">
        <v>290.55</v>
      </c>
      <c r="AW159" s="1" t="s">
        <v>4659</v>
      </c>
      <c r="AX159" s="3">
        <v>290.55</v>
      </c>
      <c r="AY159" s="1"/>
      <c r="AZ159" s="1"/>
      <c r="BA159" s="1"/>
      <c r="BB159" s="1"/>
      <c r="BC159" s="67" t="s">
        <v>4660</v>
      </c>
      <c r="BD159" s="67">
        <v>456.3</v>
      </c>
      <c r="BE159" s="67">
        <f t="shared" si="1"/>
        <v>2509.65</v>
      </c>
    </row>
    <row r="160">
      <c r="A160" s="1"/>
      <c r="B160" s="1"/>
      <c r="C160" s="1"/>
      <c r="D160" s="1"/>
      <c r="E160" s="1"/>
      <c r="F160" s="1"/>
      <c r="G160" s="1"/>
      <c r="H160" s="1"/>
      <c r="I160" s="1" t="s">
        <v>4661</v>
      </c>
      <c r="J160" s="3">
        <v>290.55</v>
      </c>
      <c r="K160" s="1" t="s">
        <v>4662</v>
      </c>
      <c r="L160" s="3">
        <v>290.55</v>
      </c>
      <c r="M160" s="1"/>
      <c r="N160" s="1"/>
      <c r="O160" s="1"/>
      <c r="P160" s="1"/>
      <c r="Q160" s="1" t="s">
        <v>4663</v>
      </c>
      <c r="R160" s="3">
        <v>290.55</v>
      </c>
      <c r="S160" s="1" t="s">
        <v>4664</v>
      </c>
      <c r="T160" s="3">
        <v>290.55</v>
      </c>
      <c r="U160" s="1"/>
      <c r="V160" s="1"/>
      <c r="W160" s="1"/>
      <c r="X160" s="1"/>
      <c r="Y160" s="1" t="s">
        <v>4665</v>
      </c>
      <c r="Z160" s="3">
        <v>290.55</v>
      </c>
      <c r="AA160" s="1"/>
      <c r="AB160" s="1"/>
      <c r="AC160" s="1" t="s">
        <v>4666</v>
      </c>
      <c r="AD160" s="3">
        <v>290.55</v>
      </c>
      <c r="AE160" s="1" t="s">
        <v>173</v>
      </c>
      <c r="AF160" s="3">
        <v>290.55</v>
      </c>
      <c r="AG160" s="1" t="s">
        <v>4667</v>
      </c>
      <c r="AH160" s="3">
        <v>290.55</v>
      </c>
      <c r="AI160" s="1" t="s">
        <v>4668</v>
      </c>
      <c r="AJ160" s="3">
        <v>290.55</v>
      </c>
      <c r="AK160" s="1" t="s">
        <v>4669</v>
      </c>
      <c r="AL160" s="3">
        <v>290.55</v>
      </c>
      <c r="AM160" s="1" t="s">
        <v>4670</v>
      </c>
      <c r="AN160" s="3">
        <v>290.55</v>
      </c>
      <c r="AO160" s="1"/>
      <c r="AP160" s="1"/>
      <c r="AQ160" s="1"/>
      <c r="AR160" s="1"/>
      <c r="AS160" s="1"/>
      <c r="AT160" s="1"/>
      <c r="AU160" s="1" t="s">
        <v>2903</v>
      </c>
      <c r="AV160" s="3">
        <v>290.55</v>
      </c>
      <c r="AW160" s="1" t="s">
        <v>4671</v>
      </c>
      <c r="AX160" s="3">
        <v>290.55</v>
      </c>
      <c r="AY160" s="1"/>
      <c r="AZ160" s="1"/>
      <c r="BA160" s="1"/>
      <c r="BB160" s="1"/>
      <c r="BC160" s="67" t="s">
        <v>4672</v>
      </c>
      <c r="BD160" s="67">
        <v>295.09</v>
      </c>
      <c r="BE160" s="67">
        <f t="shared" si="1"/>
        <v>1622.995</v>
      </c>
    </row>
    <row r="161">
      <c r="A161" s="1"/>
      <c r="B161" s="1"/>
      <c r="C161" s="1"/>
      <c r="D161" s="1"/>
      <c r="E161" s="1"/>
      <c r="F161" s="1"/>
      <c r="G161" s="1"/>
      <c r="H161" s="1"/>
      <c r="I161" s="1" t="s">
        <v>4673</v>
      </c>
      <c r="J161" s="3">
        <v>290.55</v>
      </c>
      <c r="K161" s="1" t="s">
        <v>4674</v>
      </c>
      <c r="L161" s="3">
        <v>290.55</v>
      </c>
      <c r="M161" s="1"/>
      <c r="N161" s="1"/>
      <c r="O161" s="1"/>
      <c r="P161" s="1"/>
      <c r="Q161" s="1" t="s">
        <v>242</v>
      </c>
      <c r="R161" s="3">
        <v>290.55</v>
      </c>
      <c r="S161" s="1" t="s">
        <v>4675</v>
      </c>
      <c r="T161" s="3">
        <v>290.55</v>
      </c>
      <c r="U161" s="1"/>
      <c r="V161" s="1"/>
      <c r="W161" s="1"/>
      <c r="X161" s="1"/>
      <c r="Y161" s="1" t="s">
        <v>4676</v>
      </c>
      <c r="Z161" s="3">
        <v>290.55</v>
      </c>
      <c r="AA161" s="1"/>
      <c r="AB161" s="1"/>
      <c r="AC161" s="1" t="s">
        <v>4677</v>
      </c>
      <c r="AD161" s="3">
        <v>290.55</v>
      </c>
      <c r="AE161" s="1" t="s">
        <v>174</v>
      </c>
      <c r="AF161" s="3">
        <v>290.55</v>
      </c>
      <c r="AG161" s="1" t="s">
        <v>4678</v>
      </c>
      <c r="AH161" s="3">
        <v>290.55</v>
      </c>
      <c r="AI161" s="1" t="s">
        <v>4679</v>
      </c>
      <c r="AJ161" s="3">
        <v>290.55</v>
      </c>
      <c r="AK161" s="1" t="s">
        <v>4680</v>
      </c>
      <c r="AL161" s="3">
        <v>290.55</v>
      </c>
      <c r="AM161" s="1" t="s">
        <v>4681</v>
      </c>
      <c r="AN161" s="3">
        <v>290.55</v>
      </c>
      <c r="AO161" s="1"/>
      <c r="AP161" s="1"/>
      <c r="AQ161" s="1"/>
      <c r="AR161" s="1"/>
      <c r="AS161" s="1"/>
      <c r="AT161" s="1"/>
      <c r="AU161" s="1" t="s">
        <v>4682</v>
      </c>
      <c r="AV161" s="3">
        <v>290.55</v>
      </c>
      <c r="AW161" s="1" t="s">
        <v>4683</v>
      </c>
      <c r="AX161" s="3">
        <v>290.55</v>
      </c>
      <c r="AY161" s="1"/>
      <c r="AZ161" s="1"/>
      <c r="BA161" s="1"/>
      <c r="BB161" s="1"/>
      <c r="BC161" s="67" t="s">
        <v>4684</v>
      </c>
      <c r="BD161" s="67">
        <v>295.09</v>
      </c>
      <c r="BE161" s="67">
        <f t="shared" si="1"/>
        <v>1622.995</v>
      </c>
    </row>
    <row r="162">
      <c r="A162" s="1"/>
      <c r="B162" s="1"/>
      <c r="C162" s="1"/>
      <c r="D162" s="1"/>
      <c r="E162" s="1"/>
      <c r="F162" s="1"/>
      <c r="G162" s="1"/>
      <c r="H162" s="1"/>
      <c r="I162" s="1" t="s">
        <v>4685</v>
      </c>
      <c r="J162" s="3">
        <v>290.55</v>
      </c>
      <c r="K162" s="1" t="s">
        <v>4686</v>
      </c>
      <c r="L162" s="3">
        <v>290.55</v>
      </c>
      <c r="M162" s="1"/>
      <c r="N162" s="1"/>
      <c r="O162" s="1"/>
      <c r="P162" s="1"/>
      <c r="Q162" s="1" t="s">
        <v>4687</v>
      </c>
      <c r="R162" s="3">
        <v>290.55</v>
      </c>
      <c r="S162" s="1" t="s">
        <v>4688</v>
      </c>
      <c r="T162" s="3">
        <v>290.55</v>
      </c>
      <c r="U162" s="1"/>
      <c r="V162" s="1"/>
      <c r="W162" s="1"/>
      <c r="X162" s="1"/>
      <c r="Y162" s="1" t="s">
        <v>4689</v>
      </c>
      <c r="Z162" s="3">
        <v>290.55</v>
      </c>
      <c r="AA162" s="1"/>
      <c r="AB162" s="1"/>
      <c r="AC162" s="1" t="s">
        <v>4690</v>
      </c>
      <c r="AD162" s="3">
        <v>290.55</v>
      </c>
      <c r="AE162" s="1" t="s">
        <v>175</v>
      </c>
      <c r="AF162" s="3">
        <v>290.55</v>
      </c>
      <c r="AG162" s="1" t="s">
        <v>4691</v>
      </c>
      <c r="AH162" s="3">
        <v>290.55</v>
      </c>
      <c r="AI162" s="1" t="s">
        <v>4692</v>
      </c>
      <c r="AJ162" s="3">
        <v>290.55</v>
      </c>
      <c r="AK162" s="1" t="s">
        <v>4693</v>
      </c>
      <c r="AL162" s="3">
        <v>290.55</v>
      </c>
      <c r="AM162" s="1" t="s">
        <v>4694</v>
      </c>
      <c r="AN162" s="3">
        <v>290.55</v>
      </c>
      <c r="AO162" s="1"/>
      <c r="AP162" s="1"/>
      <c r="AQ162" s="1"/>
      <c r="AR162" s="1"/>
      <c r="AS162" s="1"/>
      <c r="AT162" s="1"/>
      <c r="AU162" s="1" t="s">
        <v>4058</v>
      </c>
      <c r="AV162" s="3">
        <v>290.55</v>
      </c>
      <c r="AW162" s="1" t="s">
        <v>4695</v>
      </c>
      <c r="AX162" s="3">
        <v>290.55</v>
      </c>
      <c r="AY162" s="1"/>
      <c r="AZ162" s="1"/>
      <c r="BA162" s="1"/>
      <c r="BB162" s="1"/>
      <c r="BC162" s="67" t="s">
        <v>4696</v>
      </c>
      <c r="BD162" s="67">
        <v>398.91</v>
      </c>
      <c r="BE162" s="67">
        <f t="shared" si="1"/>
        <v>2194.005</v>
      </c>
    </row>
    <row r="163">
      <c r="A163" s="1"/>
      <c r="B163" s="1"/>
      <c r="C163" s="1"/>
      <c r="D163" s="1"/>
      <c r="E163" s="1"/>
      <c r="F163" s="1"/>
      <c r="G163" s="1"/>
      <c r="H163" s="1"/>
      <c r="I163" s="1" t="s">
        <v>4697</v>
      </c>
      <c r="J163" s="3">
        <v>290.55</v>
      </c>
      <c r="K163" s="1" t="s">
        <v>4269</v>
      </c>
      <c r="L163" s="3">
        <v>290.55</v>
      </c>
      <c r="M163" s="1"/>
      <c r="N163" s="1"/>
      <c r="O163" s="1"/>
      <c r="P163" s="1"/>
      <c r="Q163" s="1" t="s">
        <v>4698</v>
      </c>
      <c r="R163" s="3">
        <v>290.55</v>
      </c>
      <c r="S163" s="1" t="s">
        <v>331</v>
      </c>
      <c r="T163" s="3">
        <v>290.55</v>
      </c>
      <c r="U163" s="1"/>
      <c r="V163" s="1"/>
      <c r="W163" s="1"/>
      <c r="X163" s="1"/>
      <c r="Y163" s="1" t="s">
        <v>4699</v>
      </c>
      <c r="Z163" s="3">
        <v>290.55</v>
      </c>
      <c r="AA163" s="1"/>
      <c r="AB163" s="1"/>
      <c r="AC163" s="1" t="s">
        <v>4700</v>
      </c>
      <c r="AD163" s="3">
        <v>290.55</v>
      </c>
      <c r="AE163" s="1" t="s">
        <v>176</v>
      </c>
      <c r="AF163" s="3">
        <v>290.55</v>
      </c>
      <c r="AG163" s="1" t="s">
        <v>4701</v>
      </c>
      <c r="AH163" s="3">
        <v>290.55</v>
      </c>
      <c r="AI163" s="1" t="s">
        <v>4702</v>
      </c>
      <c r="AJ163" s="3">
        <v>290.55</v>
      </c>
      <c r="AK163" s="1" t="s">
        <v>4703</v>
      </c>
      <c r="AL163" s="3">
        <v>290.55</v>
      </c>
      <c r="AM163" s="1" t="s">
        <v>4704</v>
      </c>
      <c r="AN163" s="3">
        <v>290.55</v>
      </c>
      <c r="AO163" s="1"/>
      <c r="AP163" s="1"/>
      <c r="AQ163" s="1"/>
      <c r="AR163" s="1"/>
      <c r="AS163" s="1"/>
      <c r="AT163" s="1"/>
      <c r="AU163" s="1" t="s">
        <v>4705</v>
      </c>
      <c r="AV163" s="3">
        <v>290.55</v>
      </c>
      <c r="AW163" s="1" t="s">
        <v>4706</v>
      </c>
      <c r="AX163" s="3">
        <v>290.55</v>
      </c>
      <c r="AY163" s="1"/>
      <c r="AZ163" s="1"/>
      <c r="BA163" s="1"/>
      <c r="BB163" s="1"/>
      <c r="BC163" s="67" t="s">
        <v>288</v>
      </c>
      <c r="BD163" s="67">
        <v>295.09</v>
      </c>
      <c r="BE163" s="67">
        <f t="shared" si="1"/>
        <v>1622.995</v>
      </c>
    </row>
    <row r="164">
      <c r="A164" s="1"/>
      <c r="B164" s="1"/>
      <c r="C164" s="1"/>
      <c r="D164" s="1"/>
      <c r="E164" s="1"/>
      <c r="F164" s="1"/>
      <c r="G164" s="1"/>
      <c r="H164" s="1"/>
      <c r="I164" s="1" t="s">
        <v>4707</v>
      </c>
      <c r="J164" s="3">
        <v>290.55</v>
      </c>
      <c r="K164" s="1" t="s">
        <v>4708</v>
      </c>
      <c r="L164" s="3">
        <v>290.55</v>
      </c>
      <c r="M164" s="1"/>
      <c r="N164" s="1"/>
      <c r="O164" s="1"/>
      <c r="P164" s="1"/>
      <c r="Q164" s="1" t="s">
        <v>4709</v>
      </c>
      <c r="R164" s="3">
        <v>290.55</v>
      </c>
      <c r="S164" s="1" t="s">
        <v>332</v>
      </c>
      <c r="T164" s="3">
        <v>290.55</v>
      </c>
      <c r="U164" s="1"/>
      <c r="V164" s="1"/>
      <c r="W164" s="1"/>
      <c r="X164" s="1"/>
      <c r="Y164" s="1" t="s">
        <v>4710</v>
      </c>
      <c r="Z164" s="3">
        <v>290.55</v>
      </c>
      <c r="AA164" s="1"/>
      <c r="AB164" s="1"/>
      <c r="AC164" s="1" t="s">
        <v>4711</v>
      </c>
      <c r="AD164" s="3">
        <v>290.55</v>
      </c>
      <c r="AE164" s="1" t="s">
        <v>177</v>
      </c>
      <c r="AF164" s="3">
        <v>290.55</v>
      </c>
      <c r="AG164" s="1" t="s">
        <v>4712</v>
      </c>
      <c r="AH164" s="3">
        <v>290.55</v>
      </c>
      <c r="AI164" s="1" t="s">
        <v>4713</v>
      </c>
      <c r="AJ164" s="3">
        <v>290.55</v>
      </c>
      <c r="AK164" s="1" t="s">
        <v>4714</v>
      </c>
      <c r="AL164" s="3">
        <v>290.55</v>
      </c>
      <c r="AM164" s="1" t="s">
        <v>4715</v>
      </c>
      <c r="AN164" s="3">
        <v>290.55</v>
      </c>
      <c r="AO164" s="1"/>
      <c r="AP164" s="1"/>
      <c r="AQ164" s="1"/>
      <c r="AR164" s="1"/>
      <c r="AS164" s="1"/>
      <c r="AT164" s="1"/>
      <c r="AU164" s="1" t="s">
        <v>4716</v>
      </c>
      <c r="AV164" s="3">
        <v>290.55</v>
      </c>
      <c r="AW164" s="1" t="s">
        <v>4717</v>
      </c>
      <c r="AX164" s="3">
        <v>290.55</v>
      </c>
      <c r="AY164" s="1"/>
      <c r="AZ164" s="1"/>
      <c r="BA164" s="1"/>
      <c r="BB164" s="1"/>
      <c r="BC164" s="67" t="s">
        <v>528</v>
      </c>
      <c r="BD164" s="67">
        <v>398.91</v>
      </c>
      <c r="BE164" s="67">
        <f t="shared" si="1"/>
        <v>2194.005</v>
      </c>
    </row>
    <row r="165">
      <c r="A165" s="1"/>
      <c r="B165" s="1"/>
      <c r="C165" s="1"/>
      <c r="D165" s="1"/>
      <c r="E165" s="1"/>
      <c r="F165" s="1"/>
      <c r="G165" s="1"/>
      <c r="H165" s="1"/>
      <c r="I165" s="1" t="s">
        <v>4718</v>
      </c>
      <c r="J165" s="3">
        <v>290.55</v>
      </c>
      <c r="K165" s="1" t="s">
        <v>4719</v>
      </c>
      <c r="L165" s="3">
        <v>290.55</v>
      </c>
      <c r="M165" s="1"/>
      <c r="N165" s="1"/>
      <c r="O165" s="1"/>
      <c r="P165" s="1"/>
      <c r="Q165" s="1" t="s">
        <v>4720</v>
      </c>
      <c r="R165" s="3">
        <v>290.55</v>
      </c>
      <c r="S165" s="1" t="s">
        <v>4721</v>
      </c>
      <c r="T165" s="3">
        <v>290.55</v>
      </c>
      <c r="U165" s="1"/>
      <c r="V165" s="1"/>
      <c r="W165" s="1"/>
      <c r="X165" s="1"/>
      <c r="Y165" s="1" t="s">
        <v>4722</v>
      </c>
      <c r="Z165" s="3">
        <v>290.55</v>
      </c>
      <c r="AA165" s="1"/>
      <c r="AB165" s="1"/>
      <c r="AC165" s="1" t="s">
        <v>4396</v>
      </c>
      <c r="AD165" s="3">
        <v>290.55</v>
      </c>
      <c r="AE165" s="1" t="s">
        <v>178</v>
      </c>
      <c r="AF165" s="3">
        <v>290.55</v>
      </c>
      <c r="AG165" s="1" t="s">
        <v>4723</v>
      </c>
      <c r="AH165" s="3">
        <v>290.55</v>
      </c>
      <c r="AI165" s="1" t="s">
        <v>4724</v>
      </c>
      <c r="AJ165" s="3">
        <v>290.55</v>
      </c>
      <c r="AK165" s="1" t="s">
        <v>4725</v>
      </c>
      <c r="AL165" s="3">
        <v>290.55</v>
      </c>
      <c r="AM165" s="1" t="s">
        <v>4726</v>
      </c>
      <c r="AN165" s="3">
        <v>290.55</v>
      </c>
      <c r="AO165" s="1"/>
      <c r="AP165" s="1"/>
      <c r="AQ165" s="1"/>
      <c r="AR165" s="1"/>
      <c r="AS165" s="1"/>
      <c r="AT165" s="1"/>
      <c r="AU165" s="1" t="s">
        <v>4727</v>
      </c>
      <c r="AV165" s="3">
        <v>290.55</v>
      </c>
      <c r="AW165" s="1" t="s">
        <v>4728</v>
      </c>
      <c r="AX165" s="3">
        <v>290.55</v>
      </c>
      <c r="AY165" s="1"/>
      <c r="AZ165" s="1"/>
      <c r="BA165" s="1"/>
      <c r="BB165" s="1"/>
      <c r="BC165" s="67" t="s">
        <v>4729</v>
      </c>
      <c r="BD165" s="67">
        <v>385.32</v>
      </c>
      <c r="BE165" s="67">
        <f t="shared" si="1"/>
        <v>2119.26</v>
      </c>
    </row>
    <row r="166">
      <c r="A166" s="1"/>
      <c r="B166" s="1"/>
      <c r="C166" s="1"/>
      <c r="D166" s="1"/>
      <c r="E166" s="1"/>
      <c r="F166" s="1"/>
      <c r="G166" s="1"/>
      <c r="H166" s="1"/>
      <c r="I166" s="1" t="s">
        <v>4730</v>
      </c>
      <c r="J166" s="3">
        <v>290.55</v>
      </c>
      <c r="K166" s="1" t="s">
        <v>4731</v>
      </c>
      <c r="L166" s="3">
        <v>290.55</v>
      </c>
      <c r="M166" s="1"/>
      <c r="N166" s="1"/>
      <c r="O166" s="1"/>
      <c r="P166" s="1"/>
      <c r="Q166" s="1" t="s">
        <v>4732</v>
      </c>
      <c r="R166" s="3">
        <v>290.55</v>
      </c>
      <c r="S166" s="1" t="s">
        <v>4733</v>
      </c>
      <c r="T166" s="3">
        <v>290.55</v>
      </c>
      <c r="U166" s="1"/>
      <c r="V166" s="1"/>
      <c r="W166" s="1"/>
      <c r="X166" s="1"/>
      <c r="Y166" s="1" t="s">
        <v>4734</v>
      </c>
      <c r="Z166" s="3">
        <v>290.55</v>
      </c>
      <c r="AA166" s="1"/>
      <c r="AB166" s="1"/>
      <c r="AC166" s="1" t="s">
        <v>4735</v>
      </c>
      <c r="AD166" s="3">
        <v>290.55</v>
      </c>
      <c r="AE166" s="1" t="s">
        <v>36</v>
      </c>
      <c r="AF166" s="3">
        <v>290.55</v>
      </c>
      <c r="AG166" s="1" t="s">
        <v>4736</v>
      </c>
      <c r="AH166" s="3">
        <v>290.55</v>
      </c>
      <c r="AI166" s="1" t="s">
        <v>4737</v>
      </c>
      <c r="AJ166" s="3">
        <v>290.55</v>
      </c>
      <c r="AK166" s="1" t="s">
        <v>4738</v>
      </c>
      <c r="AL166" s="3">
        <v>290.55</v>
      </c>
      <c r="AM166" s="1" t="s">
        <v>4739</v>
      </c>
      <c r="AN166" s="3">
        <v>290.55</v>
      </c>
      <c r="AO166" s="1"/>
      <c r="AP166" s="1"/>
      <c r="AQ166" s="1"/>
      <c r="AR166" s="1"/>
      <c r="AS166" s="1"/>
      <c r="AT166" s="1"/>
      <c r="AU166" s="1" t="s">
        <v>4740</v>
      </c>
      <c r="AV166" s="3">
        <v>290.55</v>
      </c>
      <c r="AW166" s="1" t="s">
        <v>2518</v>
      </c>
      <c r="AX166" s="3">
        <v>290.55</v>
      </c>
      <c r="AY166" s="1"/>
      <c r="AZ166" s="1"/>
      <c r="BA166" s="1"/>
      <c r="BB166" s="1"/>
      <c r="BC166" s="67" t="s">
        <v>4741</v>
      </c>
      <c r="BD166" s="67">
        <v>456.3</v>
      </c>
      <c r="BE166" s="67">
        <f t="shared" si="1"/>
        <v>2509.65</v>
      </c>
    </row>
    <row r="167">
      <c r="A167" s="1"/>
      <c r="B167" s="1"/>
      <c r="C167" s="1"/>
      <c r="D167" s="1"/>
      <c r="E167" s="1"/>
      <c r="F167" s="1"/>
      <c r="G167" s="1"/>
      <c r="H167" s="1"/>
      <c r="I167" s="1" t="s">
        <v>4742</v>
      </c>
      <c r="J167" s="3">
        <v>290.55</v>
      </c>
      <c r="K167" s="1" t="s">
        <v>4743</v>
      </c>
      <c r="L167" s="3">
        <v>290.55</v>
      </c>
      <c r="M167" s="1"/>
      <c r="N167" s="1"/>
      <c r="O167" s="1"/>
      <c r="P167" s="1"/>
      <c r="Q167" s="1" t="s">
        <v>4744</v>
      </c>
      <c r="R167" s="3">
        <v>290.55</v>
      </c>
      <c r="S167" s="1" t="s">
        <v>4745</v>
      </c>
      <c r="T167" s="3">
        <v>290.55</v>
      </c>
      <c r="U167" s="1"/>
      <c r="V167" s="1"/>
      <c r="W167" s="1"/>
      <c r="X167" s="1"/>
      <c r="Y167" s="1" t="s">
        <v>4746</v>
      </c>
      <c r="Z167" s="3">
        <v>290.55</v>
      </c>
      <c r="AA167" s="1"/>
      <c r="AB167" s="1"/>
      <c r="AC167" s="1" t="s">
        <v>4747</v>
      </c>
      <c r="AD167" s="3">
        <v>290.55</v>
      </c>
      <c r="AE167" s="1" t="s">
        <v>179</v>
      </c>
      <c r="AF167" s="3">
        <v>290.55</v>
      </c>
      <c r="AG167" s="1" t="s">
        <v>4748</v>
      </c>
      <c r="AH167" s="3">
        <v>290.55</v>
      </c>
      <c r="AI167" s="1" t="s">
        <v>4749</v>
      </c>
      <c r="AJ167" s="3">
        <v>290.55</v>
      </c>
      <c r="AK167" s="1" t="s">
        <v>617</v>
      </c>
      <c r="AL167" s="3">
        <v>290.55</v>
      </c>
      <c r="AM167" s="1" t="s">
        <v>4750</v>
      </c>
      <c r="AN167" s="3">
        <v>290.55</v>
      </c>
      <c r="AO167" s="1"/>
      <c r="AP167" s="1"/>
      <c r="AQ167" s="1"/>
      <c r="AR167" s="1"/>
      <c r="AS167" s="1"/>
      <c r="AT167" s="1"/>
      <c r="AU167" s="1" t="s">
        <v>4751</v>
      </c>
      <c r="AV167" s="3">
        <v>290.55</v>
      </c>
      <c r="AW167" s="1" t="s">
        <v>4752</v>
      </c>
      <c r="AX167" s="3">
        <v>290.55</v>
      </c>
      <c r="AY167" s="1"/>
      <c r="AZ167" s="1"/>
      <c r="BA167" s="1"/>
      <c r="BB167" s="1"/>
      <c r="BC167" s="67" t="s">
        <v>4753</v>
      </c>
      <c r="BD167" s="67">
        <v>398.91</v>
      </c>
      <c r="BE167" s="67">
        <f t="shared" si="1"/>
        <v>2194.005</v>
      </c>
    </row>
    <row r="168">
      <c r="A168" s="1"/>
      <c r="B168" s="1"/>
      <c r="C168" s="1"/>
      <c r="D168" s="1"/>
      <c r="E168" s="1"/>
      <c r="F168" s="1"/>
      <c r="G168" s="1"/>
      <c r="H168" s="1"/>
      <c r="I168" s="1" t="s">
        <v>4754</v>
      </c>
      <c r="J168" s="3">
        <v>290.55</v>
      </c>
      <c r="K168" s="1" t="s">
        <v>4755</v>
      </c>
      <c r="L168" s="3">
        <v>290.55</v>
      </c>
      <c r="M168" s="1"/>
      <c r="N168" s="1"/>
      <c r="O168" s="1"/>
      <c r="P168" s="1"/>
      <c r="Q168" s="1" t="s">
        <v>4756</v>
      </c>
      <c r="R168" s="3">
        <v>290.55</v>
      </c>
      <c r="S168" s="1" t="s">
        <v>4757</v>
      </c>
      <c r="T168" s="3">
        <v>290.55</v>
      </c>
      <c r="U168" s="1"/>
      <c r="V168" s="1"/>
      <c r="W168" s="1"/>
      <c r="X168" s="1"/>
      <c r="Y168" s="1" t="s">
        <v>4758</v>
      </c>
      <c r="Z168" s="3">
        <v>290.55</v>
      </c>
      <c r="AA168" s="1"/>
      <c r="AB168" s="1"/>
      <c r="AC168" s="1" t="s">
        <v>4136</v>
      </c>
      <c r="AD168" s="3">
        <v>290.55</v>
      </c>
      <c r="AE168" s="1" t="s">
        <v>180</v>
      </c>
      <c r="AF168" s="3">
        <v>290.55</v>
      </c>
      <c r="AG168" s="1" t="s">
        <v>4759</v>
      </c>
      <c r="AH168" s="3">
        <v>290.55</v>
      </c>
      <c r="AI168" s="1" t="s">
        <v>4760</v>
      </c>
      <c r="AJ168" s="3">
        <v>290.55</v>
      </c>
      <c r="AK168" s="1" t="s">
        <v>4761</v>
      </c>
      <c r="AL168" s="3">
        <v>290.55</v>
      </c>
      <c r="AM168" s="1" t="s">
        <v>4762</v>
      </c>
      <c r="AN168" s="3">
        <v>290.55</v>
      </c>
      <c r="AO168" s="1"/>
      <c r="AP168" s="1"/>
      <c r="AQ168" s="1"/>
      <c r="AR168" s="1"/>
      <c r="AS168" s="1"/>
      <c r="AT168" s="1"/>
      <c r="AU168" s="1" t="s">
        <v>4763</v>
      </c>
      <c r="AV168" s="3">
        <v>290.55</v>
      </c>
      <c r="AW168" s="1" t="s">
        <v>4764</v>
      </c>
      <c r="AX168" s="3">
        <v>290.55</v>
      </c>
      <c r="AY168" s="1"/>
      <c r="AZ168" s="1"/>
      <c r="BA168" s="1"/>
      <c r="BB168" s="1"/>
      <c r="BC168" s="67" t="s">
        <v>4765</v>
      </c>
      <c r="BD168" s="67">
        <v>385.32</v>
      </c>
      <c r="BE168" s="67">
        <f t="shared" si="1"/>
        <v>2119.26</v>
      </c>
    </row>
    <row r="169">
      <c r="A169" s="1"/>
      <c r="B169" s="1"/>
      <c r="C169" s="1"/>
      <c r="D169" s="1"/>
      <c r="E169" s="1"/>
      <c r="F169" s="1"/>
      <c r="G169" s="1"/>
      <c r="H169" s="1"/>
      <c r="I169" s="1" t="s">
        <v>4766</v>
      </c>
      <c r="J169" s="3">
        <v>290.55</v>
      </c>
      <c r="K169" s="1" t="s">
        <v>4767</v>
      </c>
      <c r="L169" s="3">
        <v>290.55</v>
      </c>
      <c r="M169" s="1"/>
      <c r="N169" s="1"/>
      <c r="O169" s="1"/>
      <c r="P169" s="1"/>
      <c r="Q169" s="1" t="s">
        <v>4768</v>
      </c>
      <c r="R169" s="3">
        <v>290.55</v>
      </c>
      <c r="S169" s="1" t="s">
        <v>4769</v>
      </c>
      <c r="T169" s="3">
        <v>290.55</v>
      </c>
      <c r="U169" s="1"/>
      <c r="V169" s="1"/>
      <c r="W169" s="1"/>
      <c r="X169" s="1"/>
      <c r="Y169" s="1" t="s">
        <v>4770</v>
      </c>
      <c r="Z169" s="3">
        <v>290.55</v>
      </c>
      <c r="AA169" s="1"/>
      <c r="AB169" s="1"/>
      <c r="AC169" s="1" t="s">
        <v>331</v>
      </c>
      <c r="AD169" s="3">
        <v>290.55</v>
      </c>
      <c r="AE169" s="1" t="s">
        <v>181</v>
      </c>
      <c r="AF169" s="3">
        <v>290.55</v>
      </c>
      <c r="AG169" s="1" t="s">
        <v>4771</v>
      </c>
      <c r="AH169" s="3">
        <v>290.55</v>
      </c>
      <c r="AI169" s="1" t="s">
        <v>4772</v>
      </c>
      <c r="AJ169" s="3">
        <v>290.55</v>
      </c>
      <c r="AK169" s="1"/>
      <c r="AL169" s="1"/>
      <c r="AM169" s="1" t="s">
        <v>4773</v>
      </c>
      <c r="AN169" s="3">
        <v>290.55</v>
      </c>
      <c r="AO169" s="1"/>
      <c r="AP169" s="1"/>
      <c r="AQ169" s="1"/>
      <c r="AR169" s="1"/>
      <c r="AS169" s="1"/>
      <c r="AT169" s="1"/>
      <c r="AU169" s="1" t="s">
        <v>4774</v>
      </c>
      <c r="AV169" s="3">
        <v>290.55</v>
      </c>
      <c r="AW169" s="1" t="s">
        <v>4775</v>
      </c>
      <c r="AX169" s="3">
        <v>290.55</v>
      </c>
      <c r="AY169" s="1"/>
      <c r="AZ169" s="1"/>
      <c r="BA169" s="1"/>
      <c r="BB169" s="1"/>
      <c r="BC169" s="67" t="s">
        <v>4776</v>
      </c>
      <c r="BD169" s="67">
        <v>385.32</v>
      </c>
      <c r="BE169" s="67">
        <f t="shared" si="1"/>
        <v>2119.26</v>
      </c>
    </row>
    <row r="170">
      <c r="A170" s="1"/>
      <c r="B170" s="1"/>
      <c r="C170" s="1"/>
      <c r="D170" s="1"/>
      <c r="E170" s="1"/>
      <c r="F170" s="1"/>
      <c r="G170" s="1"/>
      <c r="H170" s="1"/>
      <c r="I170" s="1" t="s">
        <v>4777</v>
      </c>
      <c r="J170" s="3">
        <v>290.55</v>
      </c>
      <c r="K170" s="1" t="s">
        <v>4778</v>
      </c>
      <c r="L170" s="3">
        <v>290.55</v>
      </c>
      <c r="M170" s="1"/>
      <c r="N170" s="1"/>
      <c r="O170" s="1"/>
      <c r="P170" s="1"/>
      <c r="Q170" s="1" t="s">
        <v>4779</v>
      </c>
      <c r="R170" s="3">
        <v>290.55</v>
      </c>
      <c r="S170" s="1" t="s">
        <v>4780</v>
      </c>
      <c r="T170" s="3">
        <v>290.55</v>
      </c>
      <c r="U170" s="1"/>
      <c r="V170" s="1"/>
      <c r="W170" s="1"/>
      <c r="X170" s="1"/>
      <c r="Y170" s="1" t="s">
        <v>4781</v>
      </c>
      <c r="Z170" s="3">
        <v>290.55</v>
      </c>
      <c r="AA170" s="1"/>
      <c r="AB170" s="1"/>
      <c r="AC170" s="1" t="s">
        <v>332</v>
      </c>
      <c r="AD170" s="3">
        <v>290.55</v>
      </c>
      <c r="AE170" s="1" t="s">
        <v>182</v>
      </c>
      <c r="AF170" s="3">
        <v>290.55</v>
      </c>
      <c r="AG170" s="1" t="s">
        <v>4782</v>
      </c>
      <c r="AH170" s="3">
        <v>290.55</v>
      </c>
      <c r="AI170" s="1" t="s">
        <v>4783</v>
      </c>
      <c r="AJ170" s="3">
        <v>290.55</v>
      </c>
      <c r="AK170" s="1"/>
      <c r="AL170" s="1"/>
      <c r="AM170" s="1" t="s">
        <v>4784</v>
      </c>
      <c r="AN170" s="3">
        <v>290.55</v>
      </c>
      <c r="AO170" s="1"/>
      <c r="AP170" s="1"/>
      <c r="AQ170" s="1"/>
      <c r="AR170" s="1"/>
      <c r="AS170" s="1"/>
      <c r="AT170" s="1"/>
      <c r="AU170" s="1" t="s">
        <v>4785</v>
      </c>
      <c r="AV170" s="3">
        <v>290.55</v>
      </c>
      <c r="AW170" s="1" t="s">
        <v>4786</v>
      </c>
      <c r="AX170" s="3">
        <v>290.55</v>
      </c>
      <c r="AY170" s="1"/>
      <c r="AZ170" s="1"/>
      <c r="BA170" s="1"/>
      <c r="BB170" s="1"/>
      <c r="BC170" s="67" t="s">
        <v>4787</v>
      </c>
      <c r="BD170" s="67">
        <v>385.32</v>
      </c>
      <c r="BE170" s="67">
        <f t="shared" si="1"/>
        <v>2119.26</v>
      </c>
    </row>
    <row r="171">
      <c r="A171" s="1"/>
      <c r="B171" s="1"/>
      <c r="C171" s="1"/>
      <c r="D171" s="1"/>
      <c r="E171" s="1"/>
      <c r="F171" s="1"/>
      <c r="G171" s="1"/>
      <c r="H171" s="1"/>
      <c r="I171" s="1" t="s">
        <v>4788</v>
      </c>
      <c r="J171" s="3">
        <v>290.55</v>
      </c>
      <c r="K171" s="1" t="s">
        <v>4789</v>
      </c>
      <c r="L171" s="3">
        <v>290.55</v>
      </c>
      <c r="M171" s="1"/>
      <c r="N171" s="1"/>
      <c r="O171" s="1"/>
      <c r="P171" s="1"/>
      <c r="Q171" s="1" t="s">
        <v>4790</v>
      </c>
      <c r="R171" s="3">
        <v>290.55</v>
      </c>
      <c r="S171" s="1" t="s">
        <v>4791</v>
      </c>
      <c r="T171" s="3">
        <v>290.55</v>
      </c>
      <c r="U171" s="1"/>
      <c r="V171" s="1"/>
      <c r="W171" s="1"/>
      <c r="X171" s="1"/>
      <c r="Y171" s="1" t="s">
        <v>4792</v>
      </c>
      <c r="Z171" s="3">
        <v>290.55</v>
      </c>
      <c r="AA171" s="1"/>
      <c r="AB171" s="1"/>
      <c r="AC171" s="1" t="s">
        <v>4721</v>
      </c>
      <c r="AD171" s="3">
        <v>290.55</v>
      </c>
      <c r="AE171" s="1" t="s">
        <v>183</v>
      </c>
      <c r="AF171" s="3">
        <v>290.55</v>
      </c>
      <c r="AG171" s="1" t="s">
        <v>4793</v>
      </c>
      <c r="AH171" s="3">
        <v>290.55</v>
      </c>
      <c r="AI171" s="1" t="s">
        <v>4794</v>
      </c>
      <c r="AJ171" s="3">
        <v>290.55</v>
      </c>
      <c r="AK171" s="1"/>
      <c r="AL171" s="1"/>
      <c r="AM171" s="1" t="s">
        <v>4795</v>
      </c>
      <c r="AN171" s="3">
        <v>290.55</v>
      </c>
      <c r="AO171" s="1"/>
      <c r="AP171" s="1"/>
      <c r="AQ171" s="1"/>
      <c r="AR171" s="1"/>
      <c r="AS171" s="1"/>
      <c r="AT171" s="1"/>
      <c r="AU171" s="1" t="s">
        <v>4796</v>
      </c>
      <c r="AV171" s="3">
        <v>290.55</v>
      </c>
      <c r="AW171" s="1" t="s">
        <v>4797</v>
      </c>
      <c r="AX171" s="3">
        <v>290.55</v>
      </c>
      <c r="AY171" s="1"/>
      <c r="AZ171" s="1"/>
      <c r="BA171" s="1"/>
      <c r="BB171" s="1"/>
      <c r="BC171" s="67" t="s">
        <v>4798</v>
      </c>
      <c r="BD171" s="67">
        <v>295.09</v>
      </c>
      <c r="BE171" s="67">
        <f t="shared" si="1"/>
        <v>1622.995</v>
      </c>
    </row>
    <row r="172">
      <c r="A172" s="1"/>
      <c r="B172" s="1"/>
      <c r="C172" s="1"/>
      <c r="D172" s="1"/>
      <c r="E172" s="1"/>
      <c r="F172" s="1"/>
      <c r="G172" s="1"/>
      <c r="H172" s="1"/>
      <c r="I172" s="1" t="s">
        <v>4799</v>
      </c>
      <c r="J172" s="3">
        <v>290.55</v>
      </c>
      <c r="K172" s="1" t="s">
        <v>4800</v>
      </c>
      <c r="L172" s="3">
        <v>290.55</v>
      </c>
      <c r="M172" s="1"/>
      <c r="N172" s="1"/>
      <c r="O172" s="1"/>
      <c r="P172" s="1"/>
      <c r="Q172" s="1" t="s">
        <v>4801</v>
      </c>
      <c r="R172" s="3">
        <v>290.55</v>
      </c>
      <c r="S172" s="1" t="s">
        <v>4802</v>
      </c>
      <c r="T172" s="3">
        <v>290.55</v>
      </c>
      <c r="U172" s="1"/>
      <c r="V172" s="1"/>
      <c r="W172" s="1"/>
      <c r="X172" s="1"/>
      <c r="Y172" s="1" t="s">
        <v>4803</v>
      </c>
      <c r="Z172" s="3">
        <v>290.55</v>
      </c>
      <c r="AA172" s="1"/>
      <c r="AB172" s="1"/>
      <c r="AC172" s="1" t="s">
        <v>4757</v>
      </c>
      <c r="AD172" s="3">
        <v>290.55</v>
      </c>
      <c r="AE172" s="1" t="s">
        <v>184</v>
      </c>
      <c r="AF172" s="3">
        <v>290.55</v>
      </c>
      <c r="AG172" s="1" t="s">
        <v>4804</v>
      </c>
      <c r="AH172" s="3">
        <v>290.55</v>
      </c>
      <c r="AI172" s="1" t="s">
        <v>4805</v>
      </c>
      <c r="AJ172" s="3">
        <v>290.55</v>
      </c>
      <c r="AK172" s="1"/>
      <c r="AL172" s="1"/>
      <c r="AM172" s="1" t="s">
        <v>4806</v>
      </c>
      <c r="AN172" s="3">
        <v>290.55</v>
      </c>
      <c r="AO172" s="1"/>
      <c r="AP172" s="1"/>
      <c r="AQ172" s="1"/>
      <c r="AR172" s="1"/>
      <c r="AS172" s="1"/>
      <c r="AT172" s="1"/>
      <c r="AU172" s="1" t="s">
        <v>4807</v>
      </c>
      <c r="AV172" s="3">
        <v>290.55</v>
      </c>
      <c r="AW172" s="1" t="s">
        <v>4808</v>
      </c>
      <c r="AX172" s="3">
        <v>290.55</v>
      </c>
      <c r="AY172" s="1"/>
      <c r="AZ172" s="1"/>
      <c r="BA172" s="1"/>
      <c r="BB172" s="1"/>
      <c r="BC172" s="67" t="s">
        <v>4809</v>
      </c>
      <c r="BD172" s="67">
        <v>398.91</v>
      </c>
      <c r="BE172" s="67">
        <f t="shared" si="1"/>
        <v>2194.005</v>
      </c>
    </row>
    <row r="173">
      <c r="A173" s="1"/>
      <c r="B173" s="1"/>
      <c r="C173" s="1"/>
      <c r="D173" s="1"/>
      <c r="E173" s="1"/>
      <c r="F173" s="1"/>
      <c r="G173" s="1"/>
      <c r="H173" s="1"/>
      <c r="I173" s="1" t="s">
        <v>4810</v>
      </c>
      <c r="J173" s="3">
        <v>290.55</v>
      </c>
      <c r="K173" s="1" t="s">
        <v>4811</v>
      </c>
      <c r="L173" s="3">
        <v>290.55</v>
      </c>
      <c r="M173" s="1"/>
      <c r="N173" s="1"/>
      <c r="O173" s="1"/>
      <c r="P173" s="1"/>
      <c r="Q173" s="1" t="s">
        <v>4812</v>
      </c>
      <c r="R173" s="3">
        <v>290.55</v>
      </c>
      <c r="S173" s="1" t="s">
        <v>4813</v>
      </c>
      <c r="T173" s="3">
        <v>290.55</v>
      </c>
      <c r="U173" s="1"/>
      <c r="V173" s="1"/>
      <c r="W173" s="1"/>
      <c r="X173" s="1"/>
      <c r="Y173" s="1" t="s">
        <v>4814</v>
      </c>
      <c r="Z173" s="3">
        <v>290.55</v>
      </c>
      <c r="AA173" s="1"/>
      <c r="AB173" s="1"/>
      <c r="AC173" s="1" t="s">
        <v>4815</v>
      </c>
      <c r="AD173" s="3">
        <v>290.55</v>
      </c>
      <c r="AE173" s="1" t="s">
        <v>185</v>
      </c>
      <c r="AF173" s="3">
        <v>290.55</v>
      </c>
      <c r="AG173" s="1" t="s">
        <v>4816</v>
      </c>
      <c r="AH173" s="3">
        <v>290.55</v>
      </c>
      <c r="AI173" s="1" t="s">
        <v>4817</v>
      </c>
      <c r="AJ173" s="3">
        <v>290.55</v>
      </c>
      <c r="AK173" s="1"/>
      <c r="AL173" s="1"/>
      <c r="AM173" s="1" t="s">
        <v>4818</v>
      </c>
      <c r="AN173" s="3">
        <v>290.55</v>
      </c>
      <c r="AO173" s="1"/>
      <c r="AP173" s="1"/>
      <c r="AQ173" s="1"/>
      <c r="AR173" s="1"/>
      <c r="AS173" s="1"/>
      <c r="AT173" s="1"/>
      <c r="AU173" s="1" t="s">
        <v>4819</v>
      </c>
      <c r="AV173" s="3">
        <v>290.55</v>
      </c>
      <c r="AW173" s="1" t="s">
        <v>4820</v>
      </c>
      <c r="AX173" s="3">
        <v>290.55</v>
      </c>
      <c r="AY173" s="1"/>
      <c r="AZ173" s="1"/>
      <c r="BA173" s="1"/>
      <c r="BB173" s="1"/>
      <c r="BC173" s="67" t="s">
        <v>4821</v>
      </c>
      <c r="BD173" s="67">
        <v>385.32</v>
      </c>
      <c r="BE173" s="67">
        <f t="shared" si="1"/>
        <v>2119.26</v>
      </c>
    </row>
    <row r="174">
      <c r="A174" s="1"/>
      <c r="B174" s="1"/>
      <c r="C174" s="1"/>
      <c r="D174" s="1"/>
      <c r="E174" s="1"/>
      <c r="F174" s="1"/>
      <c r="G174" s="1"/>
      <c r="H174" s="1"/>
      <c r="I174" s="1" t="s">
        <v>4822</v>
      </c>
      <c r="J174" s="3">
        <v>290.55</v>
      </c>
      <c r="K174" s="1" t="s">
        <v>4823</v>
      </c>
      <c r="L174" s="3">
        <v>290.55</v>
      </c>
      <c r="M174" s="1"/>
      <c r="N174" s="1"/>
      <c r="O174" s="1"/>
      <c r="P174" s="1"/>
      <c r="Q174" s="1" t="s">
        <v>4824</v>
      </c>
      <c r="R174" s="3">
        <v>290.55</v>
      </c>
      <c r="S174" s="1" t="s">
        <v>4825</v>
      </c>
      <c r="T174" s="3">
        <v>290.55</v>
      </c>
      <c r="U174" s="1"/>
      <c r="V174" s="1"/>
      <c r="W174" s="1"/>
      <c r="X174" s="1"/>
      <c r="Y174" s="1" t="s">
        <v>4826</v>
      </c>
      <c r="Z174" s="3">
        <v>290.55</v>
      </c>
      <c r="AA174" s="1"/>
      <c r="AB174" s="1"/>
      <c r="AC174" s="1" t="s">
        <v>4827</v>
      </c>
      <c r="AD174" s="3">
        <v>290.55</v>
      </c>
      <c r="AE174" s="1" t="s">
        <v>186</v>
      </c>
      <c r="AF174" s="3">
        <v>290.55</v>
      </c>
      <c r="AG174" s="1" t="s">
        <v>4828</v>
      </c>
      <c r="AH174" s="3">
        <v>290.55</v>
      </c>
      <c r="AI174" s="1" t="s">
        <v>4829</v>
      </c>
      <c r="AJ174" s="3">
        <v>290.55</v>
      </c>
      <c r="AK174" s="1"/>
      <c r="AL174" s="1"/>
      <c r="AM174" s="1" t="s">
        <v>4830</v>
      </c>
      <c r="AN174" s="3">
        <v>290.55</v>
      </c>
      <c r="AO174" s="1"/>
      <c r="AP174" s="1"/>
      <c r="AQ174" s="1"/>
      <c r="AR174" s="1"/>
      <c r="AS174" s="1"/>
      <c r="AT174" s="1"/>
      <c r="AU174" s="1" t="s">
        <v>4831</v>
      </c>
      <c r="AV174" s="3">
        <v>290.55</v>
      </c>
      <c r="AW174" s="1" t="s">
        <v>4832</v>
      </c>
      <c r="AX174" s="3">
        <v>290.55</v>
      </c>
      <c r="AY174" s="1"/>
      <c r="AZ174" s="1"/>
      <c r="BA174" s="1"/>
      <c r="BB174" s="1"/>
      <c r="BC174" s="67" t="s">
        <v>4833</v>
      </c>
      <c r="BD174" s="67">
        <v>398.91</v>
      </c>
      <c r="BE174" s="67">
        <f t="shared" si="1"/>
        <v>2194.005</v>
      </c>
    </row>
    <row r="175">
      <c r="A175" s="1"/>
      <c r="B175" s="1"/>
      <c r="C175" s="1"/>
      <c r="D175" s="1"/>
      <c r="E175" s="1"/>
      <c r="F175" s="1"/>
      <c r="G175" s="1"/>
      <c r="H175" s="1"/>
      <c r="I175" s="1" t="s">
        <v>4834</v>
      </c>
      <c r="J175" s="3">
        <v>290.55</v>
      </c>
      <c r="K175" s="1" t="s">
        <v>4835</v>
      </c>
      <c r="L175" s="3">
        <v>290.55</v>
      </c>
      <c r="M175" s="1"/>
      <c r="N175" s="1"/>
      <c r="O175" s="1"/>
      <c r="P175" s="1"/>
      <c r="Q175" s="1" t="s">
        <v>4836</v>
      </c>
      <c r="R175" s="3">
        <v>290.55</v>
      </c>
      <c r="S175" s="1" t="s">
        <v>4837</v>
      </c>
      <c r="T175" s="3">
        <v>290.55</v>
      </c>
      <c r="U175" s="1"/>
      <c r="V175" s="1"/>
      <c r="W175" s="1"/>
      <c r="X175" s="1"/>
      <c r="Y175" s="1" t="s">
        <v>4838</v>
      </c>
      <c r="Z175" s="3">
        <v>290.55</v>
      </c>
      <c r="AA175" s="1"/>
      <c r="AB175" s="1"/>
      <c r="AC175" s="1" t="s">
        <v>4839</v>
      </c>
      <c r="AD175" s="3">
        <v>290.55</v>
      </c>
      <c r="AE175" s="1" t="s">
        <v>187</v>
      </c>
      <c r="AF175" s="3">
        <v>290.55</v>
      </c>
      <c r="AG175" s="1" t="s">
        <v>4840</v>
      </c>
      <c r="AH175" s="3">
        <v>290.55</v>
      </c>
      <c r="AI175" s="1" t="s">
        <v>4841</v>
      </c>
      <c r="AJ175" s="3">
        <v>290.55</v>
      </c>
      <c r="AK175" s="1"/>
      <c r="AL175" s="1"/>
      <c r="AM175" s="1" t="s">
        <v>4842</v>
      </c>
      <c r="AN175" s="3">
        <v>290.55</v>
      </c>
      <c r="AO175" s="1"/>
      <c r="AP175" s="1"/>
      <c r="AQ175" s="1"/>
      <c r="AR175" s="1"/>
      <c r="AS175" s="1"/>
      <c r="AT175" s="1"/>
      <c r="AU175" s="1" t="s">
        <v>4843</v>
      </c>
      <c r="AV175" s="3">
        <v>290.55</v>
      </c>
      <c r="AW175" s="1" t="s">
        <v>4844</v>
      </c>
      <c r="AX175" s="3">
        <v>290.55</v>
      </c>
      <c r="AY175" s="1"/>
      <c r="AZ175" s="1"/>
      <c r="BA175" s="1"/>
      <c r="BB175" s="1"/>
      <c r="BC175" s="67" t="s">
        <v>4833</v>
      </c>
      <c r="BD175" s="67">
        <v>456.3</v>
      </c>
      <c r="BE175" s="67">
        <f t="shared" si="1"/>
        <v>2509.65</v>
      </c>
    </row>
    <row r="176">
      <c r="A176" s="1"/>
      <c r="B176" s="1"/>
      <c r="C176" s="1"/>
      <c r="D176" s="1"/>
      <c r="E176" s="1"/>
      <c r="F176" s="1"/>
      <c r="G176" s="1"/>
      <c r="H176" s="1"/>
      <c r="I176" s="1" t="s">
        <v>4845</v>
      </c>
      <c r="J176" s="3">
        <v>290.55</v>
      </c>
      <c r="K176" s="1" t="s">
        <v>4846</v>
      </c>
      <c r="L176" s="3">
        <v>290.55</v>
      </c>
      <c r="M176" s="1"/>
      <c r="N176" s="1"/>
      <c r="O176" s="1"/>
      <c r="P176" s="1"/>
      <c r="Q176" s="1" t="s">
        <v>4847</v>
      </c>
      <c r="R176" s="3">
        <v>290.55</v>
      </c>
      <c r="S176" s="1" t="s">
        <v>4848</v>
      </c>
      <c r="T176" s="3">
        <v>290.55</v>
      </c>
      <c r="U176" s="1"/>
      <c r="V176" s="1"/>
      <c r="W176" s="1"/>
      <c r="X176" s="1"/>
      <c r="Y176" s="1" t="s">
        <v>4849</v>
      </c>
      <c r="Z176" s="3">
        <v>290.55</v>
      </c>
      <c r="AA176" s="1"/>
      <c r="AB176" s="1"/>
      <c r="AC176" s="1" t="s">
        <v>4850</v>
      </c>
      <c r="AD176" s="3">
        <v>290.55</v>
      </c>
      <c r="AE176" s="1" t="s">
        <v>188</v>
      </c>
      <c r="AF176" s="3">
        <v>290.55</v>
      </c>
      <c r="AG176" s="1" t="s">
        <v>4851</v>
      </c>
      <c r="AH176" s="3">
        <v>290.55</v>
      </c>
      <c r="AI176" s="1" t="s">
        <v>4852</v>
      </c>
      <c r="AJ176" s="3">
        <v>290.55</v>
      </c>
      <c r="AK176" s="1"/>
      <c r="AL176" s="1"/>
      <c r="AM176" s="1" t="s">
        <v>4853</v>
      </c>
      <c r="AN176" s="3">
        <v>290.55</v>
      </c>
      <c r="AO176" s="1"/>
      <c r="AP176" s="1"/>
      <c r="AQ176" s="1"/>
      <c r="AR176" s="1"/>
      <c r="AS176" s="1"/>
      <c r="AT176" s="1"/>
      <c r="AU176" s="1" t="s">
        <v>4732</v>
      </c>
      <c r="AV176" s="3">
        <v>290.55</v>
      </c>
      <c r="AW176" s="1" t="s">
        <v>4854</v>
      </c>
      <c r="AX176" s="3">
        <v>290.55</v>
      </c>
      <c r="AY176" s="1"/>
      <c r="AZ176" s="1"/>
      <c r="BA176" s="1"/>
      <c r="BB176" s="1"/>
      <c r="BC176" s="67" t="s">
        <v>4855</v>
      </c>
      <c r="BD176" s="67">
        <v>295.09</v>
      </c>
      <c r="BE176" s="67">
        <f t="shared" si="1"/>
        <v>1622.995</v>
      </c>
    </row>
    <row r="177">
      <c r="A177" s="1"/>
      <c r="B177" s="1"/>
      <c r="C177" s="1"/>
      <c r="D177" s="1"/>
      <c r="E177" s="1"/>
      <c r="F177" s="1"/>
      <c r="G177" s="1"/>
      <c r="H177" s="1"/>
      <c r="I177" s="1" t="s">
        <v>4856</v>
      </c>
      <c r="J177" s="3">
        <v>290.55</v>
      </c>
      <c r="K177" s="1" t="s">
        <v>4857</v>
      </c>
      <c r="L177" s="3">
        <v>290.55</v>
      </c>
      <c r="M177" s="1"/>
      <c r="N177" s="1"/>
      <c r="O177" s="1"/>
      <c r="P177" s="1"/>
      <c r="Q177" s="1" t="s">
        <v>4858</v>
      </c>
      <c r="R177" s="3">
        <v>290.55</v>
      </c>
      <c r="S177" s="1" t="s">
        <v>4859</v>
      </c>
      <c r="T177" s="3">
        <v>290.55</v>
      </c>
      <c r="U177" s="1"/>
      <c r="V177" s="1"/>
      <c r="W177" s="1"/>
      <c r="X177" s="1"/>
      <c r="Y177" s="1" t="s">
        <v>4860</v>
      </c>
      <c r="Z177" s="3">
        <v>290.55</v>
      </c>
      <c r="AA177" s="1"/>
      <c r="AB177" s="1"/>
      <c r="AC177" s="1" t="s">
        <v>4861</v>
      </c>
      <c r="AD177" s="3">
        <v>290.55</v>
      </c>
      <c r="AE177" s="1" t="s">
        <v>189</v>
      </c>
      <c r="AF177" s="3">
        <v>290.55</v>
      </c>
      <c r="AG177" s="1" t="s">
        <v>4862</v>
      </c>
      <c r="AH177" s="3">
        <v>290.55</v>
      </c>
      <c r="AI177" s="1" t="s">
        <v>4863</v>
      </c>
      <c r="AJ177" s="3">
        <v>290.55</v>
      </c>
      <c r="AK177" s="1"/>
      <c r="AL177" s="1"/>
      <c r="AM177" s="1" t="s">
        <v>4864</v>
      </c>
      <c r="AN177" s="3">
        <v>290.55</v>
      </c>
      <c r="AO177" s="1"/>
      <c r="AP177" s="1"/>
      <c r="AQ177" s="1"/>
      <c r="AR177" s="1"/>
      <c r="AS177" s="1"/>
      <c r="AT177" s="1"/>
      <c r="AU177" s="1" t="s">
        <v>4865</v>
      </c>
      <c r="AV177" s="3">
        <v>290.55</v>
      </c>
      <c r="AW177" s="1" t="s">
        <v>3561</v>
      </c>
      <c r="AX177" s="3">
        <v>290.55</v>
      </c>
      <c r="AY177" s="1"/>
      <c r="AZ177" s="1"/>
      <c r="BA177" s="1"/>
      <c r="BB177" s="1"/>
      <c r="BC177" s="67" t="s">
        <v>4866</v>
      </c>
      <c r="BD177" s="67">
        <v>456.3</v>
      </c>
      <c r="BE177" s="67">
        <f t="shared" si="1"/>
        <v>2509.65</v>
      </c>
    </row>
    <row r="178">
      <c r="A178" s="1"/>
      <c r="B178" s="1"/>
      <c r="C178" s="1"/>
      <c r="D178" s="1"/>
      <c r="E178" s="1"/>
      <c r="F178" s="1"/>
      <c r="G178" s="1"/>
      <c r="H178" s="1"/>
      <c r="I178" s="1" t="s">
        <v>4867</v>
      </c>
      <c r="J178" s="3">
        <v>290.55</v>
      </c>
      <c r="K178" s="1" t="s">
        <v>4868</v>
      </c>
      <c r="L178" s="3">
        <v>290.55</v>
      </c>
      <c r="M178" s="1"/>
      <c r="N178" s="1"/>
      <c r="O178" s="1"/>
      <c r="P178" s="1"/>
      <c r="Q178" s="1" t="s">
        <v>4635</v>
      </c>
      <c r="R178" s="3">
        <v>290.55</v>
      </c>
      <c r="S178" s="1" t="s">
        <v>4869</v>
      </c>
      <c r="T178" s="3">
        <v>290.55</v>
      </c>
      <c r="U178" s="1"/>
      <c r="V178" s="1"/>
      <c r="W178" s="1"/>
      <c r="X178" s="1"/>
      <c r="Y178" s="1" t="s">
        <v>4870</v>
      </c>
      <c r="Z178" s="3">
        <v>290.55</v>
      </c>
      <c r="AA178" s="1"/>
      <c r="AB178" s="1"/>
      <c r="AC178" s="1" t="s">
        <v>4813</v>
      </c>
      <c r="AD178" s="3">
        <v>290.55</v>
      </c>
      <c r="AE178" s="1" t="s">
        <v>190</v>
      </c>
      <c r="AF178" s="3">
        <v>290.55</v>
      </c>
      <c r="AG178" s="1" t="s">
        <v>4871</v>
      </c>
      <c r="AH178" s="3">
        <v>290.55</v>
      </c>
      <c r="AI178" s="1" t="s">
        <v>4493</v>
      </c>
      <c r="AJ178" s="3">
        <v>290.55</v>
      </c>
      <c r="AK178" s="1"/>
      <c r="AL178" s="1"/>
      <c r="AM178" s="1" t="s">
        <v>4872</v>
      </c>
      <c r="AN178" s="3">
        <v>290.55</v>
      </c>
      <c r="AO178" s="1"/>
      <c r="AP178" s="1"/>
      <c r="AQ178" s="1"/>
      <c r="AR178" s="1"/>
      <c r="AS178" s="1"/>
      <c r="AT178" s="1"/>
      <c r="AU178" s="1" t="s">
        <v>4873</v>
      </c>
      <c r="AV178" s="3">
        <v>290.55</v>
      </c>
      <c r="AW178" s="1" t="s">
        <v>4874</v>
      </c>
      <c r="AX178" s="3">
        <v>290.55</v>
      </c>
      <c r="AY178" s="1"/>
      <c r="AZ178" s="1"/>
      <c r="BA178" s="1"/>
      <c r="BB178" s="1"/>
      <c r="BC178" s="67" t="s">
        <v>4875</v>
      </c>
      <c r="BD178" s="67">
        <v>398.91</v>
      </c>
      <c r="BE178" s="67">
        <f t="shared" si="1"/>
        <v>2194.005</v>
      </c>
    </row>
    <row r="179">
      <c r="A179" s="1"/>
      <c r="B179" s="1"/>
      <c r="C179" s="1"/>
      <c r="D179" s="1"/>
      <c r="E179" s="1"/>
      <c r="F179" s="1"/>
      <c r="G179" s="1"/>
      <c r="H179" s="1"/>
      <c r="I179" s="1" t="s">
        <v>4876</v>
      </c>
      <c r="J179" s="3">
        <v>290.55</v>
      </c>
      <c r="K179" s="1" t="s">
        <v>4877</v>
      </c>
      <c r="L179" s="3">
        <v>290.55</v>
      </c>
      <c r="M179" s="1"/>
      <c r="N179" s="1"/>
      <c r="O179" s="1"/>
      <c r="P179" s="1"/>
      <c r="Q179" s="1" t="s">
        <v>4878</v>
      </c>
      <c r="R179" s="3">
        <v>290.55</v>
      </c>
      <c r="S179" s="1" t="s">
        <v>4879</v>
      </c>
      <c r="T179" s="3">
        <v>290.55</v>
      </c>
      <c r="U179" s="1"/>
      <c r="V179" s="1"/>
      <c r="W179" s="1"/>
      <c r="X179" s="1"/>
      <c r="Y179" s="1" t="s">
        <v>4880</v>
      </c>
      <c r="Z179" s="3">
        <v>290.55</v>
      </c>
      <c r="AA179" s="1"/>
      <c r="AB179" s="1"/>
      <c r="AC179" s="1" t="s">
        <v>3253</v>
      </c>
      <c r="AD179" s="3">
        <v>290.55</v>
      </c>
      <c r="AE179" s="1" t="s">
        <v>191</v>
      </c>
      <c r="AF179" s="3">
        <v>290.55</v>
      </c>
      <c r="AG179" s="1" t="s">
        <v>4881</v>
      </c>
      <c r="AH179" s="3">
        <v>290.55</v>
      </c>
      <c r="AI179" s="1" t="s">
        <v>4882</v>
      </c>
      <c r="AJ179" s="3">
        <v>290.55</v>
      </c>
      <c r="AK179" s="1"/>
      <c r="AL179" s="1"/>
      <c r="AM179" s="1" t="s">
        <v>4883</v>
      </c>
      <c r="AN179" s="3">
        <v>290.55</v>
      </c>
      <c r="AO179" s="1"/>
      <c r="AP179" s="1"/>
      <c r="AQ179" s="1"/>
      <c r="AR179" s="1"/>
      <c r="AS179" s="1"/>
      <c r="AT179" s="1"/>
      <c r="AU179" s="1" t="s">
        <v>4884</v>
      </c>
      <c r="AV179" s="3">
        <v>290.55</v>
      </c>
      <c r="AW179" s="1" t="s">
        <v>4885</v>
      </c>
      <c r="AX179" s="3">
        <v>290.55</v>
      </c>
      <c r="AY179" s="1"/>
      <c r="AZ179" s="1"/>
      <c r="BA179" s="1"/>
      <c r="BB179" s="1"/>
      <c r="BC179" s="67" t="s">
        <v>335</v>
      </c>
      <c r="BD179" s="67">
        <v>295.09</v>
      </c>
      <c r="BE179" s="67">
        <f t="shared" si="1"/>
        <v>1622.995</v>
      </c>
    </row>
    <row r="180">
      <c r="A180" s="1"/>
      <c r="B180" s="1"/>
      <c r="C180" s="1"/>
      <c r="D180" s="1"/>
      <c r="E180" s="1"/>
      <c r="F180" s="1"/>
      <c r="G180" s="1"/>
      <c r="H180" s="1"/>
      <c r="I180" s="1" t="s">
        <v>4886</v>
      </c>
      <c r="J180" s="3">
        <v>290.55</v>
      </c>
      <c r="K180" s="1" t="s">
        <v>4887</v>
      </c>
      <c r="L180" s="3">
        <v>290.55</v>
      </c>
      <c r="M180" s="1"/>
      <c r="N180" s="1"/>
      <c r="O180" s="1"/>
      <c r="P180" s="1"/>
      <c r="Q180" s="1" t="s">
        <v>4888</v>
      </c>
      <c r="R180" s="3">
        <v>290.55</v>
      </c>
      <c r="S180" s="1" t="s">
        <v>4889</v>
      </c>
      <c r="T180" s="3">
        <v>290.55</v>
      </c>
      <c r="U180" s="1"/>
      <c r="V180" s="1"/>
      <c r="W180" s="1"/>
      <c r="X180" s="1"/>
      <c r="Y180" s="1" t="s">
        <v>4890</v>
      </c>
      <c r="Z180" s="3">
        <v>290.55</v>
      </c>
      <c r="AA180" s="1"/>
      <c r="AB180" s="1"/>
      <c r="AC180" s="1" t="s">
        <v>4891</v>
      </c>
      <c r="AD180" s="3">
        <v>290.55</v>
      </c>
      <c r="AE180" s="1" t="s">
        <v>192</v>
      </c>
      <c r="AF180" s="3">
        <v>290.55</v>
      </c>
      <c r="AG180" s="1" t="s">
        <v>4892</v>
      </c>
      <c r="AH180" s="3">
        <v>290.55</v>
      </c>
      <c r="AI180" s="1" t="s">
        <v>4893</v>
      </c>
      <c r="AJ180" s="3">
        <v>290.55</v>
      </c>
      <c r="AK180" s="1"/>
      <c r="AL180" s="1"/>
      <c r="AM180" s="1" t="s">
        <v>4894</v>
      </c>
      <c r="AN180" s="3">
        <v>290.55</v>
      </c>
      <c r="AO180" s="1"/>
      <c r="AP180" s="1"/>
      <c r="AQ180" s="1"/>
      <c r="AR180" s="1"/>
      <c r="AS180" s="1"/>
      <c r="AT180" s="1"/>
      <c r="AU180" s="1" t="s">
        <v>4895</v>
      </c>
      <c r="AV180" s="3">
        <v>290.55</v>
      </c>
      <c r="AW180" s="1" t="s">
        <v>4896</v>
      </c>
      <c r="AX180" s="3">
        <v>290.55</v>
      </c>
      <c r="AY180" s="1"/>
      <c r="AZ180" s="1"/>
      <c r="BA180" s="1"/>
      <c r="BB180" s="1"/>
      <c r="BC180" s="67" t="s">
        <v>4897</v>
      </c>
      <c r="BD180" s="67">
        <v>295.09</v>
      </c>
      <c r="BE180" s="67">
        <f t="shared" si="1"/>
        <v>1622.995</v>
      </c>
    </row>
    <row r="181">
      <c r="A181" s="1"/>
      <c r="B181" s="1"/>
      <c r="C181" s="1"/>
      <c r="D181" s="1"/>
      <c r="E181" s="1"/>
      <c r="F181" s="1"/>
      <c r="G181" s="1"/>
      <c r="H181" s="1"/>
      <c r="I181" s="1" t="s">
        <v>4898</v>
      </c>
      <c r="J181" s="3">
        <v>290.55</v>
      </c>
      <c r="K181" s="1" t="s">
        <v>4899</v>
      </c>
      <c r="L181" s="3">
        <v>290.55</v>
      </c>
      <c r="M181" s="1"/>
      <c r="N181" s="1"/>
      <c r="O181" s="1"/>
      <c r="P181" s="1"/>
      <c r="Q181" s="1" t="s">
        <v>4900</v>
      </c>
      <c r="R181" s="3">
        <v>290.55</v>
      </c>
      <c r="S181" s="1" t="s">
        <v>4901</v>
      </c>
      <c r="T181" s="3">
        <v>290.55</v>
      </c>
      <c r="U181" s="1"/>
      <c r="V181" s="1"/>
      <c r="W181" s="1"/>
      <c r="X181" s="1"/>
      <c r="Y181" s="1" t="s">
        <v>4902</v>
      </c>
      <c r="Z181" s="3">
        <v>290.55</v>
      </c>
      <c r="AA181" s="1"/>
      <c r="AB181" s="1"/>
      <c r="AC181" s="1" t="s">
        <v>3273</v>
      </c>
      <c r="AD181" s="3">
        <v>290.55</v>
      </c>
      <c r="AE181" s="1" t="s">
        <v>193</v>
      </c>
      <c r="AF181" s="3">
        <v>290.55</v>
      </c>
      <c r="AG181" s="1" t="s">
        <v>4903</v>
      </c>
      <c r="AH181" s="3">
        <v>290.55</v>
      </c>
      <c r="AI181" s="1" t="s">
        <v>4904</v>
      </c>
      <c r="AJ181" s="3">
        <v>290.55</v>
      </c>
      <c r="AK181" s="1"/>
      <c r="AL181" s="1"/>
      <c r="AM181" s="1" t="s">
        <v>4905</v>
      </c>
      <c r="AN181" s="3">
        <v>290.55</v>
      </c>
      <c r="AO181" s="1"/>
      <c r="AP181" s="1"/>
      <c r="AQ181" s="1"/>
      <c r="AR181" s="1"/>
      <c r="AS181" s="1"/>
      <c r="AT181" s="1"/>
      <c r="AU181" s="1" t="s">
        <v>4906</v>
      </c>
      <c r="AV181" s="3">
        <v>290.55</v>
      </c>
      <c r="AW181" s="1" t="s">
        <v>4907</v>
      </c>
      <c r="AX181" s="3">
        <v>290.55</v>
      </c>
      <c r="AY181" s="1"/>
      <c r="AZ181" s="1"/>
      <c r="BA181" s="1"/>
      <c r="BB181" s="1"/>
      <c r="BC181" s="67" t="s">
        <v>4908</v>
      </c>
      <c r="BD181" s="67">
        <v>295.09</v>
      </c>
      <c r="BE181" s="67">
        <f t="shared" si="1"/>
        <v>1622.995</v>
      </c>
    </row>
    <row r="182">
      <c r="A182" s="1"/>
      <c r="B182" s="1"/>
      <c r="C182" s="1"/>
      <c r="D182" s="1"/>
      <c r="E182" s="1"/>
      <c r="F182" s="1"/>
      <c r="G182" s="1"/>
      <c r="H182" s="1"/>
      <c r="I182" s="1" t="s">
        <v>4909</v>
      </c>
      <c r="J182" s="3">
        <v>290.55</v>
      </c>
      <c r="K182" s="1" t="s">
        <v>4910</v>
      </c>
      <c r="L182" s="3">
        <v>290.55</v>
      </c>
      <c r="M182" s="1"/>
      <c r="N182" s="1"/>
      <c r="O182" s="1"/>
      <c r="P182" s="1"/>
      <c r="Q182" s="1" t="s">
        <v>4911</v>
      </c>
      <c r="R182" s="3">
        <v>290.55</v>
      </c>
      <c r="S182" s="1" t="s">
        <v>4912</v>
      </c>
      <c r="T182" s="3">
        <v>290.55</v>
      </c>
      <c r="U182" s="1"/>
      <c r="V182" s="1"/>
      <c r="W182" s="1"/>
      <c r="X182" s="1"/>
      <c r="Y182" s="1" t="s">
        <v>4913</v>
      </c>
      <c r="Z182" s="3">
        <v>290.55</v>
      </c>
      <c r="AA182" s="1"/>
      <c r="AB182" s="1"/>
      <c r="AC182" s="1" t="s">
        <v>4914</v>
      </c>
      <c r="AD182" s="3">
        <v>290.55</v>
      </c>
      <c r="AE182" s="1" t="s">
        <v>194</v>
      </c>
      <c r="AF182" s="3">
        <v>290.55</v>
      </c>
      <c r="AG182" s="1" t="s">
        <v>4915</v>
      </c>
      <c r="AH182" s="3">
        <v>290.55</v>
      </c>
      <c r="AI182" s="1" t="s">
        <v>4916</v>
      </c>
      <c r="AJ182" s="3">
        <v>290.55</v>
      </c>
      <c r="AK182" s="1"/>
      <c r="AL182" s="1"/>
      <c r="AM182" s="1" t="s">
        <v>4917</v>
      </c>
      <c r="AN182" s="3">
        <v>290.55</v>
      </c>
      <c r="AO182" s="1"/>
      <c r="AP182" s="1"/>
      <c r="AQ182" s="1"/>
      <c r="AR182" s="1"/>
      <c r="AS182" s="1"/>
      <c r="AT182" s="1"/>
      <c r="AU182" s="1" t="s">
        <v>4918</v>
      </c>
      <c r="AV182" s="3">
        <v>290.55</v>
      </c>
      <c r="AW182" s="1" t="s">
        <v>4919</v>
      </c>
      <c r="AX182" s="3">
        <v>290.55</v>
      </c>
      <c r="AY182" s="1"/>
      <c r="AZ182" s="1"/>
      <c r="BA182" s="1"/>
      <c r="BB182" s="1"/>
      <c r="BC182" s="67" t="s">
        <v>4920</v>
      </c>
      <c r="BD182" s="67">
        <v>295.09</v>
      </c>
      <c r="BE182" s="67">
        <f t="shared" si="1"/>
        <v>1622.995</v>
      </c>
    </row>
    <row r="183">
      <c r="A183" s="1"/>
      <c r="B183" s="1"/>
      <c r="C183" s="1"/>
      <c r="D183" s="1"/>
      <c r="E183" s="1"/>
      <c r="F183" s="1"/>
      <c r="G183" s="1"/>
      <c r="H183" s="1"/>
      <c r="I183" s="1" t="s">
        <v>4921</v>
      </c>
      <c r="J183" s="3">
        <v>290.55</v>
      </c>
      <c r="K183" s="1" t="s">
        <v>4922</v>
      </c>
      <c r="L183" s="3">
        <v>290.55</v>
      </c>
      <c r="M183" s="1"/>
      <c r="N183" s="1"/>
      <c r="O183" s="1"/>
      <c r="P183" s="1"/>
      <c r="Q183" s="1" t="s">
        <v>4923</v>
      </c>
      <c r="R183" s="3">
        <v>290.55</v>
      </c>
      <c r="S183" s="1" t="s">
        <v>4924</v>
      </c>
      <c r="T183" s="3">
        <v>290.55</v>
      </c>
      <c r="U183" s="1"/>
      <c r="V183" s="1"/>
      <c r="W183" s="1"/>
      <c r="X183" s="1"/>
      <c r="Y183" s="1" t="s">
        <v>4925</v>
      </c>
      <c r="Z183" s="3">
        <v>290.55</v>
      </c>
      <c r="AA183" s="1"/>
      <c r="AB183" s="1"/>
      <c r="AC183" s="1" t="s">
        <v>4926</v>
      </c>
      <c r="AD183" s="3">
        <v>290.55</v>
      </c>
      <c r="AE183" s="1" t="s">
        <v>195</v>
      </c>
      <c r="AF183" s="3">
        <v>290.55</v>
      </c>
      <c r="AG183" s="1" t="s">
        <v>4927</v>
      </c>
      <c r="AH183" s="3">
        <v>290.55</v>
      </c>
      <c r="AI183" s="1" t="s">
        <v>4928</v>
      </c>
      <c r="AJ183" s="3">
        <v>290.55</v>
      </c>
      <c r="AK183" s="1"/>
      <c r="AL183" s="1"/>
      <c r="AM183" s="1" t="s">
        <v>4929</v>
      </c>
      <c r="AN183" s="3">
        <v>290.55</v>
      </c>
      <c r="AO183" s="1"/>
      <c r="AP183" s="1"/>
      <c r="AQ183" s="1"/>
      <c r="AR183" s="1"/>
      <c r="AS183" s="1"/>
      <c r="AT183" s="1"/>
      <c r="AU183" s="1" t="s">
        <v>4930</v>
      </c>
      <c r="AV183" s="3">
        <v>290.55</v>
      </c>
      <c r="AW183" s="1" t="s">
        <v>4931</v>
      </c>
      <c r="AX183" s="3">
        <v>290.55</v>
      </c>
      <c r="AY183" s="1"/>
      <c r="AZ183" s="1"/>
      <c r="BA183" s="1"/>
      <c r="BB183" s="1"/>
      <c r="BC183" s="67" t="s">
        <v>4932</v>
      </c>
      <c r="BD183" s="67">
        <v>295.09</v>
      </c>
      <c r="BE183" s="67">
        <f t="shared" si="1"/>
        <v>1622.995</v>
      </c>
    </row>
    <row r="184">
      <c r="A184" s="1"/>
      <c r="B184" s="1"/>
      <c r="C184" s="1"/>
      <c r="D184" s="1"/>
      <c r="E184" s="1"/>
      <c r="F184" s="1"/>
      <c r="G184" s="1"/>
      <c r="H184" s="1"/>
      <c r="I184" s="1" t="s">
        <v>4933</v>
      </c>
      <c r="J184" s="3">
        <v>290.55</v>
      </c>
      <c r="K184" s="1" t="s">
        <v>4934</v>
      </c>
      <c r="L184" s="3">
        <v>290.55</v>
      </c>
      <c r="M184" s="1"/>
      <c r="N184" s="1"/>
      <c r="O184" s="1"/>
      <c r="P184" s="1"/>
      <c r="Q184" s="1" t="s">
        <v>4935</v>
      </c>
      <c r="R184" s="3">
        <v>290.55</v>
      </c>
      <c r="S184" s="1" t="s">
        <v>4936</v>
      </c>
      <c r="T184" s="3">
        <v>290.55</v>
      </c>
      <c r="U184" s="1"/>
      <c r="V184" s="1"/>
      <c r="W184" s="1"/>
      <c r="X184" s="1"/>
      <c r="Y184" s="1" t="s">
        <v>4937</v>
      </c>
      <c r="Z184" s="3">
        <v>290.55</v>
      </c>
      <c r="AA184" s="1"/>
      <c r="AB184" s="1"/>
      <c r="AC184" s="1" t="s">
        <v>4938</v>
      </c>
      <c r="AD184" s="3">
        <v>290.55</v>
      </c>
      <c r="AE184" s="1" t="s">
        <v>196</v>
      </c>
      <c r="AF184" s="3">
        <v>290.55</v>
      </c>
      <c r="AG184" s="1" t="s">
        <v>4939</v>
      </c>
      <c r="AH184" s="3">
        <v>290.55</v>
      </c>
      <c r="AI184" s="1" t="s">
        <v>4940</v>
      </c>
      <c r="AJ184" s="3">
        <v>290.55</v>
      </c>
      <c r="AK184" s="1"/>
      <c r="AL184" s="1"/>
      <c r="AM184" s="1" t="s">
        <v>4941</v>
      </c>
      <c r="AN184" s="3">
        <v>290.55</v>
      </c>
      <c r="AO184" s="1"/>
      <c r="AP184" s="1"/>
      <c r="AQ184" s="1"/>
      <c r="AR184" s="1"/>
      <c r="AS184" s="1"/>
      <c r="AT184" s="1"/>
      <c r="AU184" s="1" t="s">
        <v>4942</v>
      </c>
      <c r="AV184" s="3">
        <v>290.55</v>
      </c>
      <c r="AW184" s="1" t="s">
        <v>4943</v>
      </c>
      <c r="AX184" s="3">
        <v>290.55</v>
      </c>
      <c r="AY184" s="1"/>
      <c r="AZ184" s="1"/>
      <c r="BA184" s="1"/>
      <c r="BB184" s="1"/>
      <c r="BC184" s="67" t="s">
        <v>4932</v>
      </c>
      <c r="BD184" s="67">
        <v>295.09</v>
      </c>
      <c r="BE184" s="67">
        <f t="shared" si="1"/>
        <v>1622.995</v>
      </c>
    </row>
    <row r="185">
      <c r="A185" s="1"/>
      <c r="B185" s="1"/>
      <c r="C185" s="1"/>
      <c r="D185" s="1"/>
      <c r="E185" s="1"/>
      <c r="F185" s="1"/>
      <c r="G185" s="1"/>
      <c r="H185" s="1"/>
      <c r="I185" s="1" t="s">
        <v>4944</v>
      </c>
      <c r="J185" s="3">
        <v>290.55</v>
      </c>
      <c r="K185" s="1" t="s">
        <v>4945</v>
      </c>
      <c r="L185" s="3">
        <v>290.55</v>
      </c>
      <c r="M185" s="1"/>
      <c r="N185" s="1"/>
      <c r="O185" s="1"/>
      <c r="P185" s="1"/>
      <c r="Q185" s="1" t="s">
        <v>3438</v>
      </c>
      <c r="R185" s="3">
        <v>290.55</v>
      </c>
      <c r="S185" s="1" t="s">
        <v>4946</v>
      </c>
      <c r="T185" s="3">
        <v>290.55</v>
      </c>
      <c r="U185" s="1"/>
      <c r="V185" s="1"/>
      <c r="W185" s="1"/>
      <c r="X185" s="1"/>
      <c r="Y185" s="1" t="s">
        <v>4947</v>
      </c>
      <c r="Z185" s="3">
        <v>290.55</v>
      </c>
      <c r="AA185" s="1"/>
      <c r="AB185" s="1"/>
      <c r="AC185" s="1" t="s">
        <v>4948</v>
      </c>
      <c r="AD185" s="3">
        <v>290.55</v>
      </c>
      <c r="AE185" s="1" t="s">
        <v>197</v>
      </c>
      <c r="AF185" s="3">
        <v>290.55</v>
      </c>
      <c r="AG185" s="1" t="s">
        <v>4949</v>
      </c>
      <c r="AH185" s="3">
        <v>290.55</v>
      </c>
      <c r="AI185" s="1" t="s">
        <v>4950</v>
      </c>
      <c r="AJ185" s="3">
        <v>290.55</v>
      </c>
      <c r="AK185" s="1"/>
      <c r="AL185" s="1"/>
      <c r="AM185" s="1" t="s">
        <v>4951</v>
      </c>
      <c r="AN185" s="3">
        <v>290.55</v>
      </c>
      <c r="AO185" s="1"/>
      <c r="AP185" s="1"/>
      <c r="AQ185" s="1"/>
      <c r="AR185" s="1"/>
      <c r="AS185" s="1"/>
      <c r="AT185" s="1"/>
      <c r="AU185" s="1" t="s">
        <v>4952</v>
      </c>
      <c r="AV185" s="3">
        <v>290.55</v>
      </c>
      <c r="AW185" s="1" t="s">
        <v>4953</v>
      </c>
      <c r="AX185" s="3">
        <v>290.55</v>
      </c>
      <c r="AY185" s="1"/>
      <c r="AZ185" s="1"/>
      <c r="BA185" s="1"/>
      <c r="BB185" s="1"/>
      <c r="BC185" s="67" t="s">
        <v>4954</v>
      </c>
      <c r="BD185" s="67">
        <v>385.32</v>
      </c>
      <c r="BE185" s="67">
        <f t="shared" si="1"/>
        <v>2119.26</v>
      </c>
    </row>
    <row r="186">
      <c r="A186" s="1"/>
      <c r="B186" s="1"/>
      <c r="C186" s="1"/>
      <c r="D186" s="1"/>
      <c r="E186" s="1"/>
      <c r="F186" s="1"/>
      <c r="G186" s="1"/>
      <c r="H186" s="1"/>
      <c r="I186" s="1" t="s">
        <v>4955</v>
      </c>
      <c r="J186" s="3">
        <v>290.55</v>
      </c>
      <c r="K186" s="1"/>
      <c r="L186" s="1"/>
      <c r="M186" s="1"/>
      <c r="N186" s="1"/>
      <c r="O186" s="1"/>
      <c r="P186" s="1"/>
      <c r="Q186" s="1" t="s">
        <v>4956</v>
      </c>
      <c r="R186" s="3">
        <v>290.55</v>
      </c>
      <c r="S186" s="1" t="s">
        <v>4957</v>
      </c>
      <c r="T186" s="3">
        <v>290.55</v>
      </c>
      <c r="U186" s="1"/>
      <c r="V186" s="1"/>
      <c r="W186" s="1"/>
      <c r="X186" s="1"/>
      <c r="Y186" s="1" t="s">
        <v>4958</v>
      </c>
      <c r="Z186" s="3">
        <v>290.55</v>
      </c>
      <c r="AA186" s="1"/>
      <c r="AB186" s="1"/>
      <c r="AC186" s="1" t="s">
        <v>4959</v>
      </c>
      <c r="AD186" s="3">
        <v>290.55</v>
      </c>
      <c r="AE186" s="1" t="s">
        <v>198</v>
      </c>
      <c r="AF186" s="3">
        <v>290.55</v>
      </c>
      <c r="AG186" s="1" t="s">
        <v>4960</v>
      </c>
      <c r="AH186" s="3">
        <v>290.55</v>
      </c>
      <c r="AI186" s="1" t="s">
        <v>4961</v>
      </c>
      <c r="AJ186" s="3">
        <v>290.55</v>
      </c>
      <c r="AK186" s="1"/>
      <c r="AL186" s="1"/>
      <c r="AM186" s="1" t="s">
        <v>4962</v>
      </c>
      <c r="AN186" s="3">
        <v>290.55</v>
      </c>
      <c r="AO186" s="1"/>
      <c r="AP186" s="1"/>
      <c r="AQ186" s="1"/>
      <c r="AR186" s="1"/>
      <c r="AS186" s="1"/>
      <c r="AT186" s="1"/>
      <c r="AU186" s="1" t="s">
        <v>260</v>
      </c>
      <c r="AV186" s="3">
        <v>290.55</v>
      </c>
      <c r="AW186" s="1" t="s">
        <v>4963</v>
      </c>
      <c r="AX186" s="3">
        <v>290.55</v>
      </c>
      <c r="AY186" s="1"/>
      <c r="AZ186" s="1"/>
      <c r="BA186" s="1"/>
      <c r="BB186" s="1"/>
      <c r="BC186" s="67" t="s">
        <v>4964</v>
      </c>
      <c r="BD186" s="67">
        <v>295.09</v>
      </c>
      <c r="BE186" s="67">
        <f t="shared" si="1"/>
        <v>1622.995</v>
      </c>
    </row>
    <row r="187">
      <c r="A187" s="1"/>
      <c r="B187" s="1"/>
      <c r="C187" s="1"/>
      <c r="D187" s="1"/>
      <c r="E187" s="1"/>
      <c r="F187" s="1"/>
      <c r="G187" s="1"/>
      <c r="H187" s="1"/>
      <c r="I187" s="1" t="s">
        <v>4965</v>
      </c>
      <c r="J187" s="3">
        <v>290.55</v>
      </c>
      <c r="K187" s="1"/>
      <c r="L187" s="1"/>
      <c r="M187" s="1"/>
      <c r="N187" s="1"/>
      <c r="O187" s="1"/>
      <c r="P187" s="1"/>
      <c r="Q187" s="1" t="s">
        <v>4966</v>
      </c>
      <c r="R187" s="3">
        <v>290.55</v>
      </c>
      <c r="S187" s="1" t="s">
        <v>4967</v>
      </c>
      <c r="T187" s="3">
        <v>371.26</v>
      </c>
      <c r="U187" s="1"/>
      <c r="V187" s="1"/>
      <c r="W187" s="1"/>
      <c r="X187" s="1"/>
      <c r="Y187" s="1" t="s">
        <v>4968</v>
      </c>
      <c r="Z187" s="3">
        <v>290.55</v>
      </c>
      <c r="AA187" s="1"/>
      <c r="AB187" s="1"/>
      <c r="AC187" s="1" t="s">
        <v>4969</v>
      </c>
      <c r="AD187" s="3">
        <v>290.55</v>
      </c>
      <c r="AE187" s="1" t="s">
        <v>199</v>
      </c>
      <c r="AF187" s="3">
        <v>290.55</v>
      </c>
      <c r="AG187" s="1"/>
      <c r="AH187" s="1"/>
      <c r="AI187" s="1" t="s">
        <v>4970</v>
      </c>
      <c r="AJ187" s="3">
        <v>290.55</v>
      </c>
      <c r="AK187" s="1"/>
      <c r="AL187" s="1"/>
      <c r="AM187" s="1" t="s">
        <v>4971</v>
      </c>
      <c r="AN187" s="3">
        <v>290.55</v>
      </c>
      <c r="AO187" s="1"/>
      <c r="AP187" s="1"/>
      <c r="AQ187" s="1"/>
      <c r="AR187" s="1"/>
      <c r="AS187" s="1"/>
      <c r="AT187" s="1"/>
      <c r="AU187" s="1" t="s">
        <v>4972</v>
      </c>
      <c r="AV187" s="3">
        <v>290.55</v>
      </c>
      <c r="AW187" s="1" t="s">
        <v>4973</v>
      </c>
      <c r="AX187" s="3">
        <v>290.55</v>
      </c>
      <c r="AY187" s="1"/>
      <c r="AZ187" s="1"/>
      <c r="BA187" s="1"/>
      <c r="BB187" s="1"/>
      <c r="BC187" s="67" t="s">
        <v>4974</v>
      </c>
      <c r="BD187" s="67">
        <v>385.32</v>
      </c>
      <c r="BE187" s="67">
        <f t="shared" si="1"/>
        <v>2119.26</v>
      </c>
    </row>
    <row r="188">
      <c r="A188" s="1"/>
      <c r="B188" s="1"/>
      <c r="C188" s="1"/>
      <c r="D188" s="1"/>
      <c r="E188" s="1"/>
      <c r="F188" s="1"/>
      <c r="G188" s="1"/>
      <c r="H188" s="1"/>
      <c r="I188" s="1" t="s">
        <v>4975</v>
      </c>
      <c r="J188" s="3">
        <v>290.55</v>
      </c>
      <c r="K188" s="1"/>
      <c r="L188" s="1"/>
      <c r="M188" s="1"/>
      <c r="N188" s="1"/>
      <c r="O188" s="1"/>
      <c r="P188" s="1"/>
      <c r="Q188" s="1" t="s">
        <v>4976</v>
      </c>
      <c r="R188" s="3">
        <v>290.55</v>
      </c>
      <c r="S188" s="1" t="s">
        <v>4977</v>
      </c>
      <c r="T188" s="3">
        <v>290.55</v>
      </c>
      <c r="U188" s="1"/>
      <c r="V188" s="1"/>
      <c r="W188" s="1"/>
      <c r="X188" s="1"/>
      <c r="Y188" s="1" t="s">
        <v>4978</v>
      </c>
      <c r="Z188" s="3">
        <v>290.55</v>
      </c>
      <c r="AA188" s="1"/>
      <c r="AB188" s="1"/>
      <c r="AC188" s="1" t="s">
        <v>4979</v>
      </c>
      <c r="AD188" s="3">
        <v>290.55</v>
      </c>
      <c r="AE188" s="1" t="s">
        <v>124</v>
      </c>
      <c r="AF188" s="3">
        <v>290.55</v>
      </c>
      <c r="AG188" s="1"/>
      <c r="AH188" s="1"/>
      <c r="AI188" s="1" t="s">
        <v>4980</v>
      </c>
      <c r="AJ188" s="3">
        <v>290.55</v>
      </c>
      <c r="AK188" s="1"/>
      <c r="AL188" s="1"/>
      <c r="AM188" s="1" t="s">
        <v>4981</v>
      </c>
      <c r="AN188" s="3">
        <v>290.55</v>
      </c>
      <c r="AO188" s="1"/>
      <c r="AP188" s="1"/>
      <c r="AQ188" s="1"/>
      <c r="AR188" s="1"/>
      <c r="AS188" s="1"/>
      <c r="AT188" s="1"/>
      <c r="AU188" s="1" t="s">
        <v>4982</v>
      </c>
      <c r="AV188" s="3">
        <v>290.55</v>
      </c>
      <c r="AW188" s="1" t="s">
        <v>4983</v>
      </c>
      <c r="AX188" s="3">
        <v>290.55</v>
      </c>
      <c r="AY188" s="1"/>
      <c r="AZ188" s="1"/>
      <c r="BA188" s="1"/>
      <c r="BB188" s="1"/>
      <c r="BC188" s="67" t="s">
        <v>4984</v>
      </c>
      <c r="BD188" s="67">
        <v>385.32</v>
      </c>
      <c r="BE188" s="67">
        <f t="shared" si="1"/>
        <v>2119.26</v>
      </c>
    </row>
    <row r="189">
      <c r="A189" s="1"/>
      <c r="B189" s="1"/>
      <c r="C189" s="1"/>
      <c r="D189" s="1"/>
      <c r="E189" s="1"/>
      <c r="F189" s="1"/>
      <c r="G189" s="1"/>
      <c r="H189" s="1"/>
      <c r="I189" s="1" t="s">
        <v>174</v>
      </c>
      <c r="J189" s="3">
        <v>290.55</v>
      </c>
      <c r="K189" s="1"/>
      <c r="L189" s="1"/>
      <c r="M189" s="1"/>
      <c r="N189" s="1"/>
      <c r="O189" s="1"/>
      <c r="P189" s="1"/>
      <c r="Q189" s="1" t="s">
        <v>4985</v>
      </c>
      <c r="R189" s="3">
        <v>290.55</v>
      </c>
      <c r="S189" s="1" t="s">
        <v>4986</v>
      </c>
      <c r="T189" s="3">
        <v>290.55</v>
      </c>
      <c r="U189" s="1"/>
      <c r="V189" s="1"/>
      <c r="W189" s="1"/>
      <c r="X189" s="1"/>
      <c r="Y189" s="1" t="s">
        <v>4987</v>
      </c>
      <c r="Z189" s="3">
        <v>290.55</v>
      </c>
      <c r="AA189" s="1"/>
      <c r="AB189" s="1"/>
      <c r="AC189" s="1" t="s">
        <v>4988</v>
      </c>
      <c r="AD189" s="3">
        <v>290.55</v>
      </c>
      <c r="AE189" s="1" t="s">
        <v>200</v>
      </c>
      <c r="AF189" s="3">
        <v>290.55</v>
      </c>
      <c r="AG189" s="1"/>
      <c r="AH189" s="1"/>
      <c r="AI189" s="1" t="s">
        <v>4989</v>
      </c>
      <c r="AJ189" s="3">
        <v>290.55</v>
      </c>
      <c r="AK189" s="1"/>
      <c r="AL189" s="1"/>
      <c r="AM189" s="1" t="s">
        <v>4990</v>
      </c>
      <c r="AN189" s="3">
        <v>290.55</v>
      </c>
      <c r="AO189" s="1"/>
      <c r="AP189" s="1"/>
      <c r="AQ189" s="1"/>
      <c r="AR189" s="1"/>
      <c r="AS189" s="1"/>
      <c r="AT189" s="1"/>
      <c r="AU189" s="1" t="s">
        <v>4991</v>
      </c>
      <c r="AV189" s="3">
        <v>290.55</v>
      </c>
      <c r="AW189" s="1" t="s">
        <v>4992</v>
      </c>
      <c r="AX189" s="3">
        <v>290.55</v>
      </c>
      <c r="AY189" s="1"/>
      <c r="AZ189" s="1"/>
      <c r="BA189" s="1"/>
      <c r="BB189" s="1"/>
      <c r="BC189" s="67" t="s">
        <v>4993</v>
      </c>
      <c r="BD189" s="67">
        <v>385.32</v>
      </c>
      <c r="BE189" s="67">
        <f t="shared" si="1"/>
        <v>2119.26</v>
      </c>
    </row>
    <row r="190">
      <c r="A190" s="1"/>
      <c r="B190" s="1"/>
      <c r="C190" s="1"/>
      <c r="D190" s="1"/>
      <c r="E190" s="1"/>
      <c r="F190" s="1"/>
      <c r="G190" s="1"/>
      <c r="H190" s="1"/>
      <c r="I190" s="1" t="s">
        <v>4994</v>
      </c>
      <c r="J190" s="3">
        <v>290.55</v>
      </c>
      <c r="K190" s="1"/>
      <c r="L190" s="1"/>
      <c r="M190" s="1"/>
      <c r="N190" s="1"/>
      <c r="O190" s="1"/>
      <c r="P190" s="1"/>
      <c r="Q190" s="1" t="s">
        <v>4995</v>
      </c>
      <c r="R190" s="3">
        <v>290.55</v>
      </c>
      <c r="S190" s="1" t="s">
        <v>4996</v>
      </c>
      <c r="T190" s="3">
        <v>290.55</v>
      </c>
      <c r="U190" s="1"/>
      <c r="V190" s="1"/>
      <c r="W190" s="1"/>
      <c r="X190" s="1"/>
      <c r="Y190" s="1" t="s">
        <v>4997</v>
      </c>
      <c r="Z190" s="3">
        <v>290.55</v>
      </c>
      <c r="AA190" s="1"/>
      <c r="AB190" s="1"/>
      <c r="AC190" s="1" t="s">
        <v>4998</v>
      </c>
      <c r="AD190" s="3">
        <v>290.55</v>
      </c>
      <c r="AE190" s="1" t="s">
        <v>201</v>
      </c>
      <c r="AF190" s="3">
        <v>290.55</v>
      </c>
      <c r="AG190" s="1"/>
      <c r="AH190" s="1"/>
      <c r="AI190" s="1" t="s">
        <v>4999</v>
      </c>
      <c r="AJ190" s="3">
        <v>290.55</v>
      </c>
      <c r="AK190" s="1"/>
      <c r="AL190" s="1"/>
      <c r="AM190" s="1" t="s">
        <v>5000</v>
      </c>
      <c r="AN190" s="3">
        <v>290.55</v>
      </c>
      <c r="AO190" s="1"/>
      <c r="AP190" s="1"/>
      <c r="AQ190" s="1"/>
      <c r="AR190" s="1"/>
      <c r="AS190" s="1"/>
      <c r="AT190" s="1"/>
      <c r="AU190" s="1" t="s">
        <v>5001</v>
      </c>
      <c r="AV190" s="3">
        <v>290.55</v>
      </c>
      <c r="AW190" s="1" t="s">
        <v>5002</v>
      </c>
      <c r="AX190" s="3">
        <v>290.55</v>
      </c>
      <c r="AY190" s="1"/>
      <c r="AZ190" s="1"/>
      <c r="BA190" s="1"/>
      <c r="BB190" s="1"/>
      <c r="BC190" s="67" t="s">
        <v>5003</v>
      </c>
      <c r="BD190" s="67">
        <v>398.91</v>
      </c>
      <c r="BE190" s="67">
        <f t="shared" si="1"/>
        <v>2194.005</v>
      </c>
    </row>
    <row r="191">
      <c r="A191" s="1"/>
      <c r="B191" s="1"/>
      <c r="C191" s="1"/>
      <c r="D191" s="1"/>
      <c r="E191" s="1"/>
      <c r="F191" s="1"/>
      <c r="G191" s="1"/>
      <c r="H191" s="1"/>
      <c r="I191" s="1" t="s">
        <v>5004</v>
      </c>
      <c r="J191" s="3">
        <v>290.55</v>
      </c>
      <c r="K191" s="1"/>
      <c r="L191" s="1"/>
      <c r="M191" s="1"/>
      <c r="N191" s="1"/>
      <c r="O191" s="1"/>
      <c r="P191" s="1"/>
      <c r="Q191" s="1" t="s">
        <v>5005</v>
      </c>
      <c r="R191" s="3">
        <v>290.55</v>
      </c>
      <c r="S191" s="1" t="s">
        <v>5006</v>
      </c>
      <c r="T191" s="3">
        <v>290.55</v>
      </c>
      <c r="U191" s="1"/>
      <c r="V191" s="1"/>
      <c r="W191" s="1"/>
      <c r="X191" s="1"/>
      <c r="Y191" s="1" t="s">
        <v>5007</v>
      </c>
      <c r="Z191" s="3">
        <v>290.55</v>
      </c>
      <c r="AA191" s="1"/>
      <c r="AB191" s="1"/>
      <c r="AC191" s="1" t="s">
        <v>5008</v>
      </c>
      <c r="AD191" s="3">
        <v>290.55</v>
      </c>
      <c r="AE191" s="1" t="s">
        <v>202</v>
      </c>
      <c r="AF191" s="3">
        <v>290.55</v>
      </c>
      <c r="AG191" s="1"/>
      <c r="AH191" s="1"/>
      <c r="AI191" s="1" t="s">
        <v>5009</v>
      </c>
      <c r="AJ191" s="3">
        <v>290.55</v>
      </c>
      <c r="AK191" s="1"/>
      <c r="AL191" s="1"/>
      <c r="AM191" s="1" t="s">
        <v>5010</v>
      </c>
      <c r="AN191" s="3">
        <v>290.55</v>
      </c>
      <c r="AO191" s="1"/>
      <c r="AP191" s="1"/>
      <c r="AQ191" s="1"/>
      <c r="AR191" s="1"/>
      <c r="AS191" s="1"/>
      <c r="AT191" s="1"/>
      <c r="AU191" s="1" t="s">
        <v>5011</v>
      </c>
      <c r="AV191" s="3">
        <v>290.55</v>
      </c>
      <c r="AW191" s="1" t="s">
        <v>5012</v>
      </c>
      <c r="AX191" s="3">
        <v>290.55</v>
      </c>
      <c r="AY191" s="1"/>
      <c r="AZ191" s="1"/>
      <c r="BA191" s="1"/>
      <c r="BB191" s="1"/>
      <c r="BC191" s="67" t="s">
        <v>548</v>
      </c>
      <c r="BD191" s="67">
        <v>456.3</v>
      </c>
      <c r="BE191" s="67">
        <f t="shared" si="1"/>
        <v>2509.65</v>
      </c>
    </row>
    <row r="192">
      <c r="A192" s="1"/>
      <c r="B192" s="1"/>
      <c r="C192" s="1"/>
      <c r="D192" s="1"/>
      <c r="E192" s="1"/>
      <c r="F192" s="1"/>
      <c r="G192" s="1"/>
      <c r="H192" s="1"/>
      <c r="I192" s="1" t="s">
        <v>5013</v>
      </c>
      <c r="J192" s="3">
        <v>290.55</v>
      </c>
      <c r="K192" s="1"/>
      <c r="L192" s="1"/>
      <c r="M192" s="1"/>
      <c r="N192" s="1"/>
      <c r="O192" s="1"/>
      <c r="P192" s="1"/>
      <c r="Q192" s="1" t="s">
        <v>5014</v>
      </c>
      <c r="R192" s="3">
        <v>290.55</v>
      </c>
      <c r="S192" s="1" t="s">
        <v>5015</v>
      </c>
      <c r="T192" s="3">
        <v>290.55</v>
      </c>
      <c r="U192" s="1"/>
      <c r="V192" s="1"/>
      <c r="W192" s="1"/>
      <c r="X192" s="1"/>
      <c r="Y192" s="1" t="s">
        <v>5016</v>
      </c>
      <c r="Z192" s="3">
        <v>290.55</v>
      </c>
      <c r="AA192" s="1"/>
      <c r="AB192" s="1"/>
      <c r="AC192" s="1" t="s">
        <v>5017</v>
      </c>
      <c r="AD192" s="3">
        <v>290.55</v>
      </c>
      <c r="AE192" s="1" t="s">
        <v>203</v>
      </c>
      <c r="AF192" s="3">
        <v>290.55</v>
      </c>
      <c r="AG192" s="1"/>
      <c r="AH192" s="1"/>
      <c r="AI192" s="1" t="s">
        <v>5018</v>
      </c>
      <c r="AJ192" s="3">
        <v>290.55</v>
      </c>
      <c r="AK192" s="1"/>
      <c r="AL192" s="1"/>
      <c r="AM192" s="1" t="s">
        <v>5019</v>
      </c>
      <c r="AN192" s="3">
        <v>290.55</v>
      </c>
      <c r="AO192" s="1"/>
      <c r="AP192" s="1"/>
      <c r="AQ192" s="1"/>
      <c r="AR192" s="1"/>
      <c r="AS192" s="1"/>
      <c r="AT192" s="1"/>
      <c r="AU192" s="1" t="s">
        <v>5020</v>
      </c>
      <c r="AV192" s="3">
        <v>290.55</v>
      </c>
      <c r="AW192" s="1" t="s">
        <v>5021</v>
      </c>
      <c r="AX192" s="3">
        <v>290.55</v>
      </c>
      <c r="AY192" s="1"/>
      <c r="AZ192" s="1"/>
      <c r="BA192" s="1"/>
      <c r="BB192" s="1"/>
      <c r="BC192" s="67" t="s">
        <v>5022</v>
      </c>
      <c r="BD192" s="67">
        <v>385.32</v>
      </c>
      <c r="BE192" s="67">
        <f t="shared" si="1"/>
        <v>2119.26</v>
      </c>
    </row>
    <row r="193">
      <c r="A193" s="1"/>
      <c r="B193" s="1"/>
      <c r="C193" s="1"/>
      <c r="D193" s="1"/>
      <c r="E193" s="1"/>
      <c r="F193" s="1"/>
      <c r="G193" s="1"/>
      <c r="H193" s="1"/>
      <c r="I193" s="1" t="s">
        <v>5023</v>
      </c>
      <c r="J193" s="3">
        <v>290.55</v>
      </c>
      <c r="K193" s="1"/>
      <c r="L193" s="1"/>
      <c r="M193" s="1"/>
      <c r="N193" s="1"/>
      <c r="O193" s="1"/>
      <c r="P193" s="1"/>
      <c r="Q193" s="1" t="s">
        <v>5024</v>
      </c>
      <c r="R193" s="3">
        <v>290.55</v>
      </c>
      <c r="S193" s="1" t="s">
        <v>5025</v>
      </c>
      <c r="T193" s="3">
        <v>290.55</v>
      </c>
      <c r="U193" s="1"/>
      <c r="V193" s="1"/>
      <c r="W193" s="1"/>
      <c r="X193" s="1"/>
      <c r="Y193" s="1" t="s">
        <v>5026</v>
      </c>
      <c r="Z193" s="3">
        <v>290.55</v>
      </c>
      <c r="AA193" s="1"/>
      <c r="AB193" s="1"/>
      <c r="AC193" s="1" t="s">
        <v>5027</v>
      </c>
      <c r="AD193" s="3">
        <v>290.55</v>
      </c>
      <c r="AE193" s="1" t="s">
        <v>204</v>
      </c>
      <c r="AF193" s="3">
        <v>290.55</v>
      </c>
      <c r="AG193" s="1"/>
      <c r="AH193" s="1"/>
      <c r="AI193" s="1" t="s">
        <v>5028</v>
      </c>
      <c r="AJ193" s="3">
        <v>290.55</v>
      </c>
      <c r="AK193" s="1"/>
      <c r="AL193" s="1"/>
      <c r="AM193" s="1" t="s">
        <v>5029</v>
      </c>
      <c r="AN193" s="3">
        <v>290.55</v>
      </c>
      <c r="AO193" s="1"/>
      <c r="AP193" s="1"/>
      <c r="AQ193" s="1"/>
      <c r="AR193" s="1"/>
      <c r="AS193" s="1"/>
      <c r="AT193" s="1"/>
      <c r="AU193" s="1" t="s">
        <v>5030</v>
      </c>
      <c r="AV193" s="3">
        <v>290.55</v>
      </c>
      <c r="AW193" s="1" t="s">
        <v>5031</v>
      </c>
      <c r="AX193" s="3">
        <v>290.55</v>
      </c>
      <c r="AY193" s="1"/>
      <c r="AZ193" s="1"/>
      <c r="BA193" s="1"/>
      <c r="BB193" s="1"/>
      <c r="BC193" s="67" t="s">
        <v>5032</v>
      </c>
      <c r="BD193" s="67">
        <v>385.32</v>
      </c>
      <c r="BE193" s="67">
        <f t="shared" si="1"/>
        <v>2119.26</v>
      </c>
    </row>
    <row r="194">
      <c r="A194" s="1"/>
      <c r="B194" s="1"/>
      <c r="C194" s="1"/>
      <c r="D194" s="1"/>
      <c r="E194" s="1"/>
      <c r="F194" s="1"/>
      <c r="G194" s="1"/>
      <c r="H194" s="1"/>
      <c r="I194" s="1" t="s">
        <v>5033</v>
      </c>
      <c r="J194" s="3">
        <v>290.55</v>
      </c>
      <c r="K194" s="1"/>
      <c r="L194" s="1"/>
      <c r="M194" s="1"/>
      <c r="N194" s="1"/>
      <c r="O194" s="1"/>
      <c r="P194" s="1"/>
      <c r="Q194" s="1" t="s">
        <v>5034</v>
      </c>
      <c r="R194" s="3">
        <v>290.55</v>
      </c>
      <c r="S194" s="1" t="s">
        <v>5035</v>
      </c>
      <c r="T194" s="3">
        <v>290.55</v>
      </c>
      <c r="U194" s="1"/>
      <c r="V194" s="1"/>
      <c r="W194" s="1"/>
      <c r="X194" s="1"/>
      <c r="Y194" s="1" t="s">
        <v>5036</v>
      </c>
      <c r="Z194" s="3">
        <v>290.55</v>
      </c>
      <c r="AA194" s="1"/>
      <c r="AB194" s="1"/>
      <c r="AC194" s="1" t="s">
        <v>5037</v>
      </c>
      <c r="AD194" s="3">
        <v>290.55</v>
      </c>
      <c r="AE194" s="1" t="s">
        <v>18</v>
      </c>
      <c r="AF194" s="3">
        <v>290.55</v>
      </c>
      <c r="AG194" s="1"/>
      <c r="AH194" s="1"/>
      <c r="AI194" s="1" t="s">
        <v>5038</v>
      </c>
      <c r="AJ194" s="3">
        <v>290.55</v>
      </c>
      <c r="AK194" s="1"/>
      <c r="AL194" s="1"/>
      <c r="AM194" s="1" t="s">
        <v>5039</v>
      </c>
      <c r="AN194" s="3">
        <v>290.55</v>
      </c>
      <c r="AO194" s="1"/>
      <c r="AP194" s="1"/>
      <c r="AQ194" s="1"/>
      <c r="AR194" s="1"/>
      <c r="AS194" s="1"/>
      <c r="AT194" s="1"/>
      <c r="AU194" s="1" t="s">
        <v>5040</v>
      </c>
      <c r="AV194" s="3">
        <v>290.55</v>
      </c>
      <c r="AW194" s="1" t="s">
        <v>5041</v>
      </c>
      <c r="AX194" s="3">
        <v>290.55</v>
      </c>
      <c r="AY194" s="1"/>
      <c r="AZ194" s="1"/>
      <c r="BA194" s="1"/>
      <c r="BB194" s="1"/>
      <c r="BC194" s="67" t="s">
        <v>5042</v>
      </c>
      <c r="BD194" s="67">
        <v>456.3</v>
      </c>
      <c r="BE194" s="67">
        <f t="shared" si="1"/>
        <v>2509.65</v>
      </c>
    </row>
    <row r="195">
      <c r="A195" s="1"/>
      <c r="B195" s="1"/>
      <c r="C195" s="1"/>
      <c r="D195" s="1"/>
      <c r="E195" s="1"/>
      <c r="F195" s="1"/>
      <c r="G195" s="1"/>
      <c r="H195" s="1"/>
      <c r="I195" s="1" t="s">
        <v>5043</v>
      </c>
      <c r="J195" s="3">
        <v>290.55</v>
      </c>
      <c r="K195" s="1"/>
      <c r="L195" s="1"/>
      <c r="M195" s="1"/>
      <c r="N195" s="1"/>
      <c r="O195" s="1"/>
      <c r="P195" s="1"/>
      <c r="Q195" s="1" t="s">
        <v>5044</v>
      </c>
      <c r="R195" s="3">
        <v>290.55</v>
      </c>
      <c r="S195" s="1" t="s">
        <v>5045</v>
      </c>
      <c r="T195" s="3">
        <v>290.55</v>
      </c>
      <c r="U195" s="1"/>
      <c r="V195" s="1"/>
      <c r="W195" s="1"/>
      <c r="X195" s="1"/>
      <c r="Y195" s="1" t="s">
        <v>5046</v>
      </c>
      <c r="Z195" s="3">
        <v>290.55</v>
      </c>
      <c r="AA195" s="1"/>
      <c r="AB195" s="1"/>
      <c r="AC195" s="1" t="s">
        <v>5047</v>
      </c>
      <c r="AD195" s="3">
        <v>290.55</v>
      </c>
      <c r="AE195" s="1" t="s">
        <v>205</v>
      </c>
      <c r="AF195" s="3">
        <v>290.55</v>
      </c>
      <c r="AG195" s="1"/>
      <c r="AH195" s="1"/>
      <c r="AI195" s="1" t="s">
        <v>5048</v>
      </c>
      <c r="AJ195" s="3">
        <v>290.55</v>
      </c>
      <c r="AK195" s="1"/>
      <c r="AL195" s="1"/>
      <c r="AM195" s="1" t="s">
        <v>5049</v>
      </c>
      <c r="AN195" s="3">
        <v>290.55</v>
      </c>
      <c r="AO195" s="1"/>
      <c r="AP195" s="1"/>
      <c r="AQ195" s="1"/>
      <c r="AR195" s="1"/>
      <c r="AS195" s="1"/>
      <c r="AT195" s="1"/>
      <c r="AU195" s="1" t="s">
        <v>5050</v>
      </c>
      <c r="AV195" s="3">
        <v>290.55</v>
      </c>
      <c r="AW195" s="1" t="s">
        <v>5051</v>
      </c>
      <c r="AX195" s="3">
        <v>290.55</v>
      </c>
      <c r="AY195" s="1"/>
      <c r="AZ195" s="1"/>
      <c r="BA195" s="1"/>
      <c r="BB195" s="1"/>
      <c r="BC195" s="67" t="s">
        <v>5052</v>
      </c>
      <c r="BD195" s="67">
        <v>385.32</v>
      </c>
      <c r="BE195" s="67">
        <f t="shared" si="1"/>
        <v>2119.26</v>
      </c>
    </row>
    <row r="196">
      <c r="A196" s="1"/>
      <c r="B196" s="1"/>
      <c r="C196" s="1"/>
      <c r="D196" s="1"/>
      <c r="E196" s="1"/>
      <c r="F196" s="1"/>
      <c r="G196" s="1"/>
      <c r="H196" s="1"/>
      <c r="I196" s="1" t="s">
        <v>5053</v>
      </c>
      <c r="J196" s="3">
        <v>290.55</v>
      </c>
      <c r="K196" s="1"/>
      <c r="L196" s="1"/>
      <c r="M196" s="1"/>
      <c r="N196" s="1"/>
      <c r="O196" s="1"/>
      <c r="P196" s="1"/>
      <c r="Q196" s="1" t="s">
        <v>5054</v>
      </c>
      <c r="R196" s="3">
        <v>290.55</v>
      </c>
      <c r="S196" s="1" t="s">
        <v>5055</v>
      </c>
      <c r="T196" s="3">
        <v>290.55</v>
      </c>
      <c r="U196" s="1"/>
      <c r="V196" s="1"/>
      <c r="W196" s="1"/>
      <c r="X196" s="1"/>
      <c r="Y196" s="1" t="s">
        <v>5056</v>
      </c>
      <c r="Z196" s="3">
        <v>290.55</v>
      </c>
      <c r="AA196" s="1"/>
      <c r="AB196" s="1"/>
      <c r="AC196" s="1" t="s">
        <v>5057</v>
      </c>
      <c r="AD196" s="3">
        <v>290.55</v>
      </c>
      <c r="AE196" s="1" t="s">
        <v>206</v>
      </c>
      <c r="AF196" s="3">
        <v>290.55</v>
      </c>
      <c r="AG196" s="1"/>
      <c r="AH196" s="1"/>
      <c r="AI196" s="1" t="s">
        <v>5058</v>
      </c>
      <c r="AJ196" s="3">
        <v>290.55</v>
      </c>
      <c r="AK196" s="1"/>
      <c r="AL196" s="1"/>
      <c r="AM196" s="1" t="s">
        <v>2361</v>
      </c>
      <c r="AN196" s="3">
        <v>290.55</v>
      </c>
      <c r="AO196" s="1"/>
      <c r="AP196" s="1"/>
      <c r="AQ196" s="1"/>
      <c r="AR196" s="1"/>
      <c r="AS196" s="1"/>
      <c r="AT196" s="1"/>
      <c r="AU196" s="1" t="s">
        <v>5059</v>
      </c>
      <c r="AV196" s="3">
        <v>290.55</v>
      </c>
      <c r="AW196" s="1" t="s">
        <v>5060</v>
      </c>
      <c r="AX196" s="3">
        <v>290.55</v>
      </c>
      <c r="AY196" s="1"/>
      <c r="AZ196" s="1"/>
      <c r="BA196" s="1"/>
      <c r="BB196" s="1"/>
      <c r="BC196" s="67" t="s">
        <v>5061</v>
      </c>
      <c r="BD196" s="67">
        <v>385.32</v>
      </c>
      <c r="BE196" s="67">
        <f t="shared" si="1"/>
        <v>2119.26</v>
      </c>
    </row>
    <row r="197">
      <c r="A197" s="1"/>
      <c r="B197" s="1"/>
      <c r="C197" s="1"/>
      <c r="D197" s="1"/>
      <c r="E197" s="1"/>
      <c r="F197" s="1"/>
      <c r="G197" s="1"/>
      <c r="H197" s="1"/>
      <c r="I197" s="1" t="s">
        <v>5062</v>
      </c>
      <c r="J197" s="3">
        <v>290.55</v>
      </c>
      <c r="K197" s="1"/>
      <c r="L197" s="1"/>
      <c r="M197" s="1"/>
      <c r="N197" s="1"/>
      <c r="O197" s="1"/>
      <c r="P197" s="1"/>
      <c r="Q197" s="1" t="s">
        <v>5063</v>
      </c>
      <c r="R197" s="3">
        <v>290.55</v>
      </c>
      <c r="S197" s="1" t="s">
        <v>5064</v>
      </c>
      <c r="T197" s="3">
        <v>290.55</v>
      </c>
      <c r="U197" s="1"/>
      <c r="V197" s="1"/>
      <c r="W197" s="1"/>
      <c r="X197" s="1"/>
      <c r="Y197" s="1" t="s">
        <v>5065</v>
      </c>
      <c r="Z197" s="3">
        <v>290.55</v>
      </c>
      <c r="AA197" s="1"/>
      <c r="AB197" s="1"/>
      <c r="AC197" s="1" t="s">
        <v>5066</v>
      </c>
      <c r="AD197" s="3">
        <v>290.55</v>
      </c>
      <c r="AE197" s="1" t="s">
        <v>207</v>
      </c>
      <c r="AF197" s="3">
        <v>290.55</v>
      </c>
      <c r="AG197" s="1"/>
      <c r="AH197" s="1"/>
      <c r="AI197" s="1" t="s">
        <v>5067</v>
      </c>
      <c r="AJ197" s="3">
        <v>290.55</v>
      </c>
      <c r="AK197" s="1"/>
      <c r="AL197" s="1"/>
      <c r="AM197" s="1" t="s">
        <v>5068</v>
      </c>
      <c r="AN197" s="3">
        <v>290.55</v>
      </c>
      <c r="AO197" s="1"/>
      <c r="AP197" s="1"/>
      <c r="AQ197" s="1"/>
      <c r="AR197" s="1"/>
      <c r="AS197" s="1"/>
      <c r="AT197" s="1"/>
      <c r="AU197" s="1" t="s">
        <v>4226</v>
      </c>
      <c r="AV197" s="3">
        <v>290.55</v>
      </c>
      <c r="AW197" s="1" t="s">
        <v>5069</v>
      </c>
      <c r="AX197" s="3">
        <v>290.55</v>
      </c>
      <c r="AY197" s="1"/>
      <c r="AZ197" s="1"/>
      <c r="BA197" s="1"/>
      <c r="BB197" s="1"/>
      <c r="BC197" s="67" t="s">
        <v>5070</v>
      </c>
      <c r="BD197" s="67">
        <v>398.91</v>
      </c>
      <c r="BE197" s="67">
        <f t="shared" si="1"/>
        <v>2194.005</v>
      </c>
    </row>
    <row r="198">
      <c r="A198" s="1"/>
      <c r="B198" s="1"/>
      <c r="C198" s="1"/>
      <c r="D198" s="1"/>
      <c r="E198" s="1"/>
      <c r="F198" s="1"/>
      <c r="G198" s="1"/>
      <c r="H198" s="1"/>
      <c r="I198" s="1" t="s">
        <v>5071</v>
      </c>
      <c r="J198" s="3">
        <v>290.55</v>
      </c>
      <c r="K198" s="1"/>
      <c r="L198" s="1"/>
      <c r="M198" s="1"/>
      <c r="N198" s="1"/>
      <c r="O198" s="1"/>
      <c r="P198" s="1"/>
      <c r="Q198" s="1" t="s">
        <v>5072</v>
      </c>
      <c r="R198" s="3">
        <v>290.55</v>
      </c>
      <c r="S198" s="1" t="s">
        <v>5073</v>
      </c>
      <c r="T198" s="3">
        <v>290.55</v>
      </c>
      <c r="U198" s="1"/>
      <c r="V198" s="1"/>
      <c r="W198" s="1"/>
      <c r="X198" s="1"/>
      <c r="Y198" s="1" t="s">
        <v>5074</v>
      </c>
      <c r="Z198" s="3">
        <v>290.55</v>
      </c>
      <c r="AA198" s="1"/>
      <c r="AB198" s="1"/>
      <c r="AC198" s="1" t="s">
        <v>5075</v>
      </c>
      <c r="AD198" s="3">
        <v>290.55</v>
      </c>
      <c r="AE198" s="1" t="s">
        <v>208</v>
      </c>
      <c r="AF198" s="3">
        <v>290.55</v>
      </c>
      <c r="AG198" s="1"/>
      <c r="AH198" s="1"/>
      <c r="AI198" s="1" t="s">
        <v>5076</v>
      </c>
      <c r="AJ198" s="3">
        <v>290.55</v>
      </c>
      <c r="AK198" s="1"/>
      <c r="AL198" s="1"/>
      <c r="AM198" s="1" t="s">
        <v>5077</v>
      </c>
      <c r="AN198" s="3">
        <v>290.55</v>
      </c>
      <c r="AO198" s="1"/>
      <c r="AP198" s="1"/>
      <c r="AQ198" s="1"/>
      <c r="AR198" s="1"/>
      <c r="AS198" s="1"/>
      <c r="AT198" s="1"/>
      <c r="AU198" s="1" t="s">
        <v>5078</v>
      </c>
      <c r="AV198" s="3">
        <v>290.55</v>
      </c>
      <c r="AW198" s="1" t="s">
        <v>5079</v>
      </c>
      <c r="AX198" s="3">
        <v>290.55</v>
      </c>
      <c r="AY198" s="1"/>
      <c r="AZ198" s="1"/>
      <c r="BA198" s="1"/>
      <c r="BB198" s="1"/>
      <c r="BC198" s="67" t="s">
        <v>5080</v>
      </c>
      <c r="BD198" s="67">
        <v>398.91</v>
      </c>
      <c r="BE198" s="67">
        <f t="shared" si="1"/>
        <v>2194.005</v>
      </c>
    </row>
    <row r="199">
      <c r="A199" s="1"/>
      <c r="B199" s="1"/>
      <c r="C199" s="1"/>
      <c r="D199" s="1"/>
      <c r="E199" s="1"/>
      <c r="F199" s="1"/>
      <c r="G199" s="1"/>
      <c r="H199" s="1"/>
      <c r="I199" s="1" t="s">
        <v>5081</v>
      </c>
      <c r="J199" s="3">
        <v>290.55</v>
      </c>
      <c r="K199" s="1"/>
      <c r="L199" s="1"/>
      <c r="M199" s="1"/>
      <c r="N199" s="1"/>
      <c r="O199" s="1"/>
      <c r="P199" s="1"/>
      <c r="Q199" s="1" t="s">
        <v>5082</v>
      </c>
      <c r="R199" s="3">
        <v>290.55</v>
      </c>
      <c r="S199" s="1" t="s">
        <v>5083</v>
      </c>
      <c r="T199" s="3">
        <v>290.55</v>
      </c>
      <c r="U199" s="1"/>
      <c r="V199" s="1"/>
      <c r="W199" s="1"/>
      <c r="X199" s="1"/>
      <c r="Y199" s="1" t="s">
        <v>5084</v>
      </c>
      <c r="Z199" s="3">
        <v>290.55</v>
      </c>
      <c r="AA199" s="1"/>
      <c r="AB199" s="1"/>
      <c r="AC199" s="1" t="s">
        <v>5085</v>
      </c>
      <c r="AD199" s="3">
        <v>290.55</v>
      </c>
      <c r="AE199" s="1" t="s">
        <v>209</v>
      </c>
      <c r="AF199" s="3">
        <v>290.55</v>
      </c>
      <c r="AG199" s="1"/>
      <c r="AH199" s="1"/>
      <c r="AI199" s="1" t="s">
        <v>5086</v>
      </c>
      <c r="AJ199" s="3">
        <v>290.55</v>
      </c>
      <c r="AK199" s="1"/>
      <c r="AL199" s="1"/>
      <c r="AM199" s="1" t="s">
        <v>5087</v>
      </c>
      <c r="AN199" s="3">
        <v>290.55</v>
      </c>
      <c r="AO199" s="1"/>
      <c r="AP199" s="1"/>
      <c r="AQ199" s="1"/>
      <c r="AR199" s="1"/>
      <c r="AS199" s="1"/>
      <c r="AT199" s="1"/>
      <c r="AU199" s="1" t="s">
        <v>5088</v>
      </c>
      <c r="AV199" s="3">
        <v>290.55</v>
      </c>
      <c r="AW199" s="1" t="s">
        <v>5089</v>
      </c>
      <c r="AX199" s="3">
        <v>290.55</v>
      </c>
      <c r="AY199" s="1"/>
      <c r="AZ199" s="1"/>
      <c r="BA199" s="1"/>
      <c r="BB199" s="1"/>
      <c r="BC199" s="67" t="s">
        <v>5090</v>
      </c>
      <c r="BD199" s="67">
        <v>295.09</v>
      </c>
      <c r="BE199" s="67">
        <f t="shared" si="1"/>
        <v>1622.995</v>
      </c>
    </row>
    <row r="200">
      <c r="A200" s="1"/>
      <c r="B200" s="1"/>
      <c r="C200" s="1"/>
      <c r="D200" s="1"/>
      <c r="E200" s="1"/>
      <c r="F200" s="1"/>
      <c r="G200" s="1"/>
      <c r="H200" s="1"/>
      <c r="I200" s="1" t="s">
        <v>5091</v>
      </c>
      <c r="J200" s="3">
        <v>290.55</v>
      </c>
      <c r="K200" s="1"/>
      <c r="L200" s="1"/>
      <c r="M200" s="1"/>
      <c r="N200" s="1"/>
      <c r="O200" s="1"/>
      <c r="P200" s="1"/>
      <c r="Q200" s="1" t="s">
        <v>5092</v>
      </c>
      <c r="R200" s="3">
        <v>290.55</v>
      </c>
      <c r="S200" s="1" t="s">
        <v>4558</v>
      </c>
      <c r="T200" s="3">
        <v>290.55</v>
      </c>
      <c r="U200" s="1"/>
      <c r="V200" s="1"/>
      <c r="W200" s="1"/>
      <c r="X200" s="1"/>
      <c r="Y200" s="1" t="s">
        <v>5093</v>
      </c>
      <c r="Z200" s="3">
        <v>290.55</v>
      </c>
      <c r="AA200" s="1"/>
      <c r="AB200" s="1"/>
      <c r="AC200" s="1" t="s">
        <v>5094</v>
      </c>
      <c r="AD200" s="3">
        <v>290.55</v>
      </c>
      <c r="AE200" s="1" t="s">
        <v>210</v>
      </c>
      <c r="AF200" s="3">
        <v>290.55</v>
      </c>
      <c r="AG200" s="1"/>
      <c r="AH200" s="1"/>
      <c r="AI200" s="1" t="s">
        <v>5095</v>
      </c>
      <c r="AJ200" s="3">
        <v>290.55</v>
      </c>
      <c r="AK200" s="1"/>
      <c r="AL200" s="1"/>
      <c r="AM200" s="1" t="s">
        <v>5096</v>
      </c>
      <c r="AN200" s="3">
        <v>290.55</v>
      </c>
      <c r="AO200" s="1"/>
      <c r="AP200" s="1"/>
      <c r="AQ200" s="1"/>
      <c r="AR200" s="1"/>
      <c r="AS200" s="1"/>
      <c r="AT200" s="1"/>
      <c r="AU200" s="1" t="s">
        <v>5097</v>
      </c>
      <c r="AV200" s="3">
        <v>290.55</v>
      </c>
      <c r="AW200" s="1" t="s">
        <v>5098</v>
      </c>
      <c r="AX200" s="3">
        <v>290.55</v>
      </c>
      <c r="AY200" s="1"/>
      <c r="AZ200" s="1"/>
      <c r="BA200" s="1"/>
      <c r="BB200" s="1"/>
      <c r="BC200" s="67" t="s">
        <v>4292</v>
      </c>
      <c r="BD200" s="67">
        <v>456.3</v>
      </c>
      <c r="BE200" s="67">
        <f t="shared" si="1"/>
        <v>2509.65</v>
      </c>
    </row>
    <row r="201">
      <c r="A201" s="1"/>
      <c r="B201" s="1"/>
      <c r="C201" s="1"/>
      <c r="D201" s="1"/>
      <c r="E201" s="1"/>
      <c r="F201" s="1"/>
      <c r="G201" s="1"/>
      <c r="H201" s="1"/>
      <c r="I201" s="1" t="s">
        <v>5099</v>
      </c>
      <c r="J201" s="3">
        <v>290.55</v>
      </c>
      <c r="K201" s="1"/>
      <c r="L201" s="1"/>
      <c r="M201" s="1"/>
      <c r="N201" s="1"/>
      <c r="O201" s="1"/>
      <c r="P201" s="1"/>
      <c r="Q201" s="1" t="s">
        <v>5100</v>
      </c>
      <c r="R201" s="3">
        <v>290.55</v>
      </c>
      <c r="S201" s="1" t="s">
        <v>5101</v>
      </c>
      <c r="T201" s="3">
        <v>290.55</v>
      </c>
      <c r="U201" s="1"/>
      <c r="V201" s="1"/>
      <c r="W201" s="1"/>
      <c r="X201" s="1"/>
      <c r="Y201" s="1" t="s">
        <v>5102</v>
      </c>
      <c r="Z201" s="3">
        <v>290.55</v>
      </c>
      <c r="AA201" s="1"/>
      <c r="AB201" s="1"/>
      <c r="AC201" s="1" t="s">
        <v>5103</v>
      </c>
      <c r="AD201" s="3">
        <v>290.55</v>
      </c>
      <c r="AE201" s="1" t="s">
        <v>211</v>
      </c>
      <c r="AF201" s="3">
        <v>290.55</v>
      </c>
      <c r="AG201" s="1"/>
      <c r="AH201" s="1"/>
      <c r="AI201" s="1" t="s">
        <v>5104</v>
      </c>
      <c r="AJ201" s="3">
        <v>290.55</v>
      </c>
      <c r="AK201" s="1"/>
      <c r="AL201" s="1"/>
      <c r="AM201" s="1" t="s">
        <v>5105</v>
      </c>
      <c r="AN201" s="3">
        <v>290.55</v>
      </c>
      <c r="AO201" s="1"/>
      <c r="AP201" s="1"/>
      <c r="AQ201" s="1"/>
      <c r="AR201" s="1"/>
      <c r="AS201" s="1"/>
      <c r="AT201" s="1"/>
      <c r="AU201" s="1" t="s">
        <v>5106</v>
      </c>
      <c r="AV201" s="3">
        <v>290.55</v>
      </c>
      <c r="AW201" s="1" t="s">
        <v>5107</v>
      </c>
      <c r="AX201" s="3">
        <v>290.55</v>
      </c>
      <c r="AY201" s="1"/>
      <c r="AZ201" s="1"/>
      <c r="BA201" s="1"/>
      <c r="BB201" s="1"/>
      <c r="BC201" s="67" t="s">
        <v>5108</v>
      </c>
      <c r="BD201" s="67">
        <v>456.3</v>
      </c>
      <c r="BE201" s="67">
        <f t="shared" si="1"/>
        <v>2509.65</v>
      </c>
    </row>
    <row r="202">
      <c r="A202" s="1"/>
      <c r="B202" s="1"/>
      <c r="C202" s="1"/>
      <c r="D202" s="1"/>
      <c r="E202" s="1"/>
      <c r="F202" s="1"/>
      <c r="G202" s="1"/>
      <c r="H202" s="1"/>
      <c r="I202" s="1" t="s">
        <v>5109</v>
      </c>
      <c r="J202" s="3">
        <v>290.55</v>
      </c>
      <c r="K202" s="1"/>
      <c r="L202" s="1"/>
      <c r="M202" s="1"/>
      <c r="N202" s="1"/>
      <c r="O202" s="1"/>
      <c r="P202" s="1"/>
      <c r="Q202" s="1" t="s">
        <v>5110</v>
      </c>
      <c r="R202" s="3">
        <v>290.55</v>
      </c>
      <c r="S202" s="1" t="s">
        <v>5111</v>
      </c>
      <c r="T202" s="3">
        <v>290.55</v>
      </c>
      <c r="U202" s="1"/>
      <c r="V202" s="1"/>
      <c r="W202" s="1"/>
      <c r="X202" s="1"/>
      <c r="Y202" s="1" t="s">
        <v>5112</v>
      </c>
      <c r="Z202" s="3">
        <v>290.55</v>
      </c>
      <c r="AA202" s="1"/>
      <c r="AB202" s="1"/>
      <c r="AC202" s="1" t="s">
        <v>5113</v>
      </c>
      <c r="AD202" s="3">
        <v>290.55</v>
      </c>
      <c r="AE202" s="1" t="s">
        <v>212</v>
      </c>
      <c r="AF202" s="3">
        <v>290.55</v>
      </c>
      <c r="AG202" s="1"/>
      <c r="AH202" s="1"/>
      <c r="AI202" s="1" t="s">
        <v>5114</v>
      </c>
      <c r="AJ202" s="3">
        <v>290.55</v>
      </c>
      <c r="AK202" s="1"/>
      <c r="AL202" s="1"/>
      <c r="AM202" s="1" t="s">
        <v>5115</v>
      </c>
      <c r="AN202" s="3">
        <v>290.55</v>
      </c>
      <c r="AO202" s="1"/>
      <c r="AP202" s="1"/>
      <c r="AQ202" s="1"/>
      <c r="AR202" s="1"/>
      <c r="AS202" s="1"/>
      <c r="AT202" s="1"/>
      <c r="AU202" s="1" t="s">
        <v>5116</v>
      </c>
      <c r="AV202" s="3">
        <v>290.55</v>
      </c>
      <c r="AW202" s="1" t="s">
        <v>146</v>
      </c>
      <c r="AX202" s="3">
        <v>290.55</v>
      </c>
      <c r="AY202" s="1"/>
      <c r="AZ202" s="1"/>
      <c r="BA202" s="1"/>
      <c r="BB202" s="1"/>
      <c r="BC202" s="67" t="s">
        <v>5117</v>
      </c>
      <c r="BD202" s="67">
        <v>385.32</v>
      </c>
      <c r="BE202" s="67">
        <f t="shared" si="1"/>
        <v>2119.26</v>
      </c>
    </row>
    <row r="203">
      <c r="A203" s="1"/>
      <c r="B203" s="1"/>
      <c r="C203" s="1"/>
      <c r="D203" s="1"/>
      <c r="E203" s="1"/>
      <c r="F203" s="1"/>
      <c r="G203" s="1"/>
      <c r="H203" s="1"/>
      <c r="I203" s="1" t="s">
        <v>5118</v>
      </c>
      <c r="J203" s="3">
        <v>290.55</v>
      </c>
      <c r="K203" s="1"/>
      <c r="L203" s="1"/>
      <c r="M203" s="1"/>
      <c r="N203" s="1"/>
      <c r="O203" s="1"/>
      <c r="P203" s="1"/>
      <c r="Q203" s="1" t="s">
        <v>5119</v>
      </c>
      <c r="R203" s="3">
        <v>290.55</v>
      </c>
      <c r="S203" s="1" t="s">
        <v>5120</v>
      </c>
      <c r="T203" s="3">
        <v>290.55</v>
      </c>
      <c r="U203" s="1"/>
      <c r="V203" s="1"/>
      <c r="W203" s="1"/>
      <c r="X203" s="1"/>
      <c r="Y203" s="1" t="s">
        <v>5121</v>
      </c>
      <c r="Z203" s="3">
        <v>290.55</v>
      </c>
      <c r="AA203" s="1"/>
      <c r="AB203" s="1"/>
      <c r="AC203" s="1" t="s">
        <v>5122</v>
      </c>
      <c r="AD203" s="3">
        <v>290.55</v>
      </c>
      <c r="AE203" s="1" t="s">
        <v>213</v>
      </c>
      <c r="AF203" s="3">
        <v>290.55</v>
      </c>
      <c r="AG203" s="1"/>
      <c r="AH203" s="1"/>
      <c r="AI203" s="1" t="s">
        <v>5123</v>
      </c>
      <c r="AJ203" s="3">
        <v>290.55</v>
      </c>
      <c r="AK203" s="1"/>
      <c r="AL203" s="1"/>
      <c r="AM203" s="1" t="s">
        <v>5124</v>
      </c>
      <c r="AN203" s="3">
        <v>290.55</v>
      </c>
      <c r="AO203" s="1"/>
      <c r="AP203" s="1"/>
      <c r="AQ203" s="1"/>
      <c r="AR203" s="1"/>
      <c r="AS203" s="1"/>
      <c r="AT203" s="1"/>
      <c r="AU203" s="1" t="s">
        <v>5125</v>
      </c>
      <c r="AV203" s="3">
        <v>290.55</v>
      </c>
      <c r="AW203" s="1" t="s">
        <v>5126</v>
      </c>
      <c r="AX203" s="3">
        <v>290.55</v>
      </c>
      <c r="AY203" s="1"/>
      <c r="AZ203" s="1"/>
      <c r="BA203" s="1"/>
      <c r="BB203" s="1"/>
      <c r="BC203" s="67" t="s">
        <v>5127</v>
      </c>
      <c r="BD203" s="67">
        <v>398.91</v>
      </c>
      <c r="BE203" s="67">
        <f t="shared" si="1"/>
        <v>2194.005</v>
      </c>
    </row>
    <row r="204">
      <c r="A204" s="1"/>
      <c r="B204" s="1"/>
      <c r="C204" s="1"/>
      <c r="D204" s="1"/>
      <c r="E204" s="1"/>
      <c r="F204" s="1"/>
      <c r="G204" s="1"/>
      <c r="H204" s="1"/>
      <c r="I204" s="1" t="s">
        <v>5128</v>
      </c>
      <c r="J204" s="3">
        <v>290.55</v>
      </c>
      <c r="K204" s="1"/>
      <c r="L204" s="1"/>
      <c r="M204" s="1"/>
      <c r="N204" s="1"/>
      <c r="O204" s="1"/>
      <c r="P204" s="1"/>
      <c r="Q204" s="1" t="s">
        <v>5129</v>
      </c>
      <c r="R204" s="3">
        <v>290.55</v>
      </c>
      <c r="S204" s="1" t="s">
        <v>5130</v>
      </c>
      <c r="T204" s="3">
        <v>290.55</v>
      </c>
      <c r="U204" s="1"/>
      <c r="V204" s="1"/>
      <c r="W204" s="1"/>
      <c r="X204" s="1"/>
      <c r="Y204" s="1" t="s">
        <v>5131</v>
      </c>
      <c r="Z204" s="3">
        <v>290.55</v>
      </c>
      <c r="AA204" s="1"/>
      <c r="AB204" s="1"/>
      <c r="AC204" s="1" t="s">
        <v>5132</v>
      </c>
      <c r="AD204" s="3">
        <v>290.55</v>
      </c>
      <c r="AE204" s="1" t="s">
        <v>214</v>
      </c>
      <c r="AF204" s="3">
        <v>290.55</v>
      </c>
      <c r="AG204" s="1"/>
      <c r="AH204" s="1"/>
      <c r="AI204" s="1" t="s">
        <v>5133</v>
      </c>
      <c r="AJ204" s="3">
        <v>290.55</v>
      </c>
      <c r="AK204" s="1"/>
      <c r="AL204" s="1"/>
      <c r="AM204" s="1" t="s">
        <v>5134</v>
      </c>
      <c r="AN204" s="3">
        <v>290.55</v>
      </c>
      <c r="AO204" s="1"/>
      <c r="AP204" s="1"/>
      <c r="AQ204" s="1"/>
      <c r="AR204" s="1"/>
      <c r="AS204" s="1"/>
      <c r="AT204" s="1"/>
      <c r="AU204" s="1" t="s">
        <v>5135</v>
      </c>
      <c r="AV204" s="3">
        <v>290.55</v>
      </c>
      <c r="AW204" s="1" t="s">
        <v>5136</v>
      </c>
      <c r="AX204" s="3">
        <v>290.55</v>
      </c>
      <c r="AY204" s="1"/>
      <c r="AZ204" s="1"/>
      <c r="BA204" s="1"/>
      <c r="BB204" s="1"/>
      <c r="BC204" s="67" t="s">
        <v>5137</v>
      </c>
      <c r="BD204" s="67">
        <v>456.3</v>
      </c>
      <c r="BE204" s="67">
        <f t="shared" si="1"/>
        <v>2509.65</v>
      </c>
    </row>
    <row r="205">
      <c r="A205" s="1"/>
      <c r="B205" s="1"/>
      <c r="C205" s="1"/>
      <c r="D205" s="1"/>
      <c r="E205" s="1"/>
      <c r="F205" s="1"/>
      <c r="G205" s="1"/>
      <c r="H205" s="1"/>
      <c r="I205" s="1" t="s">
        <v>5138</v>
      </c>
      <c r="J205" s="3">
        <v>290.55</v>
      </c>
      <c r="K205" s="1"/>
      <c r="L205" s="1"/>
      <c r="M205" s="1"/>
      <c r="N205" s="1"/>
      <c r="O205" s="1"/>
      <c r="P205" s="1"/>
      <c r="Q205" s="1" t="s">
        <v>5139</v>
      </c>
      <c r="R205" s="3">
        <v>290.55</v>
      </c>
      <c r="S205" s="1" t="s">
        <v>5140</v>
      </c>
      <c r="T205" s="3">
        <v>290.55</v>
      </c>
      <c r="U205" s="1"/>
      <c r="V205" s="1"/>
      <c r="W205" s="1"/>
      <c r="X205" s="1"/>
      <c r="Y205" s="1" t="s">
        <v>5141</v>
      </c>
      <c r="Z205" s="3">
        <v>290.55</v>
      </c>
      <c r="AA205" s="1"/>
      <c r="AB205" s="1"/>
      <c r="AC205" s="1" t="s">
        <v>5142</v>
      </c>
      <c r="AD205" s="3">
        <v>290.55</v>
      </c>
      <c r="AE205" s="1" t="s">
        <v>215</v>
      </c>
      <c r="AF205" s="3">
        <v>290.55</v>
      </c>
      <c r="AG205" s="1"/>
      <c r="AH205" s="1"/>
      <c r="AI205" s="1" t="s">
        <v>5143</v>
      </c>
      <c r="AJ205" s="3">
        <v>290.55</v>
      </c>
      <c r="AK205" s="1"/>
      <c r="AL205" s="1"/>
      <c r="AM205" s="1" t="s">
        <v>5144</v>
      </c>
      <c r="AN205" s="3">
        <v>290.55</v>
      </c>
      <c r="AO205" s="1"/>
      <c r="AP205" s="1"/>
      <c r="AQ205" s="1"/>
      <c r="AR205" s="1"/>
      <c r="AS205" s="1"/>
      <c r="AT205" s="1"/>
      <c r="AU205" s="1" t="s">
        <v>5145</v>
      </c>
      <c r="AV205" s="3">
        <v>290.55</v>
      </c>
      <c r="AW205" s="1" t="s">
        <v>5146</v>
      </c>
      <c r="AX205" s="3">
        <v>290.55</v>
      </c>
      <c r="AY205" s="1"/>
      <c r="AZ205" s="1"/>
      <c r="BA205" s="1"/>
      <c r="BB205" s="1"/>
      <c r="BC205" s="67" t="s">
        <v>5147</v>
      </c>
      <c r="BD205" s="67">
        <v>385.32</v>
      </c>
      <c r="BE205" s="67">
        <f t="shared" si="1"/>
        <v>2119.26</v>
      </c>
    </row>
    <row r="206">
      <c r="A206" s="1"/>
      <c r="B206" s="1"/>
      <c r="C206" s="1"/>
      <c r="D206" s="1"/>
      <c r="E206" s="1"/>
      <c r="F206" s="1"/>
      <c r="G206" s="1"/>
      <c r="H206" s="1"/>
      <c r="I206" s="1" t="s">
        <v>5148</v>
      </c>
      <c r="J206" s="3">
        <v>290.55</v>
      </c>
      <c r="K206" s="1"/>
      <c r="L206" s="1"/>
      <c r="M206" s="1"/>
      <c r="N206" s="1"/>
      <c r="O206" s="1"/>
      <c r="P206" s="1"/>
      <c r="Q206" s="1" t="s">
        <v>5149</v>
      </c>
      <c r="R206" s="3">
        <v>290.55</v>
      </c>
      <c r="S206" s="1" t="s">
        <v>5150</v>
      </c>
      <c r="T206" s="3">
        <v>290.55</v>
      </c>
      <c r="U206" s="1"/>
      <c r="V206" s="1"/>
      <c r="W206" s="1"/>
      <c r="X206" s="1"/>
      <c r="Y206" s="1" t="s">
        <v>5151</v>
      </c>
      <c r="Z206" s="3">
        <v>290.55</v>
      </c>
      <c r="AA206" s="1"/>
      <c r="AB206" s="1"/>
      <c r="AC206" s="1" t="s">
        <v>5152</v>
      </c>
      <c r="AD206" s="3">
        <v>290.55</v>
      </c>
      <c r="AE206" s="1" t="s">
        <v>216</v>
      </c>
      <c r="AF206" s="3">
        <v>290.55</v>
      </c>
      <c r="AG206" s="1"/>
      <c r="AH206" s="1"/>
      <c r="AI206" s="1" t="s">
        <v>5153</v>
      </c>
      <c r="AJ206" s="3">
        <v>290.55</v>
      </c>
      <c r="AK206" s="1"/>
      <c r="AL206" s="1"/>
      <c r="AM206" s="1" t="s">
        <v>5154</v>
      </c>
      <c r="AN206" s="3">
        <v>290.55</v>
      </c>
      <c r="AO206" s="1"/>
      <c r="AP206" s="1"/>
      <c r="AQ206" s="1"/>
      <c r="AR206" s="1"/>
      <c r="AS206" s="1"/>
      <c r="AT206" s="1"/>
      <c r="AU206" s="1" t="s">
        <v>5155</v>
      </c>
      <c r="AV206" s="3">
        <v>290.55</v>
      </c>
      <c r="AW206" s="1" t="s">
        <v>5156</v>
      </c>
      <c r="AX206" s="3">
        <v>290.55</v>
      </c>
      <c r="AY206" s="1"/>
      <c r="AZ206" s="1"/>
      <c r="BA206" s="1"/>
      <c r="BB206" s="1"/>
      <c r="BC206" s="67" t="s">
        <v>5157</v>
      </c>
      <c r="BD206" s="67">
        <v>456.3</v>
      </c>
      <c r="BE206" s="67">
        <f t="shared" si="1"/>
        <v>2509.65</v>
      </c>
    </row>
    <row r="207">
      <c r="A207" s="1"/>
      <c r="B207" s="1"/>
      <c r="C207" s="1"/>
      <c r="D207" s="1"/>
      <c r="E207" s="1"/>
      <c r="F207" s="1"/>
      <c r="G207" s="1"/>
      <c r="H207" s="1"/>
      <c r="I207" s="1" t="s">
        <v>5158</v>
      </c>
      <c r="J207" s="3">
        <v>290.55</v>
      </c>
      <c r="K207" s="1"/>
      <c r="L207" s="1"/>
      <c r="M207" s="1"/>
      <c r="N207" s="1"/>
      <c r="O207" s="1"/>
      <c r="P207" s="1"/>
      <c r="Q207" s="1" t="s">
        <v>5159</v>
      </c>
      <c r="R207" s="3">
        <v>290.55</v>
      </c>
      <c r="S207" s="1" t="s">
        <v>5160</v>
      </c>
      <c r="T207" s="3">
        <v>290.55</v>
      </c>
      <c r="U207" s="1"/>
      <c r="V207" s="1"/>
      <c r="W207" s="1"/>
      <c r="X207" s="1"/>
      <c r="Y207" s="1" t="s">
        <v>5161</v>
      </c>
      <c r="Z207" s="3">
        <v>290.55</v>
      </c>
      <c r="AA207" s="1"/>
      <c r="AB207" s="1"/>
      <c r="AC207" s="1" t="s">
        <v>5162</v>
      </c>
      <c r="AD207" s="3">
        <v>290.55</v>
      </c>
      <c r="AE207" s="1" t="s">
        <v>217</v>
      </c>
      <c r="AF207" s="3">
        <v>290.55</v>
      </c>
      <c r="AG207" s="1"/>
      <c r="AH207" s="1"/>
      <c r="AI207" s="1" t="s">
        <v>5163</v>
      </c>
      <c r="AJ207" s="3">
        <v>290.55</v>
      </c>
      <c r="AK207" s="1"/>
      <c r="AL207" s="1"/>
      <c r="AM207" s="1" t="s">
        <v>3457</v>
      </c>
      <c r="AN207" s="3">
        <v>290.55</v>
      </c>
      <c r="AO207" s="1"/>
      <c r="AP207" s="1"/>
      <c r="AQ207" s="1"/>
      <c r="AR207" s="1"/>
      <c r="AS207" s="1"/>
      <c r="AT207" s="1"/>
      <c r="AU207" s="1" t="s">
        <v>5164</v>
      </c>
      <c r="AV207" s="3">
        <v>290.55</v>
      </c>
      <c r="AW207" s="1" t="s">
        <v>151</v>
      </c>
      <c r="AX207" s="3">
        <v>290.55</v>
      </c>
      <c r="AY207" s="1"/>
      <c r="AZ207" s="1"/>
      <c r="BA207" s="1"/>
      <c r="BB207" s="1"/>
      <c r="BC207" s="67" t="s">
        <v>5165</v>
      </c>
      <c r="BD207" s="67">
        <v>295.09</v>
      </c>
      <c r="BE207" s="67">
        <f t="shared" si="1"/>
        <v>1622.995</v>
      </c>
    </row>
    <row r="208">
      <c r="A208" s="1"/>
      <c r="B208" s="1"/>
      <c r="C208" s="1"/>
      <c r="D208" s="1"/>
      <c r="E208" s="1"/>
      <c r="F208" s="1"/>
      <c r="G208" s="1"/>
      <c r="H208" s="1"/>
      <c r="I208" s="1" t="s">
        <v>5166</v>
      </c>
      <c r="J208" s="3">
        <v>290.55</v>
      </c>
      <c r="K208" s="1"/>
      <c r="L208" s="1"/>
      <c r="M208" s="1"/>
      <c r="N208" s="1"/>
      <c r="O208" s="1"/>
      <c r="P208" s="1"/>
      <c r="Q208" s="1" t="s">
        <v>5167</v>
      </c>
      <c r="R208" s="3">
        <v>290.55</v>
      </c>
      <c r="S208" s="1" t="s">
        <v>5168</v>
      </c>
      <c r="T208" s="3">
        <v>290.55</v>
      </c>
      <c r="U208" s="1"/>
      <c r="V208" s="1"/>
      <c r="W208" s="1"/>
      <c r="X208" s="1"/>
      <c r="Y208" s="1" t="s">
        <v>5169</v>
      </c>
      <c r="Z208" s="3">
        <v>290.55</v>
      </c>
      <c r="AA208" s="1"/>
      <c r="AB208" s="1"/>
      <c r="AC208" s="1" t="s">
        <v>5170</v>
      </c>
      <c r="AD208" s="3">
        <v>290.55</v>
      </c>
      <c r="AE208" s="1" t="s">
        <v>218</v>
      </c>
      <c r="AF208" s="3">
        <v>290.55</v>
      </c>
      <c r="AG208" s="1"/>
      <c r="AH208" s="1"/>
      <c r="AI208" s="1" t="s">
        <v>5171</v>
      </c>
      <c r="AJ208" s="3">
        <v>290.55</v>
      </c>
      <c r="AK208" s="1"/>
      <c r="AL208" s="1"/>
      <c r="AM208" s="1" t="s">
        <v>5172</v>
      </c>
      <c r="AN208" s="3">
        <v>290.55</v>
      </c>
      <c r="AO208" s="1"/>
      <c r="AP208" s="1"/>
      <c r="AQ208" s="1"/>
      <c r="AR208" s="1"/>
      <c r="AS208" s="1"/>
      <c r="AT208" s="1"/>
      <c r="AU208" s="1" t="s">
        <v>5173</v>
      </c>
      <c r="AV208" s="3">
        <v>290.55</v>
      </c>
      <c r="AW208" s="1" t="s">
        <v>5174</v>
      </c>
      <c r="AX208" s="3">
        <v>290.55</v>
      </c>
      <c r="AY208" s="1"/>
      <c r="AZ208" s="1"/>
      <c r="BA208" s="1"/>
      <c r="BB208" s="1"/>
      <c r="BC208" s="67" t="s">
        <v>5175</v>
      </c>
      <c r="BD208" s="67">
        <v>385.32</v>
      </c>
      <c r="BE208" s="67">
        <f t="shared" si="1"/>
        <v>2119.26</v>
      </c>
    </row>
    <row r="209">
      <c r="A209" s="1"/>
      <c r="B209" s="1"/>
      <c r="C209" s="1"/>
      <c r="D209" s="1"/>
      <c r="E209" s="1"/>
      <c r="F209" s="1"/>
      <c r="G209" s="1"/>
      <c r="H209" s="1"/>
      <c r="I209" s="1" t="s">
        <v>5176</v>
      </c>
      <c r="J209" s="3">
        <v>290.55</v>
      </c>
      <c r="K209" s="1"/>
      <c r="L209" s="1"/>
      <c r="M209" s="1"/>
      <c r="N209" s="1"/>
      <c r="O209" s="1"/>
      <c r="P209" s="1"/>
      <c r="Q209" s="1" t="s">
        <v>5177</v>
      </c>
      <c r="R209" s="3">
        <v>290.55</v>
      </c>
      <c r="S209" s="1" t="s">
        <v>5178</v>
      </c>
      <c r="T209" s="3">
        <v>290.55</v>
      </c>
      <c r="U209" s="1"/>
      <c r="V209" s="1"/>
      <c r="W209" s="1"/>
      <c r="X209" s="1"/>
      <c r="Y209" s="1" t="s">
        <v>5179</v>
      </c>
      <c r="Z209" s="3">
        <v>290.55</v>
      </c>
      <c r="AA209" s="1"/>
      <c r="AB209" s="1"/>
      <c r="AC209" s="1" t="s">
        <v>5180</v>
      </c>
      <c r="AD209" s="3">
        <v>290.55</v>
      </c>
      <c r="AE209" s="1" t="s">
        <v>219</v>
      </c>
      <c r="AF209" s="3">
        <v>290.55</v>
      </c>
      <c r="AG209" s="1"/>
      <c r="AH209" s="1"/>
      <c r="AI209" s="1" t="s">
        <v>5181</v>
      </c>
      <c r="AJ209" s="3">
        <v>290.55</v>
      </c>
      <c r="AK209" s="1"/>
      <c r="AL209" s="1"/>
      <c r="AM209" s="1" t="s">
        <v>5182</v>
      </c>
      <c r="AN209" s="3">
        <v>290.55</v>
      </c>
      <c r="AO209" s="1"/>
      <c r="AP209" s="1"/>
      <c r="AQ209" s="1"/>
      <c r="AR209" s="1"/>
      <c r="AS209" s="1"/>
      <c r="AT209" s="1"/>
      <c r="AU209" s="1" t="s">
        <v>5183</v>
      </c>
      <c r="AV209" s="3">
        <v>290.55</v>
      </c>
      <c r="AW209" s="1" t="s">
        <v>5184</v>
      </c>
      <c r="AX209" s="3">
        <v>290.55</v>
      </c>
      <c r="AY209" s="1"/>
      <c r="AZ209" s="1"/>
      <c r="BA209" s="1"/>
      <c r="BB209" s="1"/>
      <c r="BC209" s="67" t="s">
        <v>5185</v>
      </c>
      <c r="BD209" s="67">
        <v>456.3</v>
      </c>
      <c r="BE209" s="67">
        <f t="shared" si="1"/>
        <v>2509.65</v>
      </c>
    </row>
    <row r="210">
      <c r="A210" s="1"/>
      <c r="B210" s="1"/>
      <c r="C210" s="1"/>
      <c r="D210" s="1"/>
      <c r="E210" s="1"/>
      <c r="F210" s="1"/>
      <c r="G210" s="1"/>
      <c r="H210" s="1"/>
      <c r="I210" s="1" t="s">
        <v>5186</v>
      </c>
      <c r="J210" s="3">
        <v>290.55</v>
      </c>
      <c r="K210" s="1"/>
      <c r="L210" s="1"/>
      <c r="M210" s="1"/>
      <c r="N210" s="1"/>
      <c r="O210" s="1"/>
      <c r="P210" s="1"/>
      <c r="Q210" s="1" t="s">
        <v>5187</v>
      </c>
      <c r="R210" s="3">
        <v>290.55</v>
      </c>
      <c r="S210" s="1" t="s">
        <v>5188</v>
      </c>
      <c r="T210" s="3">
        <v>290.55</v>
      </c>
      <c r="U210" s="1"/>
      <c r="V210" s="1"/>
      <c r="W210" s="1"/>
      <c r="X210" s="1"/>
      <c r="Y210" s="1" t="s">
        <v>5189</v>
      </c>
      <c r="Z210" s="3">
        <v>290.55</v>
      </c>
      <c r="AA210" s="1"/>
      <c r="AB210" s="1"/>
      <c r="AC210" s="1" t="s">
        <v>5190</v>
      </c>
      <c r="AD210" s="3">
        <v>290.55</v>
      </c>
      <c r="AE210" s="1" t="s">
        <v>220</v>
      </c>
      <c r="AF210" s="3">
        <v>290.55</v>
      </c>
      <c r="AG210" s="1"/>
      <c r="AH210" s="1"/>
      <c r="AI210" s="1" t="s">
        <v>5191</v>
      </c>
      <c r="AJ210" s="3">
        <v>290.55</v>
      </c>
      <c r="AK210" s="1"/>
      <c r="AL210" s="1"/>
      <c r="AM210" s="1" t="s">
        <v>5192</v>
      </c>
      <c r="AN210" s="3">
        <v>290.55</v>
      </c>
      <c r="AO210" s="1"/>
      <c r="AP210" s="1"/>
      <c r="AQ210" s="1"/>
      <c r="AR210" s="1"/>
      <c r="AS210" s="1"/>
      <c r="AT210" s="1"/>
      <c r="AU210" s="1" t="s">
        <v>5193</v>
      </c>
      <c r="AV210" s="3">
        <v>290.55</v>
      </c>
      <c r="AW210" s="1" t="s">
        <v>5194</v>
      </c>
      <c r="AX210" s="3">
        <v>290.55</v>
      </c>
      <c r="AY210" s="1"/>
      <c r="AZ210" s="1"/>
      <c r="BA210" s="1"/>
      <c r="BB210" s="1"/>
      <c r="BC210" s="67" t="s">
        <v>5195</v>
      </c>
      <c r="BD210" s="67">
        <v>398.91</v>
      </c>
      <c r="BE210" s="67">
        <f t="shared" si="1"/>
        <v>2194.005</v>
      </c>
    </row>
    <row r="211">
      <c r="A211" s="1"/>
      <c r="B211" s="1"/>
      <c r="C211" s="1"/>
      <c r="D211" s="1"/>
      <c r="E211" s="1"/>
      <c r="F211" s="1"/>
      <c r="G211" s="1"/>
      <c r="H211" s="1"/>
      <c r="I211" s="1" t="s">
        <v>5196</v>
      </c>
      <c r="J211" s="3">
        <v>290.55</v>
      </c>
      <c r="K211" s="1"/>
      <c r="L211" s="1"/>
      <c r="M211" s="1"/>
      <c r="N211" s="1"/>
      <c r="O211" s="1"/>
      <c r="P211" s="1"/>
      <c r="Q211" s="1" t="s">
        <v>5197</v>
      </c>
      <c r="R211" s="3">
        <v>290.55</v>
      </c>
      <c r="S211" s="1" t="s">
        <v>5198</v>
      </c>
      <c r="T211" s="3">
        <v>290.55</v>
      </c>
      <c r="U211" s="1"/>
      <c r="V211" s="1"/>
      <c r="W211" s="1"/>
      <c r="X211" s="1"/>
      <c r="Y211" s="1" t="s">
        <v>5199</v>
      </c>
      <c r="Z211" s="3">
        <v>290.55</v>
      </c>
      <c r="AA211" s="1"/>
      <c r="AB211" s="1"/>
      <c r="AC211" s="1" t="s">
        <v>5200</v>
      </c>
      <c r="AD211" s="3">
        <v>290.55</v>
      </c>
      <c r="AE211" s="1" t="s">
        <v>221</v>
      </c>
      <c r="AF211" s="3">
        <v>290.55</v>
      </c>
      <c r="AG211" s="1"/>
      <c r="AH211" s="1"/>
      <c r="AI211" s="1" t="s">
        <v>5201</v>
      </c>
      <c r="AJ211" s="3">
        <v>290.55</v>
      </c>
      <c r="AK211" s="1"/>
      <c r="AL211" s="1"/>
      <c r="AM211" s="1" t="s">
        <v>5202</v>
      </c>
      <c r="AN211" s="3">
        <v>290.55</v>
      </c>
      <c r="AO211" s="1"/>
      <c r="AP211" s="1"/>
      <c r="AQ211" s="1"/>
      <c r="AR211" s="1"/>
      <c r="AS211" s="1"/>
      <c r="AT211" s="1"/>
      <c r="AU211" s="1" t="s">
        <v>5203</v>
      </c>
      <c r="AV211" s="3">
        <v>290.55</v>
      </c>
      <c r="AW211" s="1" t="s">
        <v>5204</v>
      </c>
      <c r="AX211" s="3">
        <v>290.55</v>
      </c>
      <c r="AY211" s="1"/>
      <c r="AZ211" s="1"/>
      <c r="BA211" s="1"/>
      <c r="BB211" s="1"/>
      <c r="BC211" s="67" t="s">
        <v>5205</v>
      </c>
      <c r="BD211" s="67">
        <v>456.3</v>
      </c>
      <c r="BE211" s="67">
        <f t="shared" si="1"/>
        <v>2509.65</v>
      </c>
    </row>
    <row r="212">
      <c r="A212" s="1"/>
      <c r="B212" s="1"/>
      <c r="C212" s="1"/>
      <c r="D212" s="1"/>
      <c r="E212" s="1"/>
      <c r="F212" s="1"/>
      <c r="G212" s="1"/>
      <c r="H212" s="1"/>
      <c r="I212" s="1" t="s">
        <v>5206</v>
      </c>
      <c r="J212" s="3">
        <v>290.55</v>
      </c>
      <c r="K212" s="1"/>
      <c r="L212" s="1"/>
      <c r="M212" s="1"/>
      <c r="N212" s="1"/>
      <c r="O212" s="1"/>
      <c r="P212" s="1"/>
      <c r="Q212" s="1" t="s">
        <v>5207</v>
      </c>
      <c r="R212" s="3">
        <v>290.55</v>
      </c>
      <c r="S212" s="1" t="s">
        <v>5208</v>
      </c>
      <c r="T212" s="3">
        <v>290.55</v>
      </c>
      <c r="U212" s="1"/>
      <c r="V212" s="1"/>
      <c r="W212" s="1"/>
      <c r="X212" s="1"/>
      <c r="Y212" s="1" t="s">
        <v>5209</v>
      </c>
      <c r="Z212" s="3">
        <v>290.55</v>
      </c>
      <c r="AA212" s="1"/>
      <c r="AB212" s="1"/>
      <c r="AC212" s="1" t="s">
        <v>5210</v>
      </c>
      <c r="AD212" s="3">
        <v>290.55</v>
      </c>
      <c r="AE212" s="1" t="s">
        <v>26</v>
      </c>
      <c r="AF212" s="3">
        <v>290.55</v>
      </c>
      <c r="AG212" s="1"/>
      <c r="AH212" s="1"/>
      <c r="AI212" s="1" t="s">
        <v>5211</v>
      </c>
      <c r="AJ212" s="3">
        <v>290.55</v>
      </c>
      <c r="AK212" s="1"/>
      <c r="AL212" s="1"/>
      <c r="AM212" s="1" t="s">
        <v>5212</v>
      </c>
      <c r="AN212" s="3">
        <v>290.55</v>
      </c>
      <c r="AO212" s="1"/>
      <c r="AP212" s="1"/>
      <c r="AQ212" s="1"/>
      <c r="AR212" s="1"/>
      <c r="AS212" s="1"/>
      <c r="AT212" s="1"/>
      <c r="AU212" s="1" t="s">
        <v>5213</v>
      </c>
      <c r="AV212" s="3">
        <v>290.55</v>
      </c>
      <c r="AW212" s="1" t="s">
        <v>5214</v>
      </c>
      <c r="AX212" s="3">
        <v>290.55</v>
      </c>
      <c r="AY212" s="1"/>
      <c r="AZ212" s="1"/>
      <c r="BA212" s="1"/>
      <c r="BB212" s="1"/>
      <c r="BC212" s="67" t="s">
        <v>5215</v>
      </c>
      <c r="BD212" s="67">
        <v>398.91</v>
      </c>
      <c r="BE212" s="67">
        <f t="shared" si="1"/>
        <v>2194.005</v>
      </c>
    </row>
    <row r="213">
      <c r="A213" s="1"/>
      <c r="B213" s="1"/>
      <c r="C213" s="1"/>
      <c r="D213" s="1"/>
      <c r="E213" s="1"/>
      <c r="F213" s="1"/>
      <c r="G213" s="1"/>
      <c r="H213" s="1"/>
      <c r="I213" s="1" t="s">
        <v>3023</v>
      </c>
      <c r="J213" s="3">
        <v>290.55</v>
      </c>
      <c r="K213" s="1"/>
      <c r="L213" s="1"/>
      <c r="M213" s="1"/>
      <c r="N213" s="1"/>
      <c r="O213" s="1"/>
      <c r="P213" s="1"/>
      <c r="Q213" s="1" t="s">
        <v>5216</v>
      </c>
      <c r="R213" s="3">
        <v>290.55</v>
      </c>
      <c r="S213" s="1" t="s">
        <v>5217</v>
      </c>
      <c r="T213" s="3">
        <v>290.55</v>
      </c>
      <c r="U213" s="1"/>
      <c r="V213" s="1"/>
      <c r="W213" s="1"/>
      <c r="X213" s="1"/>
      <c r="Y213" s="1" t="s">
        <v>5218</v>
      </c>
      <c r="Z213" s="3">
        <v>290.55</v>
      </c>
      <c r="AA213" s="1"/>
      <c r="AB213" s="1"/>
      <c r="AC213" s="1" t="s">
        <v>5219</v>
      </c>
      <c r="AD213" s="3">
        <v>290.55</v>
      </c>
      <c r="AE213" s="1" t="s">
        <v>222</v>
      </c>
      <c r="AF213" s="3">
        <v>290.55</v>
      </c>
      <c r="AG213" s="1"/>
      <c r="AH213" s="1"/>
      <c r="AI213" s="1" t="s">
        <v>5220</v>
      </c>
      <c r="AJ213" s="3">
        <v>290.55</v>
      </c>
      <c r="AK213" s="1"/>
      <c r="AL213" s="1"/>
      <c r="AM213" s="1" t="s">
        <v>5221</v>
      </c>
      <c r="AN213" s="3">
        <v>290.55</v>
      </c>
      <c r="AO213" s="1"/>
      <c r="AP213" s="1"/>
      <c r="AQ213" s="1"/>
      <c r="AR213" s="1"/>
      <c r="AS213" s="1"/>
      <c r="AT213" s="1"/>
      <c r="AU213" s="1" t="s">
        <v>5222</v>
      </c>
      <c r="AV213" s="3">
        <v>290.55</v>
      </c>
      <c r="AW213" s="1" t="s">
        <v>5223</v>
      </c>
      <c r="AX213" s="3">
        <v>290.55</v>
      </c>
      <c r="AY213" s="1"/>
      <c r="AZ213" s="1"/>
      <c r="BA213" s="1"/>
      <c r="BB213" s="1"/>
      <c r="BC213" s="67" t="s">
        <v>5224</v>
      </c>
      <c r="BD213" s="67">
        <v>385.32</v>
      </c>
      <c r="BE213" s="67">
        <f t="shared" si="1"/>
        <v>2119.26</v>
      </c>
    </row>
    <row r="214">
      <c r="A214" s="1"/>
      <c r="B214" s="1"/>
      <c r="C214" s="1"/>
      <c r="D214" s="1"/>
      <c r="E214" s="1"/>
      <c r="F214" s="1"/>
      <c r="G214" s="1"/>
      <c r="H214" s="1"/>
      <c r="I214" s="1" t="s">
        <v>5225</v>
      </c>
      <c r="J214" s="3">
        <v>290.55</v>
      </c>
      <c r="K214" s="1"/>
      <c r="L214" s="1"/>
      <c r="M214" s="1"/>
      <c r="N214" s="1"/>
      <c r="O214" s="1"/>
      <c r="P214" s="1"/>
      <c r="Q214" s="1" t="s">
        <v>5226</v>
      </c>
      <c r="R214" s="3">
        <v>290.55</v>
      </c>
      <c r="S214" s="1" t="s">
        <v>3381</v>
      </c>
      <c r="T214" s="3">
        <v>290.55</v>
      </c>
      <c r="U214" s="1"/>
      <c r="V214" s="1"/>
      <c r="W214" s="1"/>
      <c r="X214" s="1"/>
      <c r="Y214" s="1" t="s">
        <v>5227</v>
      </c>
      <c r="Z214" s="3">
        <v>290.55</v>
      </c>
      <c r="AA214" s="1"/>
      <c r="AB214" s="1"/>
      <c r="AC214" s="1" t="s">
        <v>5228</v>
      </c>
      <c r="AD214" s="3">
        <v>290.55</v>
      </c>
      <c r="AE214" s="1" t="s">
        <v>223</v>
      </c>
      <c r="AF214" s="3">
        <v>290.55</v>
      </c>
      <c r="AG214" s="1"/>
      <c r="AH214" s="1"/>
      <c r="AI214" s="1" t="s">
        <v>5229</v>
      </c>
      <c r="AJ214" s="3">
        <v>290.55</v>
      </c>
      <c r="AK214" s="1"/>
      <c r="AL214" s="1"/>
      <c r="AM214" s="1" t="s">
        <v>5230</v>
      </c>
      <c r="AN214" s="3">
        <v>290.55</v>
      </c>
      <c r="AO214" s="1"/>
      <c r="AP214" s="1"/>
      <c r="AQ214" s="1"/>
      <c r="AR214" s="1"/>
      <c r="AS214" s="1"/>
      <c r="AT214" s="1"/>
      <c r="AU214" s="1" t="s">
        <v>5231</v>
      </c>
      <c r="AV214" s="3">
        <v>290.55</v>
      </c>
      <c r="AW214" s="1" t="s">
        <v>5232</v>
      </c>
      <c r="AX214" s="3">
        <v>290.55</v>
      </c>
      <c r="AY214" s="1"/>
      <c r="AZ214" s="1"/>
      <c r="BA214" s="1"/>
      <c r="BB214" s="1"/>
      <c r="BC214" s="67" t="s">
        <v>5233</v>
      </c>
      <c r="BD214" s="67">
        <v>295.09</v>
      </c>
      <c r="BE214" s="67">
        <f t="shared" si="1"/>
        <v>1622.995</v>
      </c>
    </row>
    <row r="215">
      <c r="A215" s="1"/>
      <c r="B215" s="1"/>
      <c r="C215" s="1"/>
      <c r="D215" s="1"/>
      <c r="E215" s="1"/>
      <c r="F215" s="1"/>
      <c r="G215" s="1"/>
      <c r="H215" s="1"/>
      <c r="I215" s="1" t="s">
        <v>5234</v>
      </c>
      <c r="J215" s="3">
        <v>290.55</v>
      </c>
      <c r="K215" s="1"/>
      <c r="L215" s="1"/>
      <c r="M215" s="1"/>
      <c r="N215" s="1"/>
      <c r="O215" s="1"/>
      <c r="P215" s="1"/>
      <c r="Q215" s="1" t="s">
        <v>3253</v>
      </c>
      <c r="R215" s="3">
        <v>290.55</v>
      </c>
      <c r="S215" s="1" t="s">
        <v>5235</v>
      </c>
      <c r="T215" s="3">
        <v>290.55</v>
      </c>
      <c r="U215" s="1"/>
      <c r="V215" s="1"/>
      <c r="W215" s="1"/>
      <c r="X215" s="1"/>
      <c r="Y215" s="1" t="s">
        <v>5236</v>
      </c>
      <c r="Z215" s="3">
        <v>290.55</v>
      </c>
      <c r="AA215" s="1"/>
      <c r="AB215" s="1"/>
      <c r="AC215" s="1" t="s">
        <v>5237</v>
      </c>
      <c r="AD215" s="3">
        <v>290.55</v>
      </c>
      <c r="AE215" s="1" t="s">
        <v>224</v>
      </c>
      <c r="AF215" s="3">
        <v>290.55</v>
      </c>
      <c r="AG215" s="1"/>
      <c r="AH215" s="1"/>
      <c r="AI215" s="1" t="s">
        <v>5238</v>
      </c>
      <c r="AJ215" s="3">
        <v>290.55</v>
      </c>
      <c r="AK215" s="1"/>
      <c r="AL215" s="1"/>
      <c r="AM215" s="1" t="s">
        <v>1525</v>
      </c>
      <c r="AN215" s="3">
        <v>290.55</v>
      </c>
      <c r="AO215" s="1"/>
      <c r="AP215" s="1"/>
      <c r="AQ215" s="1"/>
      <c r="AR215" s="1"/>
      <c r="AS215" s="1"/>
      <c r="AT215" s="1"/>
      <c r="AU215" s="1" t="s">
        <v>5239</v>
      </c>
      <c r="AV215" s="3">
        <v>290.55</v>
      </c>
      <c r="AW215" s="1" t="s">
        <v>5240</v>
      </c>
      <c r="AX215" s="3">
        <v>290.55</v>
      </c>
      <c r="AY215" s="1"/>
      <c r="AZ215" s="1"/>
      <c r="BA215" s="1"/>
      <c r="BB215" s="1"/>
      <c r="BC215" s="67" t="s">
        <v>5241</v>
      </c>
      <c r="BD215" s="67">
        <v>456.3</v>
      </c>
      <c r="BE215" s="67">
        <f t="shared" si="1"/>
        <v>2509.65</v>
      </c>
    </row>
    <row r="216">
      <c r="A216" s="1"/>
      <c r="B216" s="1"/>
      <c r="C216" s="1"/>
      <c r="D216" s="1"/>
      <c r="E216" s="1"/>
      <c r="F216" s="1"/>
      <c r="G216" s="1"/>
      <c r="H216" s="1"/>
      <c r="I216" s="1" t="s">
        <v>5242</v>
      </c>
      <c r="J216" s="3">
        <v>290.55</v>
      </c>
      <c r="K216" s="1"/>
      <c r="L216" s="1"/>
      <c r="M216" s="1"/>
      <c r="N216" s="1"/>
      <c r="O216" s="1"/>
      <c r="P216" s="1"/>
      <c r="Q216" s="1" t="s">
        <v>5243</v>
      </c>
      <c r="R216" s="3">
        <v>290.55</v>
      </c>
      <c r="S216" s="1" t="s">
        <v>5244</v>
      </c>
      <c r="T216" s="3">
        <v>290.55</v>
      </c>
      <c r="U216" s="1"/>
      <c r="V216" s="1"/>
      <c r="W216" s="1"/>
      <c r="X216" s="1"/>
      <c r="Y216" s="1" t="s">
        <v>5245</v>
      </c>
      <c r="Z216" s="3">
        <v>290.55</v>
      </c>
      <c r="AA216" s="1"/>
      <c r="AB216" s="1"/>
      <c r="AC216" s="1" t="s">
        <v>5246</v>
      </c>
      <c r="AD216" s="3">
        <v>290.55</v>
      </c>
      <c r="AE216" s="1" t="s">
        <v>225</v>
      </c>
      <c r="AF216" s="3">
        <v>290.55</v>
      </c>
      <c r="AG216" s="1"/>
      <c r="AH216" s="1"/>
      <c r="AI216" s="1" t="s">
        <v>5247</v>
      </c>
      <c r="AJ216" s="3">
        <v>290.55</v>
      </c>
      <c r="AK216" s="1"/>
      <c r="AL216" s="1"/>
      <c r="AM216" s="1" t="s">
        <v>5248</v>
      </c>
      <c r="AN216" s="3">
        <v>290.55</v>
      </c>
      <c r="AO216" s="1"/>
      <c r="AP216" s="1"/>
      <c r="AQ216" s="1"/>
      <c r="AR216" s="1"/>
      <c r="AS216" s="1"/>
      <c r="AT216" s="1"/>
      <c r="AU216" s="1" t="s">
        <v>5249</v>
      </c>
      <c r="AV216" s="3">
        <v>290.55</v>
      </c>
      <c r="AW216" s="1" t="s">
        <v>5250</v>
      </c>
      <c r="AX216" s="3">
        <v>290.55</v>
      </c>
      <c r="AY216" s="1"/>
      <c r="AZ216" s="1"/>
      <c r="BA216" s="1"/>
      <c r="BB216" s="1"/>
      <c r="BC216" s="67" t="s">
        <v>5251</v>
      </c>
      <c r="BD216" s="67">
        <v>456.3</v>
      </c>
      <c r="BE216" s="67">
        <f t="shared" si="1"/>
        <v>2509.65</v>
      </c>
    </row>
    <row r="217">
      <c r="A217" s="1"/>
      <c r="B217" s="1"/>
      <c r="C217" s="1"/>
      <c r="D217" s="1"/>
      <c r="E217" s="1"/>
      <c r="F217" s="1"/>
      <c r="G217" s="1"/>
      <c r="H217" s="1"/>
      <c r="I217" s="1" t="s">
        <v>5252</v>
      </c>
      <c r="J217" s="3">
        <v>290.55</v>
      </c>
      <c r="K217" s="1"/>
      <c r="L217" s="1"/>
      <c r="M217" s="1"/>
      <c r="N217" s="1"/>
      <c r="O217" s="1"/>
      <c r="P217" s="1"/>
      <c r="Q217" s="1" t="s">
        <v>5253</v>
      </c>
      <c r="R217" s="3">
        <v>290.55</v>
      </c>
      <c r="S217" s="1" t="s">
        <v>5254</v>
      </c>
      <c r="T217" s="3">
        <v>290.55</v>
      </c>
      <c r="U217" s="1"/>
      <c r="V217" s="1"/>
      <c r="W217" s="1"/>
      <c r="X217" s="1"/>
      <c r="Y217" s="1" t="s">
        <v>5255</v>
      </c>
      <c r="Z217" s="3">
        <v>290.55</v>
      </c>
      <c r="AA217" s="1"/>
      <c r="AB217" s="1"/>
      <c r="AC217" s="1" t="s">
        <v>5256</v>
      </c>
      <c r="AD217" s="3">
        <v>290.55</v>
      </c>
      <c r="AE217" s="1" t="s">
        <v>226</v>
      </c>
      <c r="AF217" s="3">
        <v>290.55</v>
      </c>
      <c r="AG217" s="1"/>
      <c r="AH217" s="1"/>
      <c r="AI217" s="1" t="s">
        <v>5257</v>
      </c>
      <c r="AJ217" s="3">
        <v>371.26</v>
      </c>
      <c r="AK217" s="1"/>
      <c r="AL217" s="1"/>
      <c r="AM217" s="1" t="s">
        <v>5258</v>
      </c>
      <c r="AN217" s="3">
        <v>290.55</v>
      </c>
      <c r="AO217" s="1"/>
      <c r="AP217" s="1"/>
      <c r="AQ217" s="1"/>
      <c r="AR217" s="1"/>
      <c r="AS217" s="1"/>
      <c r="AT217" s="1"/>
      <c r="AU217" s="1" t="s">
        <v>5259</v>
      </c>
      <c r="AV217" s="3">
        <v>290.55</v>
      </c>
      <c r="AW217" s="1" t="s">
        <v>5260</v>
      </c>
      <c r="AX217" s="3">
        <v>290.55</v>
      </c>
      <c r="AY217" s="1"/>
      <c r="AZ217" s="1"/>
      <c r="BA217" s="1"/>
      <c r="BB217" s="1"/>
      <c r="BC217" s="67" t="s">
        <v>5261</v>
      </c>
      <c r="BD217" s="67">
        <v>398.91</v>
      </c>
      <c r="BE217" s="67">
        <f t="shared" si="1"/>
        <v>2194.005</v>
      </c>
    </row>
    <row r="218">
      <c r="A218" s="1"/>
      <c r="B218" s="1"/>
      <c r="C218" s="1"/>
      <c r="D218" s="1"/>
      <c r="E218" s="1"/>
      <c r="F218" s="1"/>
      <c r="G218" s="1"/>
      <c r="H218" s="1"/>
      <c r="I218" s="1" t="s">
        <v>5262</v>
      </c>
      <c r="J218" s="3">
        <v>290.55</v>
      </c>
      <c r="K218" s="1"/>
      <c r="L218" s="1"/>
      <c r="M218" s="1"/>
      <c r="N218" s="1"/>
      <c r="O218" s="1"/>
      <c r="P218" s="1"/>
      <c r="Q218" s="1" t="s">
        <v>5263</v>
      </c>
      <c r="R218" s="3">
        <v>290.55</v>
      </c>
      <c r="S218" s="1" t="s">
        <v>5264</v>
      </c>
      <c r="T218" s="3">
        <v>290.55</v>
      </c>
      <c r="U218" s="1"/>
      <c r="V218" s="1"/>
      <c r="W218" s="1"/>
      <c r="X218" s="1"/>
      <c r="Y218" s="1" t="s">
        <v>5265</v>
      </c>
      <c r="Z218" s="3">
        <v>290.55</v>
      </c>
      <c r="AA218" s="1"/>
      <c r="AB218" s="1"/>
      <c r="AC218" s="1" t="s">
        <v>4862</v>
      </c>
      <c r="AD218" s="3">
        <v>290.55</v>
      </c>
      <c r="AE218" s="1" t="s">
        <v>227</v>
      </c>
      <c r="AF218" s="3">
        <v>290.55</v>
      </c>
      <c r="AG218" s="1"/>
      <c r="AH218" s="1"/>
      <c r="AI218" s="1" t="s">
        <v>5266</v>
      </c>
      <c r="AJ218" s="3">
        <v>290.55</v>
      </c>
      <c r="AK218" s="1"/>
      <c r="AL218" s="1"/>
      <c r="AM218" s="1" t="s">
        <v>5267</v>
      </c>
      <c r="AN218" s="3">
        <v>290.55</v>
      </c>
      <c r="AO218" s="1"/>
      <c r="AP218" s="1"/>
      <c r="AQ218" s="1"/>
      <c r="AR218" s="1"/>
      <c r="AS218" s="1"/>
      <c r="AT218" s="1"/>
      <c r="AU218" s="1" t="s">
        <v>5268</v>
      </c>
      <c r="AV218" s="3">
        <v>290.55</v>
      </c>
      <c r="AW218" s="1" t="s">
        <v>5269</v>
      </c>
      <c r="AX218" s="3">
        <v>290.55</v>
      </c>
      <c r="AY218" s="1"/>
      <c r="AZ218" s="1"/>
      <c r="BA218" s="1"/>
      <c r="BB218" s="1"/>
      <c r="BC218" s="67" t="s">
        <v>5270</v>
      </c>
      <c r="BD218" s="67">
        <v>295.09</v>
      </c>
      <c r="BE218" s="67">
        <f t="shared" si="1"/>
        <v>1622.995</v>
      </c>
    </row>
    <row r="219">
      <c r="A219" s="1"/>
      <c r="B219" s="1"/>
      <c r="C219" s="1"/>
      <c r="D219" s="1"/>
      <c r="E219" s="1"/>
      <c r="F219" s="1"/>
      <c r="G219" s="1"/>
      <c r="H219" s="1"/>
      <c r="I219" s="1" t="s">
        <v>5271</v>
      </c>
      <c r="J219" s="3">
        <v>290.55</v>
      </c>
      <c r="K219" s="1"/>
      <c r="L219" s="1"/>
      <c r="M219" s="1"/>
      <c r="N219" s="1"/>
      <c r="O219" s="1"/>
      <c r="P219" s="1"/>
      <c r="Q219" s="1" t="s">
        <v>5272</v>
      </c>
      <c r="R219" s="3">
        <v>290.55</v>
      </c>
      <c r="S219" s="1"/>
      <c r="T219" s="1"/>
      <c r="U219" s="1"/>
      <c r="V219" s="1"/>
      <c r="W219" s="1"/>
      <c r="X219" s="1"/>
      <c r="Y219" s="1" t="s">
        <v>5273</v>
      </c>
      <c r="Z219" s="3">
        <v>290.55</v>
      </c>
      <c r="AA219" s="1"/>
      <c r="AB219" s="1"/>
      <c r="AC219" s="1" t="s">
        <v>5274</v>
      </c>
      <c r="AD219" s="3">
        <v>290.55</v>
      </c>
      <c r="AE219" s="1" t="s">
        <v>228</v>
      </c>
      <c r="AF219" s="3">
        <v>290.55</v>
      </c>
      <c r="AG219" s="1"/>
      <c r="AH219" s="1"/>
      <c r="AI219" s="1" t="s">
        <v>5275</v>
      </c>
      <c r="AJ219" s="3">
        <v>290.55</v>
      </c>
      <c r="AK219" s="1"/>
      <c r="AL219" s="1"/>
      <c r="AM219" s="1" t="s">
        <v>5276</v>
      </c>
      <c r="AN219" s="3">
        <v>290.55</v>
      </c>
      <c r="AO219" s="1"/>
      <c r="AP219" s="1"/>
      <c r="AQ219" s="1"/>
      <c r="AR219" s="1"/>
      <c r="AS219" s="1"/>
      <c r="AT219" s="1"/>
      <c r="AU219" s="1" t="s">
        <v>5277</v>
      </c>
      <c r="AV219" s="3">
        <v>290.55</v>
      </c>
      <c r="AW219" s="1" t="s">
        <v>5278</v>
      </c>
      <c r="AX219" s="3">
        <v>290.55</v>
      </c>
      <c r="AY219" s="1"/>
      <c r="AZ219" s="1"/>
      <c r="BA219" s="1"/>
      <c r="BB219" s="1"/>
      <c r="BC219" s="67" t="s">
        <v>5279</v>
      </c>
      <c r="BD219" s="67">
        <v>456.3</v>
      </c>
      <c r="BE219" s="67">
        <f t="shared" si="1"/>
        <v>2509.65</v>
      </c>
    </row>
    <row r="220">
      <c r="A220" s="1"/>
      <c r="B220" s="1"/>
      <c r="C220" s="1"/>
      <c r="D220" s="1"/>
      <c r="E220" s="1"/>
      <c r="F220" s="1"/>
      <c r="G220" s="1"/>
      <c r="H220" s="1"/>
      <c r="I220" s="1" t="s">
        <v>5280</v>
      </c>
      <c r="J220" s="3">
        <v>290.55</v>
      </c>
      <c r="K220" s="1"/>
      <c r="L220" s="1"/>
      <c r="M220" s="1"/>
      <c r="N220" s="1"/>
      <c r="O220" s="1"/>
      <c r="P220" s="1"/>
      <c r="Q220" s="1" t="s">
        <v>5281</v>
      </c>
      <c r="R220" s="3">
        <v>290.55</v>
      </c>
      <c r="S220" s="1"/>
      <c r="T220" s="1"/>
      <c r="U220" s="1"/>
      <c r="V220" s="1"/>
      <c r="W220" s="1"/>
      <c r="X220" s="1"/>
      <c r="Y220" s="1" t="s">
        <v>5282</v>
      </c>
      <c r="Z220" s="3">
        <v>290.55</v>
      </c>
      <c r="AA220" s="1"/>
      <c r="AB220" s="1"/>
      <c r="AC220" s="1" t="s">
        <v>5283</v>
      </c>
      <c r="AD220" s="3">
        <v>290.55</v>
      </c>
      <c r="AE220" s="1" t="s">
        <v>229</v>
      </c>
      <c r="AF220" s="3">
        <v>290.55</v>
      </c>
      <c r="AG220" s="1"/>
      <c r="AH220" s="1"/>
      <c r="AI220" s="1" t="s">
        <v>5284</v>
      </c>
      <c r="AJ220" s="3">
        <v>290.55</v>
      </c>
      <c r="AK220" s="1"/>
      <c r="AL220" s="1"/>
      <c r="AM220" s="1" t="s">
        <v>5285</v>
      </c>
      <c r="AN220" s="3">
        <v>290.55</v>
      </c>
      <c r="AO220" s="1"/>
      <c r="AP220" s="1"/>
      <c r="AQ220" s="1"/>
      <c r="AR220" s="1"/>
      <c r="AS220" s="1"/>
      <c r="AT220" s="1"/>
      <c r="AU220" s="1" t="s">
        <v>5286</v>
      </c>
      <c r="AV220" s="3">
        <v>290.55</v>
      </c>
      <c r="AW220" s="1" t="s">
        <v>1679</v>
      </c>
      <c r="AX220" s="3">
        <v>290.55</v>
      </c>
      <c r="AY220" s="1"/>
      <c r="AZ220" s="1"/>
      <c r="BA220" s="1"/>
      <c r="BB220" s="1"/>
      <c r="BC220" s="67" t="s">
        <v>5287</v>
      </c>
      <c r="BD220" s="67">
        <v>385.32</v>
      </c>
      <c r="BE220" s="67">
        <f t="shared" si="1"/>
        <v>2119.26</v>
      </c>
    </row>
    <row r="221">
      <c r="A221" s="1"/>
      <c r="B221" s="1"/>
      <c r="C221" s="1"/>
      <c r="D221" s="1"/>
      <c r="E221" s="1"/>
      <c r="F221" s="1"/>
      <c r="G221" s="1"/>
      <c r="H221" s="1"/>
      <c r="I221" s="1" t="s">
        <v>196</v>
      </c>
      <c r="J221" s="3">
        <v>290.55</v>
      </c>
      <c r="K221" s="1"/>
      <c r="L221" s="1"/>
      <c r="M221" s="1"/>
      <c r="N221" s="1"/>
      <c r="O221" s="1"/>
      <c r="P221" s="1"/>
      <c r="Q221" s="1" t="s">
        <v>5288</v>
      </c>
      <c r="R221" s="3">
        <v>290.55</v>
      </c>
      <c r="S221" s="1"/>
      <c r="T221" s="1"/>
      <c r="U221" s="1"/>
      <c r="V221" s="1"/>
      <c r="W221" s="1"/>
      <c r="X221" s="1"/>
      <c r="Y221" s="1" t="s">
        <v>5289</v>
      </c>
      <c r="Z221" s="3">
        <v>290.55</v>
      </c>
      <c r="AA221" s="1"/>
      <c r="AB221" s="1"/>
      <c r="AC221" s="1" t="s">
        <v>4714</v>
      </c>
      <c r="AD221" s="3">
        <v>290.55</v>
      </c>
      <c r="AE221" s="1" t="s">
        <v>230</v>
      </c>
      <c r="AF221" s="3">
        <v>290.55</v>
      </c>
      <c r="AG221" s="1"/>
      <c r="AH221" s="1"/>
      <c r="AI221" s="1" t="s">
        <v>5290</v>
      </c>
      <c r="AJ221" s="3">
        <v>290.55</v>
      </c>
      <c r="AK221" s="1"/>
      <c r="AL221" s="1"/>
      <c r="AM221" s="1" t="s">
        <v>5291</v>
      </c>
      <c r="AN221" s="3">
        <v>290.55</v>
      </c>
      <c r="AO221" s="1"/>
      <c r="AP221" s="1"/>
      <c r="AQ221" s="1"/>
      <c r="AR221" s="1"/>
      <c r="AS221" s="1"/>
      <c r="AT221" s="1"/>
      <c r="AU221" s="1" t="s">
        <v>5292</v>
      </c>
      <c r="AV221" s="3">
        <v>290.55</v>
      </c>
      <c r="AW221" s="1" t="s">
        <v>5293</v>
      </c>
      <c r="AX221" s="3">
        <v>290.55</v>
      </c>
      <c r="AY221" s="1"/>
      <c r="AZ221" s="1"/>
      <c r="BA221" s="1"/>
      <c r="BB221" s="1"/>
      <c r="BC221" s="67" t="s">
        <v>5294</v>
      </c>
      <c r="BD221" s="67">
        <v>385.32</v>
      </c>
      <c r="BE221" s="67">
        <f t="shared" si="1"/>
        <v>2119.26</v>
      </c>
    </row>
    <row r="222">
      <c r="A222" s="1"/>
      <c r="B222" s="1"/>
      <c r="C222" s="1"/>
      <c r="D222" s="1"/>
      <c r="E222" s="1"/>
      <c r="F222" s="1"/>
      <c r="G222" s="1"/>
      <c r="H222" s="1"/>
      <c r="I222" s="1" t="s">
        <v>5295</v>
      </c>
      <c r="J222" s="3">
        <v>290.55</v>
      </c>
      <c r="K222" s="1"/>
      <c r="L222" s="1"/>
      <c r="M222" s="1"/>
      <c r="N222" s="1"/>
      <c r="O222" s="1"/>
      <c r="P222" s="1"/>
      <c r="Q222" s="1" t="s">
        <v>5296</v>
      </c>
      <c r="R222" s="3">
        <v>290.55</v>
      </c>
      <c r="S222" s="1"/>
      <c r="T222" s="1"/>
      <c r="U222" s="1"/>
      <c r="V222" s="1"/>
      <c r="W222" s="1"/>
      <c r="X222" s="1"/>
      <c r="Y222" s="1" t="s">
        <v>5297</v>
      </c>
      <c r="Z222" s="3">
        <v>290.55</v>
      </c>
      <c r="AA222" s="1"/>
      <c r="AB222" s="1"/>
      <c r="AC222" s="1" t="s">
        <v>5298</v>
      </c>
      <c r="AD222" s="3">
        <v>290.55</v>
      </c>
      <c r="AE222" s="1" t="s">
        <v>231</v>
      </c>
      <c r="AF222" s="3">
        <v>290.55</v>
      </c>
      <c r="AG222" s="1"/>
      <c r="AH222" s="1"/>
      <c r="AI222" s="1" t="s">
        <v>4408</v>
      </c>
      <c r="AJ222" s="3">
        <v>290.55</v>
      </c>
      <c r="AK222" s="1"/>
      <c r="AL222" s="1"/>
      <c r="AM222" s="1" t="s">
        <v>5299</v>
      </c>
      <c r="AN222" s="3">
        <v>290.55</v>
      </c>
      <c r="AO222" s="1"/>
      <c r="AP222" s="1"/>
      <c r="AQ222" s="1"/>
      <c r="AR222" s="1"/>
      <c r="AS222" s="1"/>
      <c r="AT222" s="1"/>
      <c r="AU222" s="1" t="s">
        <v>5300</v>
      </c>
      <c r="AV222" s="3">
        <v>290.55</v>
      </c>
      <c r="AW222" s="1" t="s">
        <v>5301</v>
      </c>
      <c r="AX222" s="3">
        <v>290.55</v>
      </c>
      <c r="AY222" s="1"/>
      <c r="AZ222" s="1"/>
      <c r="BA222" s="1"/>
      <c r="BB222" s="1"/>
      <c r="BE222" s="67">
        <f t="shared" si="1"/>
        <v>0</v>
      </c>
    </row>
    <row r="223">
      <c r="A223" s="1"/>
      <c r="B223" s="1"/>
      <c r="C223" s="1"/>
      <c r="D223" s="1"/>
      <c r="E223" s="1"/>
      <c r="F223" s="1"/>
      <c r="G223" s="1"/>
      <c r="H223" s="1"/>
      <c r="I223" s="1" t="s">
        <v>5302</v>
      </c>
      <c r="J223" s="3">
        <v>290.55</v>
      </c>
      <c r="K223" s="1"/>
      <c r="L223" s="1"/>
      <c r="M223" s="1"/>
      <c r="N223" s="1"/>
      <c r="O223" s="1"/>
      <c r="P223" s="1"/>
      <c r="Q223" s="1" t="s">
        <v>5303</v>
      </c>
      <c r="R223" s="3">
        <v>290.55</v>
      </c>
      <c r="S223" s="1"/>
      <c r="T223" s="1"/>
      <c r="U223" s="1"/>
      <c r="V223" s="1"/>
      <c r="W223" s="1"/>
      <c r="X223" s="1"/>
      <c r="Y223" s="1" t="s">
        <v>5304</v>
      </c>
      <c r="Z223" s="3">
        <v>290.55</v>
      </c>
      <c r="AA223" s="1"/>
      <c r="AB223" s="1"/>
      <c r="AC223" s="1" t="s">
        <v>5305</v>
      </c>
      <c r="AD223" s="3">
        <v>290.55</v>
      </c>
      <c r="AE223" s="1" t="s">
        <v>232</v>
      </c>
      <c r="AF223" s="3">
        <v>290.55</v>
      </c>
      <c r="AG223" s="1"/>
      <c r="AH223" s="1"/>
      <c r="AI223" s="1" t="s">
        <v>5306</v>
      </c>
      <c r="AJ223" s="3">
        <v>290.55</v>
      </c>
      <c r="AK223" s="1"/>
      <c r="AL223" s="1"/>
      <c r="AM223" s="1" t="s">
        <v>5307</v>
      </c>
      <c r="AN223" s="3">
        <v>290.55</v>
      </c>
      <c r="AO223" s="1"/>
      <c r="AP223" s="1"/>
      <c r="AQ223" s="1"/>
      <c r="AR223" s="1"/>
      <c r="AS223" s="1"/>
      <c r="AT223" s="1"/>
      <c r="AU223" s="1" t="s">
        <v>5308</v>
      </c>
      <c r="AV223" s="3">
        <v>290.55</v>
      </c>
      <c r="AW223" s="1" t="s">
        <v>5309</v>
      </c>
      <c r="AX223" s="3">
        <v>290.55</v>
      </c>
      <c r="AY223" s="1"/>
      <c r="AZ223" s="1"/>
      <c r="BA223" s="1"/>
      <c r="BB223" s="1"/>
      <c r="BE223" s="67">
        <f t="shared" si="1"/>
        <v>0</v>
      </c>
    </row>
    <row r="224">
      <c r="A224" s="1"/>
      <c r="B224" s="1"/>
      <c r="C224" s="1"/>
      <c r="D224" s="1"/>
      <c r="E224" s="1"/>
      <c r="F224" s="1"/>
      <c r="G224" s="1"/>
      <c r="H224" s="1"/>
      <c r="I224" s="1" t="s">
        <v>5310</v>
      </c>
      <c r="J224" s="3">
        <v>290.55</v>
      </c>
      <c r="K224" s="1"/>
      <c r="L224" s="1"/>
      <c r="M224" s="1"/>
      <c r="N224" s="1"/>
      <c r="O224" s="1"/>
      <c r="P224" s="1"/>
      <c r="Q224" s="1" t="s">
        <v>5311</v>
      </c>
      <c r="R224" s="3">
        <v>290.55</v>
      </c>
      <c r="S224" s="1"/>
      <c r="T224" s="1"/>
      <c r="U224" s="1"/>
      <c r="V224" s="1"/>
      <c r="W224" s="1"/>
      <c r="X224" s="1"/>
      <c r="Y224" s="1" t="s">
        <v>5312</v>
      </c>
      <c r="Z224" s="3">
        <v>290.55</v>
      </c>
      <c r="AA224" s="1"/>
      <c r="AB224" s="1"/>
      <c r="AC224" s="1" t="s">
        <v>5313</v>
      </c>
      <c r="AD224" s="3">
        <v>290.55</v>
      </c>
      <c r="AE224" s="1" t="s">
        <v>233</v>
      </c>
      <c r="AF224" s="3">
        <v>290.55</v>
      </c>
      <c r="AG224" s="1"/>
      <c r="AH224" s="1"/>
      <c r="AI224" s="1" t="s">
        <v>5314</v>
      </c>
      <c r="AJ224" s="3">
        <v>290.55</v>
      </c>
      <c r="AK224" s="1"/>
      <c r="AL224" s="1"/>
      <c r="AM224" s="1" t="s">
        <v>5315</v>
      </c>
      <c r="AN224" s="3">
        <v>290.55</v>
      </c>
      <c r="AO224" s="1"/>
      <c r="AP224" s="1"/>
      <c r="AQ224" s="1"/>
      <c r="AR224" s="1"/>
      <c r="AS224" s="1"/>
      <c r="AT224" s="1"/>
      <c r="AU224" s="1" t="s">
        <v>5316</v>
      </c>
      <c r="AV224" s="3">
        <v>290.55</v>
      </c>
      <c r="AW224" s="1" t="s">
        <v>5317</v>
      </c>
      <c r="AX224" s="3">
        <v>290.55</v>
      </c>
      <c r="AY224" s="1"/>
      <c r="AZ224" s="1"/>
      <c r="BA224" s="1"/>
      <c r="BB224" s="1"/>
      <c r="BE224" s="67">
        <f t="shared" si="1"/>
        <v>0</v>
      </c>
    </row>
    <row r="225">
      <c r="A225" s="1"/>
      <c r="B225" s="1"/>
      <c r="C225" s="1"/>
      <c r="D225" s="1"/>
      <c r="E225" s="1"/>
      <c r="F225" s="1"/>
      <c r="G225" s="1"/>
      <c r="H225" s="1"/>
      <c r="I225" s="1" t="s">
        <v>5318</v>
      </c>
      <c r="J225" s="3">
        <v>290.55</v>
      </c>
      <c r="K225" s="1"/>
      <c r="L225" s="1"/>
      <c r="M225" s="1"/>
      <c r="N225" s="1"/>
      <c r="O225" s="1"/>
      <c r="P225" s="1"/>
      <c r="Q225" s="1" t="s">
        <v>5319</v>
      </c>
      <c r="R225" s="3">
        <v>290.55</v>
      </c>
      <c r="S225" s="1"/>
      <c r="T225" s="1"/>
      <c r="U225" s="1"/>
      <c r="V225" s="1"/>
      <c r="W225" s="1"/>
      <c r="X225" s="1"/>
      <c r="Y225" s="1" t="s">
        <v>5320</v>
      </c>
      <c r="Z225" s="3">
        <v>290.55</v>
      </c>
      <c r="AA225" s="1"/>
      <c r="AB225" s="1"/>
      <c r="AC225" s="1"/>
      <c r="AD225" s="1"/>
      <c r="AE225" s="1" t="s">
        <v>234</v>
      </c>
      <c r="AF225" s="3">
        <v>290.55</v>
      </c>
      <c r="AG225" s="1"/>
      <c r="AH225" s="1"/>
      <c r="AI225" s="1" t="s">
        <v>5321</v>
      </c>
      <c r="AJ225" s="3">
        <v>290.55</v>
      </c>
      <c r="AK225" s="1"/>
      <c r="AL225" s="1"/>
      <c r="AM225" s="1" t="s">
        <v>5322</v>
      </c>
      <c r="AN225" s="3">
        <v>290.55</v>
      </c>
      <c r="AO225" s="1"/>
      <c r="AP225" s="1"/>
      <c r="AQ225" s="1"/>
      <c r="AR225" s="1"/>
      <c r="AS225" s="1"/>
      <c r="AT225" s="1"/>
      <c r="AU225" s="1" t="s">
        <v>5323</v>
      </c>
      <c r="AV225" s="3">
        <v>290.55</v>
      </c>
      <c r="AW225" s="1" t="s">
        <v>5324</v>
      </c>
      <c r="AX225" s="3">
        <v>290.55</v>
      </c>
      <c r="AY225" s="1"/>
      <c r="AZ225" s="1"/>
      <c r="BA225" s="1"/>
      <c r="BB225" s="1"/>
      <c r="BE225" s="67">
        <f t="shared" si="1"/>
        <v>0</v>
      </c>
    </row>
    <row r="226">
      <c r="A226" s="1"/>
      <c r="B226" s="1"/>
      <c r="C226" s="1"/>
      <c r="D226" s="1"/>
      <c r="E226" s="1"/>
      <c r="F226" s="1"/>
      <c r="G226" s="1"/>
      <c r="H226" s="1"/>
      <c r="I226" s="1" t="s">
        <v>5325</v>
      </c>
      <c r="J226" s="3">
        <v>290.55</v>
      </c>
      <c r="K226" s="1"/>
      <c r="L226" s="1"/>
      <c r="M226" s="1"/>
      <c r="N226" s="1"/>
      <c r="O226" s="1"/>
      <c r="P226" s="1"/>
      <c r="Q226" s="1" t="s">
        <v>5326</v>
      </c>
      <c r="R226" s="3">
        <v>290.55</v>
      </c>
      <c r="S226" s="1"/>
      <c r="T226" s="1"/>
      <c r="U226" s="1"/>
      <c r="V226" s="1"/>
      <c r="W226" s="1"/>
      <c r="X226" s="1"/>
      <c r="Y226" s="1" t="s">
        <v>5327</v>
      </c>
      <c r="Z226" s="3">
        <v>290.55</v>
      </c>
      <c r="AA226" s="1"/>
      <c r="AB226" s="1"/>
      <c r="AC226" s="1"/>
      <c r="AD226" s="1"/>
      <c r="AE226" s="1" t="s">
        <v>235</v>
      </c>
      <c r="AF226" s="3">
        <v>290.55</v>
      </c>
      <c r="AG226" s="1"/>
      <c r="AH226" s="1"/>
      <c r="AI226" s="1"/>
      <c r="AJ226" s="1"/>
      <c r="AK226" s="1"/>
      <c r="AL226" s="1"/>
      <c r="AM226" s="1" t="s">
        <v>5328</v>
      </c>
      <c r="AN226" s="3">
        <v>290.55</v>
      </c>
      <c r="AO226" s="1"/>
      <c r="AP226" s="1"/>
      <c r="AQ226" s="1"/>
      <c r="AR226" s="1"/>
      <c r="AS226" s="1"/>
      <c r="AT226" s="1"/>
      <c r="AU226" s="1" t="s">
        <v>5329</v>
      </c>
      <c r="AV226" s="3">
        <v>290.55</v>
      </c>
      <c r="AW226" s="1" t="s">
        <v>5330</v>
      </c>
      <c r="AX226" s="3">
        <v>290.55</v>
      </c>
      <c r="AY226" s="1"/>
      <c r="AZ226" s="1"/>
      <c r="BA226" s="1"/>
      <c r="BB226" s="1"/>
      <c r="BE226" s="67">
        <f t="shared" si="1"/>
        <v>0</v>
      </c>
    </row>
    <row r="227">
      <c r="A227" s="1"/>
      <c r="B227" s="1"/>
      <c r="C227" s="1"/>
      <c r="D227" s="1"/>
      <c r="E227" s="1"/>
      <c r="F227" s="1"/>
      <c r="G227" s="1"/>
      <c r="H227" s="1"/>
      <c r="I227" s="1" t="s">
        <v>5331</v>
      </c>
      <c r="J227" s="3">
        <v>290.55</v>
      </c>
      <c r="K227" s="1"/>
      <c r="L227" s="1"/>
      <c r="M227" s="1"/>
      <c r="N227" s="1"/>
      <c r="O227" s="1"/>
      <c r="P227" s="1"/>
      <c r="Q227" s="1" t="s">
        <v>5332</v>
      </c>
      <c r="R227" s="3">
        <v>290.55</v>
      </c>
      <c r="S227" s="1"/>
      <c r="T227" s="1"/>
      <c r="U227" s="1"/>
      <c r="V227" s="1"/>
      <c r="W227" s="1"/>
      <c r="X227" s="1"/>
      <c r="Y227" s="1" t="s">
        <v>5333</v>
      </c>
      <c r="Z227" s="3">
        <v>290.55</v>
      </c>
      <c r="AA227" s="1"/>
      <c r="AB227" s="1"/>
      <c r="AC227" s="1"/>
      <c r="AD227" s="1"/>
      <c r="AE227" s="1" t="s">
        <v>236</v>
      </c>
      <c r="AF227" s="3">
        <v>290.55</v>
      </c>
      <c r="AG227" s="1"/>
      <c r="AH227" s="1"/>
      <c r="AI227" s="1"/>
      <c r="AJ227" s="1"/>
      <c r="AK227" s="1"/>
      <c r="AL227" s="1"/>
      <c r="AM227" s="1" t="s">
        <v>5334</v>
      </c>
      <c r="AN227" s="3">
        <v>290.55</v>
      </c>
      <c r="AO227" s="1"/>
      <c r="AP227" s="1"/>
      <c r="AQ227" s="1"/>
      <c r="AR227" s="1"/>
      <c r="AS227" s="1"/>
      <c r="AT227" s="1"/>
      <c r="AU227" s="1" t="s">
        <v>5335</v>
      </c>
      <c r="AV227" s="3">
        <v>290.55</v>
      </c>
      <c r="AW227" s="1" t="s">
        <v>5336</v>
      </c>
      <c r="AX227" s="3">
        <v>290.55</v>
      </c>
      <c r="AY227" s="1"/>
      <c r="AZ227" s="1"/>
      <c r="BA227" s="1"/>
      <c r="BB227" s="1"/>
      <c r="BE227" s="67">
        <f t="shared" si="1"/>
        <v>0</v>
      </c>
    </row>
    <row r="228">
      <c r="A228" s="1"/>
      <c r="B228" s="1"/>
      <c r="C228" s="1"/>
      <c r="D228" s="1"/>
      <c r="E228" s="1"/>
      <c r="F228" s="1"/>
      <c r="G228" s="1"/>
      <c r="H228" s="1"/>
      <c r="I228" s="1" t="s">
        <v>5337</v>
      </c>
      <c r="J228" s="3">
        <v>290.55</v>
      </c>
      <c r="K228" s="1"/>
      <c r="L228" s="1"/>
      <c r="M228" s="1"/>
      <c r="N228" s="1"/>
      <c r="O228" s="1"/>
      <c r="P228" s="1"/>
      <c r="Q228" s="1" t="s">
        <v>5338</v>
      </c>
      <c r="R228" s="3">
        <v>290.55</v>
      </c>
      <c r="S228" s="1"/>
      <c r="T228" s="1"/>
      <c r="U228" s="1"/>
      <c r="V228" s="1"/>
      <c r="W228" s="1"/>
      <c r="X228" s="1"/>
      <c r="Y228" s="1" t="s">
        <v>5339</v>
      </c>
      <c r="Z228" s="3">
        <v>290.55</v>
      </c>
      <c r="AA228" s="1"/>
      <c r="AB228" s="1"/>
      <c r="AC228" s="1"/>
      <c r="AD228" s="1"/>
      <c r="AE228" s="1" t="s">
        <v>237</v>
      </c>
      <c r="AF228" s="3">
        <v>290.55</v>
      </c>
      <c r="AG228" s="1"/>
      <c r="AH228" s="1"/>
      <c r="AI228" s="1"/>
      <c r="AJ228" s="1"/>
      <c r="AK228" s="1"/>
      <c r="AL228" s="1"/>
      <c r="AM228" s="1" t="s">
        <v>5340</v>
      </c>
      <c r="AN228" s="3">
        <v>290.55</v>
      </c>
      <c r="AO228" s="1"/>
      <c r="AP228" s="1"/>
      <c r="AQ228" s="1"/>
      <c r="AR228" s="1"/>
      <c r="AS228" s="1"/>
      <c r="AT228" s="1"/>
      <c r="AU228" s="1" t="s">
        <v>5341</v>
      </c>
      <c r="AV228" s="3">
        <v>290.55</v>
      </c>
      <c r="AW228" s="1" t="s">
        <v>5342</v>
      </c>
      <c r="AX228" s="3">
        <v>290.55</v>
      </c>
      <c r="AY228" s="1"/>
      <c r="AZ228" s="1"/>
      <c r="BA228" s="1"/>
      <c r="BB228" s="1"/>
      <c r="BE228" s="67">
        <f t="shared" si="1"/>
        <v>0</v>
      </c>
    </row>
    <row r="229">
      <c r="A229" s="1"/>
      <c r="B229" s="1"/>
      <c r="C229" s="1"/>
      <c r="D229" s="1"/>
      <c r="E229" s="1"/>
      <c r="F229" s="1"/>
      <c r="G229" s="1"/>
      <c r="H229" s="1"/>
      <c r="I229" s="1" t="s">
        <v>5343</v>
      </c>
      <c r="J229" s="3">
        <v>290.55</v>
      </c>
      <c r="K229" s="1"/>
      <c r="L229" s="1"/>
      <c r="M229" s="1"/>
      <c r="N229" s="1"/>
      <c r="O229" s="1"/>
      <c r="P229" s="1"/>
      <c r="Q229" s="1" t="s">
        <v>5344</v>
      </c>
      <c r="R229" s="3">
        <v>290.55</v>
      </c>
      <c r="S229" s="1"/>
      <c r="T229" s="1"/>
      <c r="U229" s="1"/>
      <c r="V229" s="1"/>
      <c r="W229" s="1"/>
      <c r="X229" s="1"/>
      <c r="Y229" s="1" t="s">
        <v>5345</v>
      </c>
      <c r="Z229" s="3">
        <v>290.55</v>
      </c>
      <c r="AA229" s="1"/>
      <c r="AB229" s="1"/>
      <c r="AC229" s="1"/>
      <c r="AD229" s="1"/>
      <c r="AE229" s="1" t="s">
        <v>5346</v>
      </c>
      <c r="AF229" s="3">
        <v>290.55</v>
      </c>
      <c r="AG229" s="1"/>
      <c r="AH229" s="1"/>
      <c r="AI229" s="1"/>
      <c r="AJ229" s="1"/>
      <c r="AK229" s="1"/>
      <c r="AL229" s="1"/>
      <c r="AM229" s="1" t="s">
        <v>5347</v>
      </c>
      <c r="AN229" s="3">
        <v>290.55</v>
      </c>
      <c r="AO229" s="1"/>
      <c r="AP229" s="1"/>
      <c r="AQ229" s="1"/>
      <c r="AR229" s="1"/>
      <c r="AS229" s="1"/>
      <c r="AT229" s="1"/>
      <c r="AU229" s="1" t="s">
        <v>5348</v>
      </c>
      <c r="AV229" s="3">
        <v>290.55</v>
      </c>
      <c r="AW229" s="1" t="s">
        <v>5349</v>
      </c>
      <c r="AX229" s="3">
        <v>290.55</v>
      </c>
      <c r="AY229" s="1"/>
      <c r="AZ229" s="1"/>
      <c r="BA229" s="1"/>
      <c r="BB229" s="1"/>
      <c r="BE229" s="67">
        <f t="shared" si="1"/>
        <v>0</v>
      </c>
    </row>
    <row r="230">
      <c r="A230" s="1"/>
      <c r="B230" s="1"/>
      <c r="C230" s="1"/>
      <c r="D230" s="1"/>
      <c r="E230" s="1"/>
      <c r="F230" s="1"/>
      <c r="G230" s="1"/>
      <c r="H230" s="1"/>
      <c r="I230" s="1" t="s">
        <v>5350</v>
      </c>
      <c r="J230" s="3">
        <v>290.55</v>
      </c>
      <c r="K230" s="1"/>
      <c r="L230" s="1"/>
      <c r="M230" s="1"/>
      <c r="N230" s="1"/>
      <c r="O230" s="1"/>
      <c r="P230" s="1"/>
      <c r="Q230" s="1" t="s">
        <v>5351</v>
      </c>
      <c r="R230" s="3">
        <v>290.55</v>
      </c>
      <c r="S230" s="1"/>
      <c r="T230" s="1"/>
      <c r="U230" s="1"/>
      <c r="V230" s="1"/>
      <c r="W230" s="1"/>
      <c r="X230" s="1"/>
      <c r="Y230" s="1" t="s">
        <v>5352</v>
      </c>
      <c r="Z230" s="3">
        <v>290.55</v>
      </c>
      <c r="AA230" s="1"/>
      <c r="AB230" s="1"/>
      <c r="AC230" s="1"/>
      <c r="AD230" s="1"/>
      <c r="AE230" s="1" t="s">
        <v>239</v>
      </c>
      <c r="AF230" s="3">
        <v>290.55</v>
      </c>
      <c r="AG230" s="1"/>
      <c r="AH230" s="1"/>
      <c r="AI230" s="1"/>
      <c r="AJ230" s="1"/>
      <c r="AK230" s="1"/>
      <c r="AL230" s="1"/>
      <c r="AM230" s="1" t="s">
        <v>5353</v>
      </c>
      <c r="AN230" s="3">
        <v>290.55</v>
      </c>
      <c r="AO230" s="1"/>
      <c r="AP230" s="1"/>
      <c r="AQ230" s="1"/>
      <c r="AR230" s="1"/>
      <c r="AS230" s="1"/>
      <c r="AT230" s="1"/>
      <c r="AU230" s="1" t="s">
        <v>5354</v>
      </c>
      <c r="AV230" s="3">
        <v>290.55</v>
      </c>
      <c r="AW230" s="1" t="s">
        <v>5355</v>
      </c>
      <c r="AX230" s="3">
        <v>290.55</v>
      </c>
      <c r="AY230" s="1"/>
      <c r="AZ230" s="1"/>
      <c r="BA230" s="1"/>
      <c r="BB230" s="1"/>
      <c r="BE230" s="67">
        <f t="shared" si="1"/>
        <v>0</v>
      </c>
    </row>
    <row r="231">
      <c r="A231" s="1"/>
      <c r="B231" s="1"/>
      <c r="C231" s="1"/>
      <c r="D231" s="1"/>
      <c r="E231" s="1"/>
      <c r="F231" s="1"/>
      <c r="G231" s="1"/>
      <c r="H231" s="1"/>
      <c r="I231" s="1" t="s">
        <v>5356</v>
      </c>
      <c r="J231" s="3">
        <v>290.55</v>
      </c>
      <c r="K231" s="1"/>
      <c r="L231" s="1"/>
      <c r="M231" s="1"/>
      <c r="N231" s="1"/>
      <c r="O231" s="1"/>
      <c r="P231" s="1"/>
      <c r="Q231" s="1" t="s">
        <v>5357</v>
      </c>
      <c r="R231" s="3">
        <v>290.55</v>
      </c>
      <c r="S231" s="1"/>
      <c r="T231" s="1"/>
      <c r="U231" s="1"/>
      <c r="V231" s="1"/>
      <c r="W231" s="1"/>
      <c r="X231" s="1"/>
      <c r="Y231" s="1" t="s">
        <v>5358</v>
      </c>
      <c r="Z231" s="3">
        <v>290.55</v>
      </c>
      <c r="AA231" s="1"/>
      <c r="AB231" s="1"/>
      <c r="AC231" s="1"/>
      <c r="AD231" s="1"/>
      <c r="AE231" s="1" t="s">
        <v>240</v>
      </c>
      <c r="AF231" s="3">
        <v>290.55</v>
      </c>
      <c r="AG231" s="1"/>
      <c r="AH231" s="1"/>
      <c r="AI231" s="1"/>
      <c r="AJ231" s="1"/>
      <c r="AK231" s="1"/>
      <c r="AL231" s="1"/>
      <c r="AM231" s="1" t="s">
        <v>5359</v>
      </c>
      <c r="AN231" s="3">
        <v>290.55</v>
      </c>
      <c r="AO231" s="1"/>
      <c r="AP231" s="1"/>
      <c r="AQ231" s="1"/>
      <c r="AR231" s="1"/>
      <c r="AS231" s="1"/>
      <c r="AT231" s="1"/>
      <c r="AU231" s="1" t="s">
        <v>4747</v>
      </c>
      <c r="AV231" s="3">
        <v>290.55</v>
      </c>
      <c r="AW231" s="1" t="s">
        <v>5360</v>
      </c>
      <c r="AX231" s="3">
        <v>290.55</v>
      </c>
      <c r="AY231" s="1"/>
      <c r="AZ231" s="1"/>
      <c r="BA231" s="1"/>
      <c r="BB231" s="1"/>
      <c r="BE231" s="67">
        <f t="shared" si="1"/>
        <v>0</v>
      </c>
    </row>
    <row r="232">
      <c r="A232" s="1"/>
      <c r="B232" s="1"/>
      <c r="C232" s="1"/>
      <c r="D232" s="1"/>
      <c r="E232" s="1"/>
      <c r="F232" s="1"/>
      <c r="G232" s="1"/>
      <c r="H232" s="1"/>
      <c r="I232" s="1" t="s">
        <v>5361</v>
      </c>
      <c r="J232" s="3">
        <v>290.55</v>
      </c>
      <c r="K232" s="1"/>
      <c r="L232" s="1"/>
      <c r="M232" s="1"/>
      <c r="N232" s="1"/>
      <c r="O232" s="1"/>
      <c r="P232" s="1"/>
      <c r="Q232" s="1" t="s">
        <v>5362</v>
      </c>
      <c r="R232" s="3">
        <v>290.55</v>
      </c>
      <c r="S232" s="1"/>
      <c r="T232" s="1"/>
      <c r="U232" s="1"/>
      <c r="V232" s="1"/>
      <c r="W232" s="1"/>
      <c r="X232" s="1"/>
      <c r="Y232" s="1" t="s">
        <v>5363</v>
      </c>
      <c r="Z232" s="3">
        <v>290.55</v>
      </c>
      <c r="AA232" s="1"/>
      <c r="AB232" s="1"/>
      <c r="AC232" s="1"/>
      <c r="AD232" s="1"/>
      <c r="AE232" s="1" t="s">
        <v>241</v>
      </c>
      <c r="AF232" s="3">
        <v>290.55</v>
      </c>
      <c r="AG232" s="1"/>
      <c r="AH232" s="1"/>
      <c r="AI232" s="1"/>
      <c r="AJ232" s="1"/>
      <c r="AK232" s="1"/>
      <c r="AL232" s="1"/>
      <c r="AM232" s="1" t="s">
        <v>5364</v>
      </c>
      <c r="AN232" s="3">
        <v>290.55</v>
      </c>
      <c r="AO232" s="1"/>
      <c r="AP232" s="1"/>
      <c r="AQ232" s="1"/>
      <c r="AR232" s="1"/>
      <c r="AS232" s="1"/>
      <c r="AT232" s="1"/>
      <c r="AU232" s="1" t="s">
        <v>331</v>
      </c>
      <c r="AV232" s="3">
        <v>290.55</v>
      </c>
      <c r="AW232" s="1" t="s">
        <v>5365</v>
      </c>
      <c r="AX232" s="3">
        <v>290.55</v>
      </c>
      <c r="AY232" s="1"/>
      <c r="AZ232" s="1"/>
      <c r="BA232" s="1"/>
      <c r="BB232" s="1"/>
      <c r="BE232" s="67">
        <f t="shared" si="1"/>
        <v>0</v>
      </c>
    </row>
    <row r="233">
      <c r="A233" s="1"/>
      <c r="B233" s="1"/>
      <c r="C233" s="1"/>
      <c r="D233" s="1"/>
      <c r="E233" s="1"/>
      <c r="F233" s="1"/>
      <c r="G233" s="1"/>
      <c r="H233" s="1"/>
      <c r="I233" s="1" t="s">
        <v>5366</v>
      </c>
      <c r="J233" s="3">
        <v>290.55</v>
      </c>
      <c r="K233" s="1"/>
      <c r="L233" s="1"/>
      <c r="M233" s="1"/>
      <c r="N233" s="1"/>
      <c r="O233" s="1"/>
      <c r="P233" s="1"/>
      <c r="Q233" s="1" t="s">
        <v>5367</v>
      </c>
      <c r="R233" s="3">
        <v>290.55</v>
      </c>
      <c r="S233" s="1"/>
      <c r="T233" s="1"/>
      <c r="U233" s="1"/>
      <c r="V233" s="1"/>
      <c r="W233" s="1"/>
      <c r="X233" s="1"/>
      <c r="Y233" s="1" t="s">
        <v>5368</v>
      </c>
      <c r="Z233" s="3">
        <v>290.55</v>
      </c>
      <c r="AA233" s="1"/>
      <c r="AB233" s="1"/>
      <c r="AC233" s="1"/>
      <c r="AD233" s="1"/>
      <c r="AE233" s="1" t="s">
        <v>242</v>
      </c>
      <c r="AF233" s="3">
        <v>290.55</v>
      </c>
      <c r="AG233" s="1"/>
      <c r="AH233" s="1"/>
      <c r="AI233" s="1"/>
      <c r="AJ233" s="1"/>
      <c r="AK233" s="1"/>
      <c r="AL233" s="1"/>
      <c r="AM233" s="1" t="s">
        <v>3274</v>
      </c>
      <c r="AN233" s="3">
        <v>290.55</v>
      </c>
      <c r="AO233" s="1"/>
      <c r="AP233" s="1"/>
      <c r="AQ233" s="1"/>
      <c r="AR233" s="1"/>
      <c r="AS233" s="1"/>
      <c r="AT233" s="1"/>
      <c r="AU233" s="1" t="s">
        <v>3176</v>
      </c>
      <c r="AV233" s="3">
        <v>290.55</v>
      </c>
      <c r="AW233" s="1" t="s">
        <v>5369</v>
      </c>
      <c r="AX233" s="3">
        <v>290.55</v>
      </c>
      <c r="AY233" s="1"/>
      <c r="AZ233" s="1"/>
      <c r="BA233" s="1"/>
      <c r="BB233" s="1"/>
      <c r="BE233" s="67">
        <f t="shared" si="1"/>
        <v>0</v>
      </c>
    </row>
    <row r="234">
      <c r="A234" s="1"/>
      <c r="B234" s="1"/>
      <c r="C234" s="1"/>
      <c r="D234" s="1"/>
      <c r="E234" s="1"/>
      <c r="F234" s="1"/>
      <c r="G234" s="1"/>
      <c r="H234" s="1"/>
      <c r="I234" s="1" t="s">
        <v>5370</v>
      </c>
      <c r="J234" s="3">
        <v>290.55</v>
      </c>
      <c r="K234" s="1"/>
      <c r="L234" s="1"/>
      <c r="M234" s="1"/>
      <c r="N234" s="1"/>
      <c r="O234" s="1"/>
      <c r="P234" s="1"/>
      <c r="Q234" s="1" t="s">
        <v>4851</v>
      </c>
      <c r="R234" s="3">
        <v>290.55</v>
      </c>
      <c r="S234" s="1"/>
      <c r="T234" s="1"/>
      <c r="U234" s="1"/>
      <c r="V234" s="1"/>
      <c r="W234" s="1"/>
      <c r="X234" s="1"/>
      <c r="Y234" s="1" t="s">
        <v>5371</v>
      </c>
      <c r="Z234" s="3">
        <v>290.55</v>
      </c>
      <c r="AA234" s="1"/>
      <c r="AB234" s="1"/>
      <c r="AC234" s="1"/>
      <c r="AD234" s="1"/>
      <c r="AE234" s="1" t="s">
        <v>243</v>
      </c>
      <c r="AF234" s="3">
        <v>290.55</v>
      </c>
      <c r="AG234" s="1"/>
      <c r="AH234" s="1"/>
      <c r="AI234" s="1"/>
      <c r="AJ234" s="1"/>
      <c r="AK234" s="1"/>
      <c r="AL234" s="1"/>
      <c r="AM234" s="1" t="s">
        <v>5372</v>
      </c>
      <c r="AN234" s="3">
        <v>290.55</v>
      </c>
      <c r="AO234" s="1"/>
      <c r="AP234" s="1"/>
      <c r="AQ234" s="1"/>
      <c r="AR234" s="1"/>
      <c r="AS234" s="1"/>
      <c r="AT234" s="1"/>
      <c r="AU234" s="1" t="s">
        <v>5373</v>
      </c>
      <c r="AV234" s="3">
        <v>290.55</v>
      </c>
      <c r="AW234" s="1" t="s">
        <v>5374</v>
      </c>
      <c r="AX234" s="3">
        <v>290.55</v>
      </c>
      <c r="AY234" s="1"/>
      <c r="AZ234" s="1"/>
      <c r="BA234" s="1"/>
      <c r="BB234" s="1"/>
      <c r="BE234" s="67">
        <f t="shared" si="1"/>
        <v>0</v>
      </c>
    </row>
    <row r="235">
      <c r="A235" s="1"/>
      <c r="B235" s="1"/>
      <c r="C235" s="1"/>
      <c r="D235" s="1"/>
      <c r="E235" s="1"/>
      <c r="F235" s="1"/>
      <c r="G235" s="1"/>
      <c r="H235" s="1"/>
      <c r="I235" s="1" t="s">
        <v>5375</v>
      </c>
      <c r="J235" s="3">
        <v>290.55</v>
      </c>
      <c r="K235" s="1"/>
      <c r="L235" s="1"/>
      <c r="M235" s="1"/>
      <c r="N235" s="1"/>
      <c r="O235" s="1"/>
      <c r="P235" s="1"/>
      <c r="Q235" s="1" t="s">
        <v>5376</v>
      </c>
      <c r="R235" s="3">
        <v>290.55</v>
      </c>
      <c r="S235" s="1"/>
      <c r="T235" s="1"/>
      <c r="U235" s="1"/>
      <c r="V235" s="1"/>
      <c r="W235" s="1"/>
      <c r="X235" s="1"/>
      <c r="Y235" s="1" t="s">
        <v>5377</v>
      </c>
      <c r="Z235" s="3">
        <v>290.55</v>
      </c>
      <c r="AA235" s="1"/>
      <c r="AB235" s="1"/>
      <c r="AC235" s="1"/>
      <c r="AD235" s="1"/>
      <c r="AE235" s="1" t="s">
        <v>244</v>
      </c>
      <c r="AF235" s="3">
        <v>290.55</v>
      </c>
      <c r="AG235" s="1"/>
      <c r="AH235" s="1"/>
      <c r="AI235" s="1"/>
      <c r="AJ235" s="1"/>
      <c r="AK235" s="1"/>
      <c r="AL235" s="1"/>
      <c r="AM235" s="1" t="s">
        <v>5378</v>
      </c>
      <c r="AN235" s="3">
        <v>290.55</v>
      </c>
      <c r="AO235" s="1"/>
      <c r="AP235" s="1"/>
      <c r="AQ235" s="1"/>
      <c r="AR235" s="1"/>
      <c r="AS235" s="1"/>
      <c r="AT235" s="1"/>
      <c r="AU235" s="1" t="s">
        <v>4086</v>
      </c>
      <c r="AV235" s="3">
        <v>290.55</v>
      </c>
      <c r="AW235" s="1" t="s">
        <v>5379</v>
      </c>
      <c r="AX235" s="3">
        <v>290.55</v>
      </c>
      <c r="AY235" s="1"/>
      <c r="AZ235" s="1"/>
      <c r="BA235" s="1"/>
      <c r="BB235" s="1"/>
      <c r="BE235" s="67">
        <f t="shared" si="1"/>
        <v>0</v>
      </c>
    </row>
    <row r="236">
      <c r="A236" s="1"/>
      <c r="B236" s="1"/>
      <c r="C236" s="1"/>
      <c r="D236" s="1"/>
      <c r="E236" s="1"/>
      <c r="F236" s="1"/>
      <c r="G236" s="1"/>
      <c r="H236" s="1"/>
      <c r="I236" s="1" t="s">
        <v>463</v>
      </c>
      <c r="J236" s="3">
        <v>290.55</v>
      </c>
      <c r="K236" s="1"/>
      <c r="L236" s="1"/>
      <c r="M236" s="1"/>
      <c r="N236" s="1"/>
      <c r="O236" s="1"/>
      <c r="P236" s="1"/>
      <c r="Q236" s="1" t="s">
        <v>5380</v>
      </c>
      <c r="R236" s="3">
        <v>290.55</v>
      </c>
      <c r="S236" s="1"/>
      <c r="T236" s="1"/>
      <c r="U236" s="1"/>
      <c r="V236" s="1"/>
      <c r="W236" s="1"/>
      <c r="X236" s="1"/>
      <c r="Y236" s="1" t="s">
        <v>5381</v>
      </c>
      <c r="Z236" s="3">
        <v>290.55</v>
      </c>
      <c r="AA236" s="1"/>
      <c r="AB236" s="1"/>
      <c r="AC236" s="1"/>
      <c r="AD236" s="1"/>
      <c r="AE236" s="1" t="s">
        <v>245</v>
      </c>
      <c r="AF236" s="3">
        <v>290.55</v>
      </c>
      <c r="AG236" s="1"/>
      <c r="AH236" s="1"/>
      <c r="AI236" s="1"/>
      <c r="AJ236" s="1"/>
      <c r="AK236" s="1"/>
      <c r="AL236" s="1"/>
      <c r="AM236" s="1" t="s">
        <v>5382</v>
      </c>
      <c r="AN236" s="3">
        <v>290.55</v>
      </c>
      <c r="AO236" s="1"/>
      <c r="AP236" s="1"/>
      <c r="AQ236" s="1"/>
      <c r="AR236" s="1"/>
      <c r="AS236" s="1"/>
      <c r="AT236" s="1"/>
      <c r="AU236" s="1" t="s">
        <v>5383</v>
      </c>
      <c r="AV236" s="3">
        <v>290.55</v>
      </c>
      <c r="AW236" s="1" t="s">
        <v>5384</v>
      </c>
      <c r="AX236" s="3">
        <v>290.55</v>
      </c>
      <c r="AY236" s="1"/>
      <c r="AZ236" s="1"/>
      <c r="BA236" s="1"/>
      <c r="BB236" s="1"/>
      <c r="BE236" s="67">
        <f t="shared" si="1"/>
        <v>0</v>
      </c>
    </row>
    <row r="237">
      <c r="A237" s="1"/>
      <c r="B237" s="1"/>
      <c r="C237" s="1"/>
      <c r="D237" s="1"/>
      <c r="E237" s="1"/>
      <c r="F237" s="1"/>
      <c r="G237" s="1"/>
      <c r="H237" s="1"/>
      <c r="I237" s="1" t="s">
        <v>5385</v>
      </c>
      <c r="J237" s="3">
        <v>290.55</v>
      </c>
      <c r="K237" s="1"/>
      <c r="L237" s="1"/>
      <c r="M237" s="1"/>
      <c r="N237" s="1"/>
      <c r="O237" s="1"/>
      <c r="P237" s="1"/>
      <c r="Q237" s="1" t="s">
        <v>5386</v>
      </c>
      <c r="R237" s="3">
        <v>290.55</v>
      </c>
      <c r="S237" s="1"/>
      <c r="T237" s="1"/>
      <c r="U237" s="1"/>
      <c r="V237" s="1"/>
      <c r="W237" s="1"/>
      <c r="X237" s="1"/>
      <c r="Y237" s="1" t="s">
        <v>5387</v>
      </c>
      <c r="Z237" s="3">
        <v>290.55</v>
      </c>
      <c r="AA237" s="1"/>
      <c r="AB237" s="1"/>
      <c r="AC237" s="1"/>
      <c r="AD237" s="1"/>
      <c r="AE237" s="1" t="s">
        <v>246</v>
      </c>
      <c r="AF237" s="3">
        <v>290.55</v>
      </c>
      <c r="AG237" s="1"/>
      <c r="AH237" s="1"/>
      <c r="AI237" s="1"/>
      <c r="AJ237" s="1"/>
      <c r="AK237" s="1"/>
      <c r="AL237" s="1"/>
      <c r="AM237" s="1" t="s">
        <v>5388</v>
      </c>
      <c r="AN237" s="3">
        <v>290.55</v>
      </c>
      <c r="AO237" s="1"/>
      <c r="AP237" s="1"/>
      <c r="AQ237" s="1"/>
      <c r="AR237" s="1"/>
      <c r="AS237" s="1"/>
      <c r="AT237" s="1"/>
      <c r="AU237" s="1" t="s">
        <v>5389</v>
      </c>
      <c r="AV237" s="3">
        <v>290.55</v>
      </c>
      <c r="AW237" s="1" t="s">
        <v>5390</v>
      </c>
      <c r="AX237" s="3">
        <v>290.55</v>
      </c>
      <c r="AY237" s="1"/>
      <c r="AZ237" s="1"/>
      <c r="BA237" s="1"/>
      <c r="BB237" s="1"/>
      <c r="BE237" s="67">
        <f t="shared" si="1"/>
        <v>0</v>
      </c>
    </row>
    <row r="238">
      <c r="A238" s="1"/>
      <c r="B238" s="1"/>
      <c r="C238" s="1"/>
      <c r="D238" s="1"/>
      <c r="E238" s="1"/>
      <c r="F238" s="1"/>
      <c r="G238" s="1"/>
      <c r="H238" s="1"/>
      <c r="I238" s="1" t="s">
        <v>5391</v>
      </c>
      <c r="J238" s="3">
        <v>290.55</v>
      </c>
      <c r="K238" s="1"/>
      <c r="L238" s="1"/>
      <c r="M238" s="1"/>
      <c r="N238" s="1"/>
      <c r="O238" s="1"/>
      <c r="P238" s="1"/>
      <c r="Q238" s="1" t="s">
        <v>5392</v>
      </c>
      <c r="R238" s="3">
        <v>290.55</v>
      </c>
      <c r="S238" s="1"/>
      <c r="T238" s="1"/>
      <c r="U238" s="1"/>
      <c r="V238" s="1"/>
      <c r="W238" s="1"/>
      <c r="X238" s="1"/>
      <c r="Y238" s="1" t="s">
        <v>5393</v>
      </c>
      <c r="Z238" s="3">
        <v>290.55</v>
      </c>
      <c r="AA238" s="1"/>
      <c r="AB238" s="1"/>
      <c r="AC238" s="1"/>
      <c r="AD238" s="1"/>
      <c r="AE238" s="1" t="s">
        <v>247</v>
      </c>
      <c r="AF238" s="3">
        <v>290.55</v>
      </c>
      <c r="AG238" s="1"/>
      <c r="AH238" s="1"/>
      <c r="AI238" s="1"/>
      <c r="AJ238" s="1"/>
      <c r="AK238" s="1"/>
      <c r="AL238" s="1"/>
      <c r="AM238" s="1" t="s">
        <v>5394</v>
      </c>
      <c r="AN238" s="3">
        <v>290.55</v>
      </c>
      <c r="AO238" s="1"/>
      <c r="AP238" s="1"/>
      <c r="AQ238" s="1"/>
      <c r="AR238" s="1"/>
      <c r="AS238" s="1"/>
      <c r="AT238" s="1"/>
      <c r="AU238" s="1" t="s">
        <v>5395</v>
      </c>
      <c r="AV238" s="3">
        <v>290.55</v>
      </c>
      <c r="AW238" s="1" t="s">
        <v>5396</v>
      </c>
      <c r="AX238" s="3">
        <v>290.55</v>
      </c>
      <c r="AY238" s="1"/>
      <c r="AZ238" s="1"/>
      <c r="BA238" s="1"/>
      <c r="BB238" s="1"/>
      <c r="BE238" s="67">
        <f t="shared" si="1"/>
        <v>0</v>
      </c>
    </row>
    <row r="239">
      <c r="A239" s="1"/>
      <c r="B239" s="1"/>
      <c r="C239" s="1"/>
      <c r="D239" s="1"/>
      <c r="E239" s="1"/>
      <c r="F239" s="1"/>
      <c r="G239" s="1"/>
      <c r="H239" s="1"/>
      <c r="I239" s="1" t="s">
        <v>5397</v>
      </c>
      <c r="J239" s="3">
        <v>290.55</v>
      </c>
      <c r="K239" s="1"/>
      <c r="L239" s="1"/>
      <c r="M239" s="1"/>
      <c r="N239" s="1"/>
      <c r="O239" s="1"/>
      <c r="P239" s="1"/>
      <c r="Q239" s="1" t="s">
        <v>5398</v>
      </c>
      <c r="R239" s="3">
        <v>290.55</v>
      </c>
      <c r="S239" s="1"/>
      <c r="T239" s="1"/>
      <c r="U239" s="1"/>
      <c r="V239" s="1"/>
      <c r="W239" s="1"/>
      <c r="X239" s="1"/>
      <c r="Y239" s="1" t="s">
        <v>5399</v>
      </c>
      <c r="Z239" s="3">
        <v>290.55</v>
      </c>
      <c r="AA239" s="1"/>
      <c r="AB239" s="1"/>
      <c r="AC239" s="1"/>
      <c r="AD239" s="1"/>
      <c r="AE239" s="1" t="s">
        <v>248</v>
      </c>
      <c r="AF239" s="3">
        <v>290.55</v>
      </c>
      <c r="AG239" s="1"/>
      <c r="AH239" s="1"/>
      <c r="AI239" s="1"/>
      <c r="AJ239" s="1"/>
      <c r="AK239" s="1"/>
      <c r="AL239" s="1"/>
      <c r="AM239" s="1" t="s">
        <v>5400</v>
      </c>
      <c r="AN239" s="3">
        <v>290.55</v>
      </c>
      <c r="AO239" s="1"/>
      <c r="AP239" s="1"/>
      <c r="AQ239" s="1"/>
      <c r="AR239" s="1"/>
      <c r="AS239" s="1"/>
      <c r="AT239" s="1"/>
      <c r="AU239" s="1" t="s">
        <v>5401</v>
      </c>
      <c r="AV239" s="3">
        <v>290.55</v>
      </c>
      <c r="AW239" s="1" t="s">
        <v>5402</v>
      </c>
      <c r="AX239" s="3">
        <v>290.55</v>
      </c>
      <c r="AY239" s="1"/>
      <c r="AZ239" s="1"/>
      <c r="BA239" s="1"/>
      <c r="BB239" s="1"/>
      <c r="BE239" s="67">
        <f t="shared" si="1"/>
        <v>0</v>
      </c>
    </row>
    <row r="240">
      <c r="A240" s="1"/>
      <c r="B240" s="1"/>
      <c r="C240" s="1"/>
      <c r="D240" s="1"/>
      <c r="E240" s="1"/>
      <c r="F240" s="1"/>
      <c r="G240" s="1"/>
      <c r="H240" s="1"/>
      <c r="I240" s="1" t="s">
        <v>5403</v>
      </c>
      <c r="J240" s="3">
        <v>290.55</v>
      </c>
      <c r="K240" s="1"/>
      <c r="L240" s="1"/>
      <c r="M240" s="1"/>
      <c r="N240" s="1"/>
      <c r="O240" s="1"/>
      <c r="P240" s="1"/>
      <c r="Q240" s="1" t="s">
        <v>5404</v>
      </c>
      <c r="R240" s="3">
        <v>290.55</v>
      </c>
      <c r="S240" s="1"/>
      <c r="T240" s="1"/>
      <c r="U240" s="1"/>
      <c r="V240" s="1"/>
      <c r="W240" s="1"/>
      <c r="X240" s="1"/>
      <c r="Y240" s="1" t="s">
        <v>5405</v>
      </c>
      <c r="Z240" s="3">
        <v>290.55</v>
      </c>
      <c r="AA240" s="1"/>
      <c r="AB240" s="1"/>
      <c r="AC240" s="1"/>
      <c r="AD240" s="1"/>
      <c r="AE240" s="1" t="s">
        <v>249</v>
      </c>
      <c r="AF240" s="3">
        <v>290.55</v>
      </c>
      <c r="AG240" s="1"/>
      <c r="AH240" s="1"/>
      <c r="AI240" s="1"/>
      <c r="AJ240" s="1"/>
      <c r="AK240" s="1"/>
      <c r="AL240" s="1"/>
      <c r="AM240" s="1" t="s">
        <v>5406</v>
      </c>
      <c r="AN240" s="3">
        <v>290.55</v>
      </c>
      <c r="AO240" s="1"/>
      <c r="AP240" s="1"/>
      <c r="AQ240" s="1"/>
      <c r="AR240" s="1"/>
      <c r="AS240" s="1"/>
      <c r="AT240" s="1"/>
      <c r="AU240" s="1" t="s">
        <v>5407</v>
      </c>
      <c r="AV240" s="3">
        <v>290.55</v>
      </c>
      <c r="AW240" s="1" t="s">
        <v>5408</v>
      </c>
      <c r="AX240" s="3">
        <v>290.55</v>
      </c>
      <c r="AY240" s="1"/>
      <c r="AZ240" s="1"/>
      <c r="BA240" s="1"/>
      <c r="BB240" s="1"/>
      <c r="BE240" s="67">
        <f t="shared" si="1"/>
        <v>0</v>
      </c>
    </row>
    <row r="241">
      <c r="A241" s="1"/>
      <c r="B241" s="1"/>
      <c r="C241" s="1"/>
      <c r="D241" s="1"/>
      <c r="E241" s="1"/>
      <c r="F241" s="1"/>
      <c r="G241" s="1"/>
      <c r="H241" s="1"/>
      <c r="I241" s="1" t="s">
        <v>5409</v>
      </c>
      <c r="J241" s="3">
        <v>290.55</v>
      </c>
      <c r="K241" s="1"/>
      <c r="L241" s="1"/>
      <c r="M241" s="1"/>
      <c r="N241" s="1"/>
      <c r="O241" s="1"/>
      <c r="P241" s="1"/>
      <c r="Q241" s="1" t="s">
        <v>5410</v>
      </c>
      <c r="R241" s="3">
        <v>290.55</v>
      </c>
      <c r="S241" s="1"/>
      <c r="T241" s="1"/>
      <c r="U241" s="1"/>
      <c r="V241" s="1"/>
      <c r="W241" s="1"/>
      <c r="X241" s="1"/>
      <c r="Y241" s="1" t="s">
        <v>5411</v>
      </c>
      <c r="Z241" s="3">
        <v>290.55</v>
      </c>
      <c r="AA241" s="1"/>
      <c r="AB241" s="1"/>
      <c r="AC241" s="1"/>
      <c r="AD241" s="1"/>
      <c r="AE241" s="1" t="s">
        <v>250</v>
      </c>
      <c r="AF241" s="3">
        <v>290.55</v>
      </c>
      <c r="AG241" s="1"/>
      <c r="AH241" s="1"/>
      <c r="AI241" s="1"/>
      <c r="AJ241" s="1"/>
      <c r="AK241" s="1"/>
      <c r="AL241" s="1"/>
      <c r="AM241" s="1" t="s">
        <v>5412</v>
      </c>
      <c r="AN241" s="3">
        <v>290.55</v>
      </c>
      <c r="AO241" s="1"/>
      <c r="AP241" s="1"/>
      <c r="AQ241" s="1"/>
      <c r="AR241" s="1"/>
      <c r="AS241" s="1"/>
      <c r="AT241" s="1"/>
      <c r="AU241" s="1" t="s">
        <v>5413</v>
      </c>
      <c r="AV241" s="3">
        <v>290.55</v>
      </c>
      <c r="AW241" s="1" t="s">
        <v>5414</v>
      </c>
      <c r="AX241" s="3">
        <v>290.55</v>
      </c>
      <c r="AY241" s="1"/>
      <c r="AZ241" s="1"/>
      <c r="BA241" s="1"/>
      <c r="BB241" s="1"/>
      <c r="BE241" s="67">
        <f t="shared" si="1"/>
        <v>0</v>
      </c>
    </row>
    <row r="242">
      <c r="A242" s="1"/>
      <c r="B242" s="1"/>
      <c r="C242" s="1"/>
      <c r="D242" s="1"/>
      <c r="E242" s="1"/>
      <c r="F242" s="1"/>
      <c r="G242" s="1"/>
      <c r="H242" s="1"/>
      <c r="I242" s="1" t="s">
        <v>5415</v>
      </c>
      <c r="J242" s="3">
        <v>290.55</v>
      </c>
      <c r="K242" s="1"/>
      <c r="L242" s="1"/>
      <c r="M242" s="1"/>
      <c r="N242" s="1"/>
      <c r="O242" s="1"/>
      <c r="P242" s="1"/>
      <c r="Q242" s="1" t="s">
        <v>5416</v>
      </c>
      <c r="R242" s="3">
        <v>290.55</v>
      </c>
      <c r="S242" s="1"/>
      <c r="T242" s="1"/>
      <c r="U242" s="1"/>
      <c r="V242" s="1"/>
      <c r="W242" s="1"/>
      <c r="X242" s="1"/>
      <c r="Y242" s="1" t="s">
        <v>5417</v>
      </c>
      <c r="Z242" s="3">
        <v>290.55</v>
      </c>
      <c r="AA242" s="1"/>
      <c r="AB242" s="1"/>
      <c r="AC242" s="1"/>
      <c r="AD242" s="1"/>
      <c r="AE242" s="1" t="s">
        <v>251</v>
      </c>
      <c r="AF242" s="3">
        <v>290.55</v>
      </c>
      <c r="AG242" s="1"/>
      <c r="AH242" s="1"/>
      <c r="AI242" s="1"/>
      <c r="AJ242" s="1"/>
      <c r="AK242" s="1"/>
      <c r="AL242" s="1"/>
      <c r="AM242" s="1" t="s">
        <v>5418</v>
      </c>
      <c r="AN242" s="3">
        <v>290.55</v>
      </c>
      <c r="AO242" s="1"/>
      <c r="AP242" s="1"/>
      <c r="AQ242" s="1"/>
      <c r="AR242" s="1"/>
      <c r="AS242" s="1"/>
      <c r="AT242" s="1"/>
      <c r="AU242" s="1" t="s">
        <v>5419</v>
      </c>
      <c r="AV242" s="3">
        <v>290.55</v>
      </c>
      <c r="AW242" s="1" t="s">
        <v>5420</v>
      </c>
      <c r="AX242" s="3">
        <v>290.55</v>
      </c>
      <c r="AY242" s="1"/>
      <c r="AZ242" s="1"/>
      <c r="BA242" s="1"/>
      <c r="BB242" s="1"/>
      <c r="BE242" s="67">
        <f t="shared" si="1"/>
        <v>0</v>
      </c>
    </row>
    <row r="243">
      <c r="A243" s="1"/>
      <c r="B243" s="1"/>
      <c r="C243" s="1"/>
      <c r="D243" s="1"/>
      <c r="E243" s="1"/>
      <c r="F243" s="1"/>
      <c r="G243" s="1"/>
      <c r="H243" s="1"/>
      <c r="I243" s="1" t="s">
        <v>5421</v>
      </c>
      <c r="J243" s="3">
        <v>290.55</v>
      </c>
      <c r="K243" s="1"/>
      <c r="L243" s="1"/>
      <c r="M243" s="1"/>
      <c r="N243" s="1"/>
      <c r="O243" s="1"/>
      <c r="P243" s="1"/>
      <c r="Q243" s="1" t="s">
        <v>5422</v>
      </c>
      <c r="R243" s="3">
        <v>290.55</v>
      </c>
      <c r="S243" s="1"/>
      <c r="T243" s="1"/>
      <c r="U243" s="1"/>
      <c r="V243" s="1"/>
      <c r="W243" s="1"/>
      <c r="X243" s="1"/>
      <c r="Y243" s="1" t="s">
        <v>5423</v>
      </c>
      <c r="Z243" s="3">
        <v>290.55</v>
      </c>
      <c r="AA243" s="1"/>
      <c r="AB243" s="1"/>
      <c r="AC243" s="1"/>
      <c r="AD243" s="1"/>
      <c r="AE243" s="1" t="s">
        <v>252</v>
      </c>
      <c r="AF243" s="3">
        <v>290.55</v>
      </c>
      <c r="AG243" s="1"/>
      <c r="AH243" s="1"/>
      <c r="AI243" s="1"/>
      <c r="AJ243" s="1"/>
      <c r="AK243" s="1"/>
      <c r="AL243" s="1"/>
      <c r="AM243" s="1" t="s">
        <v>5424</v>
      </c>
      <c r="AN243" s="3">
        <v>290.55</v>
      </c>
      <c r="AO243" s="1"/>
      <c r="AP243" s="1"/>
      <c r="AQ243" s="1"/>
      <c r="AR243" s="1"/>
      <c r="AS243" s="1"/>
      <c r="AT243" s="1"/>
      <c r="AU243" s="1" t="s">
        <v>5425</v>
      </c>
      <c r="AV243" s="3">
        <v>290.55</v>
      </c>
      <c r="AW243" s="1" t="s">
        <v>5426</v>
      </c>
      <c r="AX243" s="3">
        <v>290.55</v>
      </c>
      <c r="AY243" s="1"/>
      <c r="AZ243" s="1"/>
      <c r="BA243" s="1"/>
      <c r="BB243" s="1"/>
      <c r="BE243" s="67">
        <f t="shared" si="1"/>
        <v>0</v>
      </c>
    </row>
    <row r="244">
      <c r="A244" s="1"/>
      <c r="B244" s="1"/>
      <c r="C244" s="1"/>
      <c r="D244" s="1"/>
      <c r="E244" s="1"/>
      <c r="F244" s="1"/>
      <c r="G244" s="1"/>
      <c r="H244" s="1"/>
      <c r="I244" s="1" t="s">
        <v>5427</v>
      </c>
      <c r="J244" s="3">
        <v>290.55</v>
      </c>
      <c r="K244" s="1"/>
      <c r="L244" s="1"/>
      <c r="M244" s="1"/>
      <c r="N244" s="1"/>
      <c r="O244" s="1"/>
      <c r="P244" s="1"/>
      <c r="Q244" s="1" t="s">
        <v>5428</v>
      </c>
      <c r="R244" s="3">
        <v>290.55</v>
      </c>
      <c r="S244" s="1"/>
      <c r="T244" s="1"/>
      <c r="U244" s="1"/>
      <c r="V244" s="1"/>
      <c r="W244" s="1"/>
      <c r="X244" s="1"/>
      <c r="Y244" s="1" t="s">
        <v>5429</v>
      </c>
      <c r="Z244" s="3">
        <v>290.55</v>
      </c>
      <c r="AA244" s="1"/>
      <c r="AB244" s="1"/>
      <c r="AC244" s="1"/>
      <c r="AD244" s="1"/>
      <c r="AE244" s="1" t="s">
        <v>253</v>
      </c>
      <c r="AF244" s="3">
        <v>290.55</v>
      </c>
      <c r="AG244" s="1"/>
      <c r="AH244" s="1"/>
      <c r="AI244" s="1"/>
      <c r="AJ244" s="1"/>
      <c r="AK244" s="1"/>
      <c r="AL244" s="1"/>
      <c r="AM244" s="1" t="s">
        <v>5430</v>
      </c>
      <c r="AN244" s="3">
        <v>290.55</v>
      </c>
      <c r="AO244" s="1"/>
      <c r="AP244" s="1"/>
      <c r="AQ244" s="1"/>
      <c r="AR244" s="1"/>
      <c r="AS244" s="1"/>
      <c r="AT244" s="1"/>
      <c r="AU244" s="1" t="s">
        <v>3253</v>
      </c>
      <c r="AV244" s="3">
        <v>290.55</v>
      </c>
      <c r="AW244" s="1" t="s">
        <v>5431</v>
      </c>
      <c r="AX244" s="3">
        <v>290.55</v>
      </c>
      <c r="AY244" s="1"/>
      <c r="AZ244" s="1"/>
      <c r="BA244" s="1"/>
      <c r="BB244" s="1"/>
      <c r="BE244" s="67">
        <f t="shared" si="1"/>
        <v>0</v>
      </c>
    </row>
    <row r="245">
      <c r="A245" s="1"/>
      <c r="B245" s="1"/>
      <c r="C245" s="1"/>
      <c r="D245" s="1"/>
      <c r="E245" s="1"/>
      <c r="F245" s="1"/>
      <c r="G245" s="1"/>
      <c r="H245" s="1"/>
      <c r="I245" s="1" t="s">
        <v>5432</v>
      </c>
      <c r="J245" s="3">
        <v>290.55</v>
      </c>
      <c r="K245" s="1"/>
      <c r="L245" s="1"/>
      <c r="M245" s="1"/>
      <c r="N245" s="1"/>
      <c r="O245" s="1"/>
      <c r="P245" s="1"/>
      <c r="Q245" s="1" t="s">
        <v>5433</v>
      </c>
      <c r="R245" s="3">
        <v>290.55</v>
      </c>
      <c r="S245" s="1"/>
      <c r="T245" s="1"/>
      <c r="U245" s="1"/>
      <c r="V245" s="1"/>
      <c r="W245" s="1"/>
      <c r="X245" s="1"/>
      <c r="Y245" s="1" t="s">
        <v>5434</v>
      </c>
      <c r="Z245" s="3">
        <v>290.55</v>
      </c>
      <c r="AA245" s="1"/>
      <c r="AB245" s="1"/>
      <c r="AC245" s="1"/>
      <c r="AD245" s="1"/>
      <c r="AE245" s="1" t="s">
        <v>254</v>
      </c>
      <c r="AF245" s="3">
        <v>290.55</v>
      </c>
      <c r="AG245" s="1"/>
      <c r="AH245" s="1"/>
      <c r="AI245" s="1"/>
      <c r="AJ245" s="1"/>
      <c r="AK245" s="1"/>
      <c r="AL245" s="1"/>
      <c r="AM245" s="1" t="s">
        <v>5435</v>
      </c>
      <c r="AN245" s="3">
        <v>290.55</v>
      </c>
      <c r="AO245" s="1"/>
      <c r="AP245" s="1"/>
      <c r="AQ245" s="1"/>
      <c r="AR245" s="1"/>
      <c r="AS245" s="1"/>
      <c r="AT245" s="1"/>
      <c r="AU245" s="1" t="s">
        <v>5436</v>
      </c>
      <c r="AV245" s="3">
        <v>290.55</v>
      </c>
      <c r="AW245" s="1" t="s">
        <v>5437</v>
      </c>
      <c r="AX245" s="3">
        <v>290.55</v>
      </c>
      <c r="AY245" s="1"/>
      <c r="AZ245" s="1"/>
      <c r="BA245" s="1"/>
      <c r="BB245" s="1"/>
      <c r="BE245" s="67">
        <f t="shared" si="1"/>
        <v>0</v>
      </c>
    </row>
    <row r="246">
      <c r="A246" s="1"/>
      <c r="B246" s="1"/>
      <c r="C246" s="1"/>
      <c r="D246" s="1"/>
      <c r="E246" s="1"/>
      <c r="F246" s="1"/>
      <c r="G246" s="1"/>
      <c r="H246" s="1"/>
      <c r="I246" s="1" t="s">
        <v>5438</v>
      </c>
      <c r="J246" s="3">
        <v>290.55</v>
      </c>
      <c r="K246" s="1"/>
      <c r="L246" s="1"/>
      <c r="M246" s="1"/>
      <c r="N246" s="1"/>
      <c r="O246" s="1"/>
      <c r="P246" s="1"/>
      <c r="Q246" s="1" t="s">
        <v>5439</v>
      </c>
      <c r="R246" s="3">
        <v>290.55</v>
      </c>
      <c r="S246" s="1"/>
      <c r="T246" s="1"/>
      <c r="U246" s="1"/>
      <c r="V246" s="1"/>
      <c r="W246" s="1"/>
      <c r="X246" s="1"/>
      <c r="Y246" s="1" t="s">
        <v>5440</v>
      </c>
      <c r="Z246" s="3">
        <v>290.55</v>
      </c>
      <c r="AA246" s="1"/>
      <c r="AB246" s="1"/>
      <c r="AC246" s="1"/>
      <c r="AD246" s="1"/>
      <c r="AE246" s="1" t="s">
        <v>255</v>
      </c>
      <c r="AF246" s="3">
        <v>290.55</v>
      </c>
      <c r="AG246" s="1"/>
      <c r="AH246" s="1"/>
      <c r="AI246" s="1"/>
      <c r="AJ246" s="1"/>
      <c r="AK246" s="1"/>
      <c r="AL246" s="1"/>
      <c r="AM246" s="1" t="s">
        <v>5441</v>
      </c>
      <c r="AN246" s="3">
        <v>290.55</v>
      </c>
      <c r="AO246" s="1"/>
      <c r="AP246" s="1"/>
      <c r="AQ246" s="1"/>
      <c r="AR246" s="1"/>
      <c r="AS246" s="1"/>
      <c r="AT246" s="1"/>
      <c r="AU246" s="1" t="s">
        <v>4889</v>
      </c>
      <c r="AV246" s="3">
        <v>290.55</v>
      </c>
      <c r="AW246" s="1" t="s">
        <v>5442</v>
      </c>
      <c r="AX246" s="3">
        <v>290.55</v>
      </c>
      <c r="AY246" s="1"/>
      <c r="AZ246" s="1"/>
      <c r="BA246" s="1"/>
      <c r="BB246" s="1"/>
      <c r="BE246" s="67">
        <f t="shared" si="1"/>
        <v>0</v>
      </c>
    </row>
    <row r="247">
      <c r="A247" s="1"/>
      <c r="B247" s="1"/>
      <c r="C247" s="1"/>
      <c r="D247" s="1"/>
      <c r="E247" s="1"/>
      <c r="F247" s="1"/>
      <c r="G247" s="1"/>
      <c r="H247" s="1"/>
      <c r="I247" s="1" t="s">
        <v>5443</v>
      </c>
      <c r="J247" s="3">
        <v>290.55</v>
      </c>
      <c r="K247" s="1"/>
      <c r="L247" s="1"/>
      <c r="M247" s="1"/>
      <c r="N247" s="1"/>
      <c r="O247" s="1"/>
      <c r="P247" s="1"/>
      <c r="Q247" s="1" t="s">
        <v>5444</v>
      </c>
      <c r="R247" s="3">
        <v>290.55</v>
      </c>
      <c r="S247" s="1"/>
      <c r="T247" s="1"/>
      <c r="U247" s="1"/>
      <c r="V247" s="1"/>
      <c r="W247" s="1"/>
      <c r="X247" s="1"/>
      <c r="Y247" s="1" t="s">
        <v>5445</v>
      </c>
      <c r="Z247" s="3">
        <v>290.55</v>
      </c>
      <c r="AA247" s="1"/>
      <c r="AB247" s="1"/>
      <c r="AC247" s="1"/>
      <c r="AD247" s="1"/>
      <c r="AE247" s="1" t="s">
        <v>256</v>
      </c>
      <c r="AF247" s="3">
        <v>290.55</v>
      </c>
      <c r="AG247" s="1"/>
      <c r="AH247" s="1"/>
      <c r="AI247" s="1"/>
      <c r="AJ247" s="1"/>
      <c r="AK247" s="1"/>
      <c r="AL247" s="1"/>
      <c r="AM247" s="1" t="s">
        <v>5446</v>
      </c>
      <c r="AN247" s="3">
        <v>290.55</v>
      </c>
      <c r="AO247" s="1"/>
      <c r="AP247" s="1"/>
      <c r="AQ247" s="1"/>
      <c r="AR247" s="1"/>
      <c r="AS247" s="1"/>
      <c r="AT247" s="1"/>
      <c r="AU247" s="1" t="s">
        <v>5447</v>
      </c>
      <c r="AV247" s="3">
        <v>290.55</v>
      </c>
      <c r="AW247" s="1" t="s">
        <v>5448</v>
      </c>
      <c r="AX247" s="3">
        <v>290.55</v>
      </c>
      <c r="AY247" s="1"/>
      <c r="AZ247" s="1"/>
      <c r="BA247" s="1"/>
      <c r="BB247" s="1"/>
      <c r="BE247" s="67">
        <f t="shared" si="1"/>
        <v>0</v>
      </c>
    </row>
    <row r="248">
      <c r="A248" s="1"/>
      <c r="B248" s="1"/>
      <c r="C248" s="1"/>
      <c r="D248" s="1"/>
      <c r="E248" s="1"/>
      <c r="F248" s="1"/>
      <c r="G248" s="1"/>
      <c r="H248" s="1"/>
      <c r="I248" s="1" t="s">
        <v>5449</v>
      </c>
      <c r="J248" s="3">
        <v>290.55</v>
      </c>
      <c r="K248" s="1"/>
      <c r="L248" s="1"/>
      <c r="M248" s="1"/>
      <c r="N248" s="1"/>
      <c r="O248" s="1"/>
      <c r="P248" s="1"/>
      <c r="Q248" s="1"/>
      <c r="R248" s="1"/>
      <c r="S248" s="1"/>
      <c r="T248" s="1"/>
      <c r="U248" s="1"/>
      <c r="V248" s="1"/>
      <c r="W248" s="1"/>
      <c r="X248" s="1"/>
      <c r="Y248" s="1" t="s">
        <v>5450</v>
      </c>
      <c r="Z248" s="3">
        <v>290.55</v>
      </c>
      <c r="AA248" s="1"/>
      <c r="AB248" s="1"/>
      <c r="AC248" s="1"/>
      <c r="AD248" s="1"/>
      <c r="AE248" s="1" t="s">
        <v>257</v>
      </c>
      <c r="AF248" s="3">
        <v>290.55</v>
      </c>
      <c r="AG248" s="1"/>
      <c r="AH248" s="1"/>
      <c r="AI248" s="1"/>
      <c r="AJ248" s="1"/>
      <c r="AK248" s="1"/>
      <c r="AL248" s="1"/>
      <c r="AM248" s="1" t="s">
        <v>5451</v>
      </c>
      <c r="AN248" s="3">
        <v>290.55</v>
      </c>
      <c r="AO248" s="1"/>
      <c r="AP248" s="1"/>
      <c r="AQ248" s="1"/>
      <c r="AR248" s="1"/>
      <c r="AS248" s="1"/>
      <c r="AT248" s="1"/>
      <c r="AU248" s="1" t="s">
        <v>5452</v>
      </c>
      <c r="AV248" s="3">
        <v>290.55</v>
      </c>
      <c r="AW248" s="1" t="s">
        <v>5453</v>
      </c>
      <c r="AX248" s="3">
        <v>290.55</v>
      </c>
      <c r="AY248" s="1"/>
      <c r="AZ248" s="1"/>
      <c r="BA248" s="1"/>
      <c r="BB248" s="1"/>
      <c r="BE248" s="67">
        <f t="shared" si="1"/>
        <v>0</v>
      </c>
    </row>
    <row r="249">
      <c r="A249" s="1"/>
      <c r="B249" s="1"/>
      <c r="C249" s="1"/>
      <c r="D249" s="1"/>
      <c r="E249" s="1"/>
      <c r="F249" s="1"/>
      <c r="G249" s="1"/>
      <c r="H249" s="1"/>
      <c r="I249" s="1" t="s">
        <v>5454</v>
      </c>
      <c r="J249" s="3">
        <v>290.55</v>
      </c>
      <c r="K249" s="1"/>
      <c r="L249" s="1"/>
      <c r="M249" s="1"/>
      <c r="N249" s="1"/>
      <c r="O249" s="1"/>
      <c r="P249" s="1"/>
      <c r="Q249" s="1"/>
      <c r="R249" s="1"/>
      <c r="S249" s="1"/>
      <c r="T249" s="1"/>
      <c r="U249" s="1"/>
      <c r="V249" s="1"/>
      <c r="W249" s="1"/>
      <c r="X249" s="1"/>
      <c r="Y249" s="1" t="s">
        <v>5455</v>
      </c>
      <c r="Z249" s="3">
        <v>290.55</v>
      </c>
      <c r="AA249" s="1"/>
      <c r="AB249" s="1"/>
      <c r="AC249" s="1"/>
      <c r="AD249" s="1"/>
      <c r="AE249" s="1" t="s">
        <v>258</v>
      </c>
      <c r="AF249" s="3">
        <v>290.55</v>
      </c>
      <c r="AG249" s="1"/>
      <c r="AH249" s="1"/>
      <c r="AI249" s="1"/>
      <c r="AJ249" s="1"/>
      <c r="AK249" s="1"/>
      <c r="AL249" s="1"/>
      <c r="AM249" s="1" t="s">
        <v>5456</v>
      </c>
      <c r="AN249" s="3">
        <v>290.55</v>
      </c>
      <c r="AO249" s="1"/>
      <c r="AP249" s="1"/>
      <c r="AQ249" s="1"/>
      <c r="AR249" s="1"/>
      <c r="AS249" s="1"/>
      <c r="AT249" s="1"/>
      <c r="AU249" s="1" t="s">
        <v>5457</v>
      </c>
      <c r="AV249" s="3">
        <v>290.55</v>
      </c>
      <c r="AW249" s="1" t="s">
        <v>5458</v>
      </c>
      <c r="AX249" s="3">
        <v>290.55</v>
      </c>
      <c r="AY249" s="1"/>
      <c r="AZ249" s="1"/>
      <c r="BA249" s="1"/>
      <c r="BB249" s="1"/>
      <c r="BE249" s="67">
        <f t="shared" si="1"/>
        <v>0</v>
      </c>
    </row>
    <row r="250">
      <c r="A250" s="1"/>
      <c r="B250" s="1"/>
      <c r="C250" s="1"/>
      <c r="D250" s="1"/>
      <c r="E250" s="1"/>
      <c r="F250" s="1"/>
      <c r="G250" s="1"/>
      <c r="H250" s="1"/>
      <c r="I250" s="1" t="s">
        <v>5459</v>
      </c>
      <c r="J250" s="3">
        <v>290.55</v>
      </c>
      <c r="K250" s="1"/>
      <c r="L250" s="1"/>
      <c r="M250" s="1"/>
      <c r="N250" s="1"/>
      <c r="O250" s="1"/>
      <c r="P250" s="1"/>
      <c r="Q250" s="1"/>
      <c r="R250" s="1"/>
      <c r="S250" s="1"/>
      <c r="T250" s="1"/>
      <c r="U250" s="1"/>
      <c r="V250" s="1"/>
      <c r="W250" s="1"/>
      <c r="X250" s="1"/>
      <c r="Y250" s="1" t="s">
        <v>5460</v>
      </c>
      <c r="Z250" s="3">
        <v>290.55</v>
      </c>
      <c r="AA250" s="1"/>
      <c r="AB250" s="1"/>
      <c r="AC250" s="1"/>
      <c r="AD250" s="1"/>
      <c r="AE250" s="1" t="s">
        <v>259</v>
      </c>
      <c r="AF250" s="3">
        <v>290.55</v>
      </c>
      <c r="AG250" s="1"/>
      <c r="AH250" s="1"/>
      <c r="AI250" s="1"/>
      <c r="AJ250" s="1"/>
      <c r="AK250" s="1"/>
      <c r="AL250" s="1"/>
      <c r="AM250" s="1" t="s">
        <v>5461</v>
      </c>
      <c r="AN250" s="3">
        <v>290.55</v>
      </c>
      <c r="AO250" s="1"/>
      <c r="AP250" s="1"/>
      <c r="AQ250" s="1"/>
      <c r="AR250" s="1"/>
      <c r="AS250" s="1"/>
      <c r="AT250" s="1"/>
      <c r="AU250" s="1" t="s">
        <v>5462</v>
      </c>
      <c r="AV250" s="3">
        <v>290.55</v>
      </c>
      <c r="AW250" s="1" t="s">
        <v>5463</v>
      </c>
      <c r="AX250" s="3">
        <v>290.55</v>
      </c>
      <c r="AY250" s="1"/>
      <c r="AZ250" s="1"/>
      <c r="BA250" s="1"/>
      <c r="BB250" s="1"/>
      <c r="BE250" s="67">
        <f t="shared" si="1"/>
        <v>0</v>
      </c>
    </row>
    <row r="251">
      <c r="A251" s="1"/>
      <c r="B251" s="1"/>
      <c r="C251" s="1"/>
      <c r="D251" s="1"/>
      <c r="E251" s="1"/>
      <c r="F251" s="1"/>
      <c r="G251" s="1"/>
      <c r="H251" s="1"/>
      <c r="I251" s="1" t="s">
        <v>5464</v>
      </c>
      <c r="J251" s="3">
        <v>290.55</v>
      </c>
      <c r="K251" s="1"/>
      <c r="L251" s="1"/>
      <c r="M251" s="1"/>
      <c r="N251" s="1"/>
      <c r="O251" s="1"/>
      <c r="P251" s="1"/>
      <c r="Q251" s="1"/>
      <c r="R251" s="1"/>
      <c r="S251" s="1"/>
      <c r="T251" s="1"/>
      <c r="U251" s="1"/>
      <c r="V251" s="1"/>
      <c r="W251" s="1"/>
      <c r="X251" s="1"/>
      <c r="Y251" s="1" t="s">
        <v>5465</v>
      </c>
      <c r="Z251" s="3">
        <v>290.55</v>
      </c>
      <c r="AA251" s="1"/>
      <c r="AB251" s="1"/>
      <c r="AC251" s="1"/>
      <c r="AD251" s="1"/>
      <c r="AE251" s="1" t="s">
        <v>260</v>
      </c>
      <c r="AF251" s="3">
        <v>290.55</v>
      </c>
      <c r="AG251" s="1"/>
      <c r="AH251" s="1"/>
      <c r="AI251" s="1"/>
      <c r="AJ251" s="1"/>
      <c r="AK251" s="1"/>
      <c r="AL251" s="1"/>
      <c r="AM251" s="1" t="s">
        <v>5466</v>
      </c>
      <c r="AN251" s="3">
        <v>290.55</v>
      </c>
      <c r="AO251" s="1"/>
      <c r="AP251" s="1"/>
      <c r="AQ251" s="1"/>
      <c r="AR251" s="1"/>
      <c r="AS251" s="1"/>
      <c r="AT251" s="1"/>
      <c r="AU251" s="1" t="s">
        <v>5467</v>
      </c>
      <c r="AV251" s="3">
        <v>290.55</v>
      </c>
      <c r="AW251" s="1" t="s">
        <v>5468</v>
      </c>
      <c r="AX251" s="3">
        <v>290.55</v>
      </c>
      <c r="AY251" s="1"/>
      <c r="AZ251" s="1"/>
      <c r="BA251" s="1"/>
      <c r="BB251" s="1"/>
      <c r="BE251" s="67">
        <f t="shared" si="1"/>
        <v>0</v>
      </c>
    </row>
    <row r="252">
      <c r="A252" s="1"/>
      <c r="B252" s="1"/>
      <c r="C252" s="1"/>
      <c r="D252" s="1"/>
      <c r="E252" s="1"/>
      <c r="F252" s="1"/>
      <c r="G252" s="1"/>
      <c r="H252" s="1"/>
      <c r="I252" s="1" t="s">
        <v>5469</v>
      </c>
      <c r="J252" s="3">
        <v>290.55</v>
      </c>
      <c r="K252" s="1"/>
      <c r="L252" s="1"/>
      <c r="M252" s="1"/>
      <c r="N252" s="1"/>
      <c r="O252" s="1"/>
      <c r="P252" s="1"/>
      <c r="Q252" s="1"/>
      <c r="R252" s="1"/>
      <c r="S252" s="1"/>
      <c r="T252" s="1"/>
      <c r="U252" s="1"/>
      <c r="V252" s="1"/>
      <c r="W252" s="1"/>
      <c r="X252" s="1"/>
      <c r="Y252" s="1" t="s">
        <v>5470</v>
      </c>
      <c r="Z252" s="3">
        <v>290.55</v>
      </c>
      <c r="AA252" s="1"/>
      <c r="AB252" s="1"/>
      <c r="AC252" s="1"/>
      <c r="AD252" s="1"/>
      <c r="AE252" s="1" t="s">
        <v>261</v>
      </c>
      <c r="AF252" s="3">
        <v>290.55</v>
      </c>
      <c r="AG252" s="1"/>
      <c r="AH252" s="1"/>
      <c r="AI252" s="1"/>
      <c r="AJ252" s="1"/>
      <c r="AK252" s="1"/>
      <c r="AL252" s="1"/>
      <c r="AM252" s="1" t="s">
        <v>5471</v>
      </c>
      <c r="AN252" s="3">
        <v>290.55</v>
      </c>
      <c r="AO252" s="1"/>
      <c r="AP252" s="1"/>
      <c r="AQ252" s="1"/>
      <c r="AR252" s="1"/>
      <c r="AS252" s="1"/>
      <c r="AT252" s="1"/>
      <c r="AU252" s="1" t="s">
        <v>5472</v>
      </c>
      <c r="AV252" s="3">
        <v>290.55</v>
      </c>
      <c r="AW252" s="1" t="s">
        <v>5473</v>
      </c>
      <c r="AX252" s="3">
        <v>290.55</v>
      </c>
      <c r="AY252" s="1"/>
      <c r="AZ252" s="1"/>
      <c r="BA252" s="1"/>
      <c r="BB252" s="1"/>
      <c r="BE252" s="67">
        <f t="shared" si="1"/>
        <v>0</v>
      </c>
    </row>
    <row r="253">
      <c r="A253" s="1"/>
      <c r="B253" s="1"/>
      <c r="C253" s="1"/>
      <c r="D253" s="1"/>
      <c r="E253" s="1"/>
      <c r="F253" s="1"/>
      <c r="G253" s="1"/>
      <c r="H253" s="1"/>
      <c r="I253" s="1" t="s">
        <v>5474</v>
      </c>
      <c r="J253" s="3">
        <v>290.55</v>
      </c>
      <c r="K253" s="1"/>
      <c r="L253" s="1"/>
      <c r="M253" s="1"/>
      <c r="N253" s="1"/>
      <c r="O253" s="1"/>
      <c r="P253" s="1"/>
      <c r="Q253" s="1"/>
      <c r="R253" s="1"/>
      <c r="S253" s="1"/>
      <c r="T253" s="1"/>
      <c r="U253" s="1"/>
      <c r="V253" s="1"/>
      <c r="W253" s="1"/>
      <c r="X253" s="1"/>
      <c r="Y253" s="1" t="s">
        <v>5475</v>
      </c>
      <c r="Z253" s="3">
        <v>290.55</v>
      </c>
      <c r="AA253" s="1"/>
      <c r="AB253" s="1"/>
      <c r="AC253" s="1"/>
      <c r="AD253" s="1"/>
      <c r="AE253" s="1" t="s">
        <v>262</v>
      </c>
      <c r="AF253" s="3">
        <v>290.55</v>
      </c>
      <c r="AG253" s="1"/>
      <c r="AH253" s="1"/>
      <c r="AI253" s="1"/>
      <c r="AJ253" s="1"/>
      <c r="AK253" s="1"/>
      <c r="AL253" s="1"/>
      <c r="AM253" s="1" t="s">
        <v>5476</v>
      </c>
      <c r="AN253" s="3">
        <v>290.55</v>
      </c>
      <c r="AO253" s="1"/>
      <c r="AP253" s="1"/>
      <c r="AQ253" s="1"/>
      <c r="AR253" s="1"/>
      <c r="AS253" s="1"/>
      <c r="AT253" s="1"/>
      <c r="AU253" s="1" t="s">
        <v>5477</v>
      </c>
      <c r="AV253" s="3">
        <v>290.55</v>
      </c>
      <c r="AW253" s="1" t="s">
        <v>5478</v>
      </c>
      <c r="AX253" s="3">
        <v>290.55</v>
      </c>
      <c r="AY253" s="1"/>
      <c r="AZ253" s="1"/>
      <c r="BA253" s="1"/>
      <c r="BB253" s="1"/>
      <c r="BE253" s="67">
        <f t="shared" si="1"/>
        <v>0</v>
      </c>
    </row>
    <row r="254">
      <c r="A254" s="1"/>
      <c r="B254" s="1"/>
      <c r="C254" s="1"/>
      <c r="D254" s="1"/>
      <c r="E254" s="1"/>
      <c r="F254" s="1"/>
      <c r="G254" s="1"/>
      <c r="H254" s="1"/>
      <c r="I254" s="1" t="s">
        <v>5479</v>
      </c>
      <c r="J254" s="3">
        <v>290.55</v>
      </c>
      <c r="K254" s="1"/>
      <c r="L254" s="1"/>
      <c r="M254" s="1"/>
      <c r="N254" s="1"/>
      <c r="O254" s="1"/>
      <c r="P254" s="1"/>
      <c r="Q254" s="1"/>
      <c r="R254" s="1"/>
      <c r="S254" s="1"/>
      <c r="T254" s="1"/>
      <c r="U254" s="1"/>
      <c r="V254" s="1"/>
      <c r="W254" s="1"/>
      <c r="X254" s="1"/>
      <c r="Y254" s="1" t="s">
        <v>5480</v>
      </c>
      <c r="Z254" s="3">
        <v>290.55</v>
      </c>
      <c r="AA254" s="1"/>
      <c r="AB254" s="1"/>
      <c r="AC254" s="1"/>
      <c r="AD254" s="1"/>
      <c r="AE254" s="1" t="s">
        <v>263</v>
      </c>
      <c r="AF254" s="3">
        <v>290.55</v>
      </c>
      <c r="AG254" s="1"/>
      <c r="AH254" s="1"/>
      <c r="AI254" s="1"/>
      <c r="AJ254" s="1"/>
      <c r="AK254" s="1"/>
      <c r="AL254" s="1"/>
      <c r="AM254" s="1" t="s">
        <v>5481</v>
      </c>
      <c r="AN254" s="3">
        <v>290.55</v>
      </c>
      <c r="AO254" s="1"/>
      <c r="AP254" s="1"/>
      <c r="AQ254" s="1"/>
      <c r="AR254" s="1"/>
      <c r="AS254" s="1"/>
      <c r="AT254" s="1"/>
      <c r="AU254" s="1" t="s">
        <v>5482</v>
      </c>
      <c r="AV254" s="3">
        <v>290.55</v>
      </c>
      <c r="AW254" s="1" t="s">
        <v>5483</v>
      </c>
      <c r="AX254" s="3">
        <v>290.55</v>
      </c>
      <c r="AY254" s="1"/>
      <c r="AZ254" s="1"/>
      <c r="BA254" s="1"/>
      <c r="BB254" s="1"/>
      <c r="BE254" s="67">
        <f t="shared" si="1"/>
        <v>0</v>
      </c>
    </row>
    <row r="255">
      <c r="A255" s="1"/>
      <c r="B255" s="1"/>
      <c r="C255" s="1"/>
      <c r="D255" s="1"/>
      <c r="E255" s="1"/>
      <c r="F255" s="1"/>
      <c r="G255" s="1"/>
      <c r="H255" s="1"/>
      <c r="I255" s="1" t="s">
        <v>5484</v>
      </c>
      <c r="J255" s="3">
        <v>290.55</v>
      </c>
      <c r="K255" s="1"/>
      <c r="L255" s="1"/>
      <c r="M255" s="1"/>
      <c r="N255" s="1"/>
      <c r="O255" s="1"/>
      <c r="P255" s="1"/>
      <c r="Q255" s="1"/>
      <c r="R255" s="1"/>
      <c r="S255" s="1"/>
      <c r="T255" s="1"/>
      <c r="U255" s="1"/>
      <c r="V255" s="1"/>
      <c r="W255" s="1"/>
      <c r="X255" s="1"/>
      <c r="Y255" s="1" t="s">
        <v>5485</v>
      </c>
      <c r="Z255" s="3">
        <v>290.55</v>
      </c>
      <c r="AA255" s="1"/>
      <c r="AB255" s="1"/>
      <c r="AC255" s="1"/>
      <c r="AD255" s="1"/>
      <c r="AE255" s="1" t="s">
        <v>264</v>
      </c>
      <c r="AF255" s="3">
        <v>290.55</v>
      </c>
      <c r="AG255" s="1"/>
      <c r="AH255" s="1"/>
      <c r="AI255" s="1"/>
      <c r="AJ255" s="1"/>
      <c r="AK255" s="1"/>
      <c r="AL255" s="1"/>
      <c r="AM255" s="1" t="s">
        <v>5486</v>
      </c>
      <c r="AN255" s="3">
        <v>290.55</v>
      </c>
      <c r="AO255" s="1"/>
      <c r="AP255" s="1"/>
      <c r="AQ255" s="1"/>
      <c r="AR255" s="1"/>
      <c r="AS255" s="1"/>
      <c r="AT255" s="1"/>
      <c r="AU255" s="1" t="s">
        <v>5487</v>
      </c>
      <c r="AV255" s="3">
        <v>290.55</v>
      </c>
      <c r="AW255" s="1" t="s">
        <v>5488</v>
      </c>
      <c r="AX255" s="3">
        <v>290.55</v>
      </c>
      <c r="AY255" s="1"/>
      <c r="AZ255" s="1"/>
      <c r="BA255" s="1"/>
      <c r="BB255" s="1"/>
      <c r="BE255" s="67">
        <f t="shared" si="1"/>
        <v>0</v>
      </c>
    </row>
    <row r="256">
      <c r="A256" s="1"/>
      <c r="B256" s="1"/>
      <c r="C256" s="1"/>
      <c r="D256" s="1"/>
      <c r="E256" s="1"/>
      <c r="F256" s="1"/>
      <c r="G256" s="1"/>
      <c r="H256" s="1"/>
      <c r="I256" s="1" t="s">
        <v>5489</v>
      </c>
      <c r="J256" s="3">
        <v>290.55</v>
      </c>
      <c r="K256" s="1"/>
      <c r="L256" s="1"/>
      <c r="M256" s="1"/>
      <c r="N256" s="1"/>
      <c r="O256" s="1"/>
      <c r="P256" s="1"/>
      <c r="Q256" s="1"/>
      <c r="R256" s="1"/>
      <c r="S256" s="1"/>
      <c r="T256" s="1"/>
      <c r="U256" s="1"/>
      <c r="V256" s="1"/>
      <c r="W256" s="1"/>
      <c r="X256" s="1"/>
      <c r="Y256" s="1" t="s">
        <v>5490</v>
      </c>
      <c r="Z256" s="3">
        <v>290.55</v>
      </c>
      <c r="AA256" s="1"/>
      <c r="AB256" s="1"/>
      <c r="AC256" s="1"/>
      <c r="AD256" s="1"/>
      <c r="AE256" s="1" t="s">
        <v>28</v>
      </c>
      <c r="AF256" s="3">
        <v>290.55</v>
      </c>
      <c r="AG256" s="1"/>
      <c r="AH256" s="1"/>
      <c r="AI256" s="1"/>
      <c r="AJ256" s="1"/>
      <c r="AK256" s="1"/>
      <c r="AL256" s="1"/>
      <c r="AM256" s="1" t="s">
        <v>5491</v>
      </c>
      <c r="AN256" s="3">
        <v>290.55</v>
      </c>
      <c r="AO256" s="1"/>
      <c r="AP256" s="1"/>
      <c r="AQ256" s="1"/>
      <c r="AR256" s="1"/>
      <c r="AS256" s="1"/>
      <c r="AT256" s="1"/>
      <c r="AU256" s="1" t="s">
        <v>4932</v>
      </c>
      <c r="AV256" s="3">
        <v>290.55</v>
      </c>
      <c r="AW256" s="1" t="s">
        <v>5492</v>
      </c>
      <c r="AX256" s="3">
        <v>290.55</v>
      </c>
      <c r="AY256" s="1"/>
      <c r="AZ256" s="1"/>
      <c r="BA256" s="1"/>
      <c r="BB256" s="1"/>
      <c r="BE256" s="67">
        <f t="shared" si="1"/>
        <v>0</v>
      </c>
    </row>
    <row r="257">
      <c r="A257" s="1"/>
      <c r="B257" s="1"/>
      <c r="C257" s="1"/>
      <c r="D257" s="1"/>
      <c r="E257" s="1"/>
      <c r="F257" s="1"/>
      <c r="G257" s="1"/>
      <c r="H257" s="1"/>
      <c r="I257" s="1" t="s">
        <v>5493</v>
      </c>
      <c r="J257" s="3">
        <v>290.55</v>
      </c>
      <c r="K257" s="1"/>
      <c r="L257" s="1"/>
      <c r="M257" s="1"/>
      <c r="N257" s="1"/>
      <c r="O257" s="1"/>
      <c r="P257" s="1"/>
      <c r="Q257" s="1"/>
      <c r="R257" s="1"/>
      <c r="S257" s="1"/>
      <c r="T257" s="1"/>
      <c r="U257" s="1"/>
      <c r="V257" s="1"/>
      <c r="W257" s="1"/>
      <c r="X257" s="1"/>
      <c r="Y257" s="1" t="s">
        <v>5494</v>
      </c>
      <c r="Z257" s="3">
        <v>290.55</v>
      </c>
      <c r="AA257" s="1"/>
      <c r="AB257" s="1"/>
      <c r="AC257" s="1"/>
      <c r="AD257" s="1"/>
      <c r="AE257" s="1" t="s">
        <v>265</v>
      </c>
      <c r="AF257" s="3">
        <v>290.55</v>
      </c>
      <c r="AG257" s="1"/>
      <c r="AH257" s="1"/>
      <c r="AI257" s="1"/>
      <c r="AJ257" s="1"/>
      <c r="AK257" s="1"/>
      <c r="AL257" s="1"/>
      <c r="AM257" s="1" t="s">
        <v>5495</v>
      </c>
      <c r="AN257" s="3">
        <v>290.55</v>
      </c>
      <c r="AO257" s="1"/>
      <c r="AP257" s="1"/>
      <c r="AQ257" s="1"/>
      <c r="AR257" s="1"/>
      <c r="AS257" s="1"/>
      <c r="AT257" s="1"/>
      <c r="AU257" s="1" t="s">
        <v>5496</v>
      </c>
      <c r="AV257" s="3">
        <v>290.55</v>
      </c>
      <c r="AW257" s="1" t="s">
        <v>5497</v>
      </c>
      <c r="AX257" s="3">
        <v>290.55</v>
      </c>
      <c r="AY257" s="1"/>
      <c r="AZ257" s="1"/>
      <c r="BA257" s="1"/>
      <c r="BB257" s="1"/>
      <c r="BE257" s="67">
        <f t="shared" si="1"/>
        <v>0</v>
      </c>
    </row>
    <row r="258">
      <c r="A258" s="1"/>
      <c r="B258" s="1"/>
      <c r="C258" s="1"/>
      <c r="D258" s="1"/>
      <c r="E258" s="1"/>
      <c r="F258" s="1"/>
      <c r="G258" s="1"/>
      <c r="H258" s="1"/>
      <c r="I258" s="1" t="s">
        <v>3991</v>
      </c>
      <c r="J258" s="3">
        <v>290.55</v>
      </c>
      <c r="K258" s="1"/>
      <c r="L258" s="1"/>
      <c r="M258" s="1"/>
      <c r="N258" s="1"/>
      <c r="O258" s="1"/>
      <c r="P258" s="1"/>
      <c r="Q258" s="1"/>
      <c r="R258" s="1"/>
      <c r="S258" s="1"/>
      <c r="T258" s="1"/>
      <c r="U258" s="1"/>
      <c r="V258" s="1"/>
      <c r="W258" s="1"/>
      <c r="X258" s="1"/>
      <c r="Y258" s="1" t="s">
        <v>5498</v>
      </c>
      <c r="Z258" s="3">
        <v>290.55</v>
      </c>
      <c r="AA258" s="1"/>
      <c r="AB258" s="1"/>
      <c r="AC258" s="1"/>
      <c r="AD258" s="1"/>
      <c r="AE258" s="1" t="s">
        <v>14</v>
      </c>
      <c r="AF258" s="3">
        <v>290.55</v>
      </c>
      <c r="AG258" s="1"/>
      <c r="AH258" s="1"/>
      <c r="AI258" s="1"/>
      <c r="AJ258" s="1"/>
      <c r="AK258" s="1"/>
      <c r="AL258" s="1"/>
      <c r="AM258" s="1" t="s">
        <v>5499</v>
      </c>
      <c r="AN258" s="3">
        <v>290.55</v>
      </c>
      <c r="AO258" s="1"/>
      <c r="AP258" s="1"/>
      <c r="AQ258" s="1"/>
      <c r="AR258" s="1"/>
      <c r="AS258" s="1"/>
      <c r="AT258" s="1"/>
      <c r="AU258" s="1" t="s">
        <v>5500</v>
      </c>
      <c r="AV258" s="3">
        <v>290.55</v>
      </c>
      <c r="AW258" s="1" t="s">
        <v>5501</v>
      </c>
      <c r="AX258" s="3">
        <v>290.55</v>
      </c>
      <c r="AY258" s="1"/>
      <c r="AZ258" s="1"/>
      <c r="BA258" s="1"/>
      <c r="BB258" s="1"/>
      <c r="BE258" s="67">
        <f t="shared" si="1"/>
        <v>0</v>
      </c>
    </row>
    <row r="259">
      <c r="A259" s="1"/>
      <c r="B259" s="1"/>
      <c r="C259" s="1"/>
      <c r="D259" s="1"/>
      <c r="E259" s="1"/>
      <c r="F259" s="1"/>
      <c r="G259" s="1"/>
      <c r="H259" s="1"/>
      <c r="I259" s="1" t="s">
        <v>5502</v>
      </c>
      <c r="J259" s="3">
        <v>290.55</v>
      </c>
      <c r="K259" s="1"/>
      <c r="L259" s="1"/>
      <c r="M259" s="1"/>
      <c r="N259" s="1"/>
      <c r="O259" s="1"/>
      <c r="P259" s="1"/>
      <c r="Q259" s="1"/>
      <c r="R259" s="1"/>
      <c r="S259" s="1"/>
      <c r="T259" s="1"/>
      <c r="U259" s="1"/>
      <c r="V259" s="1"/>
      <c r="W259" s="1"/>
      <c r="X259" s="1"/>
      <c r="Y259" s="1" t="s">
        <v>5503</v>
      </c>
      <c r="Z259" s="3">
        <v>290.55</v>
      </c>
      <c r="AA259" s="1"/>
      <c r="AB259" s="1"/>
      <c r="AC259" s="1"/>
      <c r="AD259" s="1"/>
      <c r="AE259" s="1" t="s">
        <v>266</v>
      </c>
      <c r="AF259" s="3">
        <v>290.55</v>
      </c>
      <c r="AG259" s="1"/>
      <c r="AH259" s="1"/>
      <c r="AI259" s="1"/>
      <c r="AJ259" s="1"/>
      <c r="AK259" s="1"/>
      <c r="AL259" s="1"/>
      <c r="AM259" s="1" t="s">
        <v>5504</v>
      </c>
      <c r="AN259" s="3">
        <v>290.55</v>
      </c>
      <c r="AO259" s="1"/>
      <c r="AP259" s="1"/>
      <c r="AQ259" s="1"/>
      <c r="AR259" s="1"/>
      <c r="AS259" s="1"/>
      <c r="AT259" s="1"/>
      <c r="AU259" s="1" t="s">
        <v>5505</v>
      </c>
      <c r="AV259" s="3">
        <v>290.55</v>
      </c>
      <c r="AW259" s="1" t="s">
        <v>5506</v>
      </c>
      <c r="AX259" s="3">
        <v>290.55</v>
      </c>
      <c r="AY259" s="1"/>
      <c r="AZ259" s="1"/>
      <c r="BA259" s="1"/>
      <c r="BB259" s="1"/>
      <c r="BE259" s="67">
        <f t="shared" si="1"/>
        <v>0</v>
      </c>
    </row>
    <row r="260">
      <c r="A260" s="1"/>
      <c r="B260" s="1"/>
      <c r="C260" s="1"/>
      <c r="D260" s="1"/>
      <c r="E260" s="1"/>
      <c r="F260" s="1"/>
      <c r="G260" s="1"/>
      <c r="H260" s="1"/>
      <c r="I260" s="1" t="s">
        <v>5507</v>
      </c>
      <c r="J260" s="3">
        <v>290.55</v>
      </c>
      <c r="K260" s="1"/>
      <c r="L260" s="1"/>
      <c r="M260" s="1"/>
      <c r="N260" s="1"/>
      <c r="O260" s="1"/>
      <c r="P260" s="1"/>
      <c r="Q260" s="1"/>
      <c r="R260" s="1"/>
      <c r="S260" s="1"/>
      <c r="T260" s="1"/>
      <c r="U260" s="1"/>
      <c r="V260" s="1"/>
      <c r="W260" s="1"/>
      <c r="X260" s="1"/>
      <c r="Y260" s="1" t="s">
        <v>5508</v>
      </c>
      <c r="Z260" s="3">
        <v>290.55</v>
      </c>
      <c r="AA260" s="1"/>
      <c r="AB260" s="1"/>
      <c r="AC260" s="1"/>
      <c r="AD260" s="1"/>
      <c r="AE260" s="1" t="s">
        <v>64</v>
      </c>
      <c r="AF260" s="3">
        <v>290.55</v>
      </c>
      <c r="AG260" s="1"/>
      <c r="AH260" s="1"/>
      <c r="AI260" s="1"/>
      <c r="AJ260" s="1"/>
      <c r="AK260" s="1"/>
      <c r="AL260" s="1"/>
      <c r="AM260" s="1" t="s">
        <v>4473</v>
      </c>
      <c r="AN260" s="3">
        <v>290.55</v>
      </c>
      <c r="AO260" s="1"/>
      <c r="AP260" s="1"/>
      <c r="AQ260" s="1"/>
      <c r="AR260" s="1"/>
      <c r="AS260" s="1"/>
      <c r="AT260" s="1"/>
      <c r="AU260" s="1" t="s">
        <v>5509</v>
      </c>
      <c r="AV260" s="3">
        <v>290.55</v>
      </c>
      <c r="AW260" s="1" t="s">
        <v>5510</v>
      </c>
      <c r="AX260" s="3">
        <v>290.55</v>
      </c>
      <c r="AY260" s="1"/>
      <c r="AZ260" s="1"/>
      <c r="BA260" s="1"/>
      <c r="BB260" s="1"/>
      <c r="BE260" s="67">
        <f t="shared" si="1"/>
        <v>0</v>
      </c>
    </row>
    <row r="261">
      <c r="A261" s="1"/>
      <c r="B261" s="1"/>
      <c r="C261" s="1"/>
      <c r="D261" s="1"/>
      <c r="E261" s="1"/>
      <c r="F261" s="1"/>
      <c r="G261" s="1"/>
      <c r="H261" s="1"/>
      <c r="I261" s="1" t="s">
        <v>5511</v>
      </c>
      <c r="J261" s="3">
        <v>290.55</v>
      </c>
      <c r="K261" s="1"/>
      <c r="L261" s="1"/>
      <c r="M261" s="1"/>
      <c r="N261" s="1"/>
      <c r="O261" s="1"/>
      <c r="P261" s="1"/>
      <c r="Q261" s="1"/>
      <c r="R261" s="1"/>
      <c r="S261" s="1"/>
      <c r="T261" s="1"/>
      <c r="U261" s="1"/>
      <c r="V261" s="1"/>
      <c r="W261" s="1"/>
      <c r="X261" s="1"/>
      <c r="Y261" s="1" t="s">
        <v>5512</v>
      </c>
      <c r="Z261" s="3">
        <v>290.55</v>
      </c>
      <c r="AA261" s="1"/>
      <c r="AB261" s="1"/>
      <c r="AC261" s="1"/>
      <c r="AD261" s="1"/>
      <c r="AE261" s="1" t="s">
        <v>267</v>
      </c>
      <c r="AF261" s="3">
        <v>290.55</v>
      </c>
      <c r="AG261" s="1"/>
      <c r="AH261" s="1"/>
      <c r="AI261" s="1"/>
      <c r="AJ261" s="1"/>
      <c r="AK261" s="1"/>
      <c r="AL261" s="1"/>
      <c r="AM261" s="1" t="s">
        <v>5513</v>
      </c>
      <c r="AN261" s="3">
        <v>290.55</v>
      </c>
      <c r="AO261" s="1"/>
      <c r="AP261" s="1"/>
      <c r="AQ261" s="1"/>
      <c r="AR261" s="1"/>
      <c r="AS261" s="1"/>
      <c r="AT261" s="1"/>
      <c r="AU261" s="1" t="s">
        <v>5514</v>
      </c>
      <c r="AV261" s="3">
        <v>290.55</v>
      </c>
      <c r="AW261" s="1" t="s">
        <v>5515</v>
      </c>
      <c r="AX261" s="3">
        <v>290.55</v>
      </c>
      <c r="AY261" s="1"/>
      <c r="AZ261" s="1"/>
      <c r="BA261" s="1"/>
      <c r="BB261" s="1"/>
      <c r="BE261" s="67">
        <f t="shared" si="1"/>
        <v>0</v>
      </c>
    </row>
    <row r="262">
      <c r="A262" s="1"/>
      <c r="B262" s="1"/>
      <c r="C262" s="1"/>
      <c r="D262" s="1"/>
      <c r="E262" s="1"/>
      <c r="F262" s="1"/>
      <c r="G262" s="1"/>
      <c r="H262" s="1"/>
      <c r="I262" s="1" t="s">
        <v>5516</v>
      </c>
      <c r="J262" s="3">
        <v>290.55</v>
      </c>
      <c r="K262" s="1"/>
      <c r="L262" s="1"/>
      <c r="M262" s="1"/>
      <c r="N262" s="1"/>
      <c r="O262" s="1"/>
      <c r="P262" s="1"/>
      <c r="Q262" s="1"/>
      <c r="R262" s="1"/>
      <c r="S262" s="1"/>
      <c r="T262" s="1"/>
      <c r="U262" s="1"/>
      <c r="V262" s="1"/>
      <c r="W262" s="1"/>
      <c r="X262" s="1"/>
      <c r="Y262" s="1" t="s">
        <v>5517</v>
      </c>
      <c r="Z262" s="3">
        <v>290.55</v>
      </c>
      <c r="AA262" s="1"/>
      <c r="AB262" s="1"/>
      <c r="AC262" s="1"/>
      <c r="AD262" s="1"/>
      <c r="AE262" s="1" t="s">
        <v>268</v>
      </c>
      <c r="AF262" s="3">
        <v>290.55</v>
      </c>
      <c r="AG262" s="1"/>
      <c r="AH262" s="1"/>
      <c r="AI262" s="1"/>
      <c r="AJ262" s="1"/>
      <c r="AK262" s="1"/>
      <c r="AL262" s="1"/>
      <c r="AM262" s="1" t="s">
        <v>5518</v>
      </c>
      <c r="AN262" s="3">
        <v>290.55</v>
      </c>
      <c r="AO262" s="1"/>
      <c r="AP262" s="1"/>
      <c r="AQ262" s="1"/>
      <c r="AR262" s="1"/>
      <c r="AS262" s="1"/>
      <c r="AT262" s="1"/>
      <c r="AU262" s="1" t="s">
        <v>5519</v>
      </c>
      <c r="AV262" s="3">
        <v>290.55</v>
      </c>
      <c r="AW262" s="1" t="s">
        <v>5520</v>
      </c>
      <c r="AX262" s="3">
        <v>290.55</v>
      </c>
      <c r="AY262" s="1"/>
      <c r="AZ262" s="1"/>
      <c r="BA262" s="1"/>
      <c r="BB262" s="1"/>
      <c r="BE262" s="67">
        <f t="shared" si="1"/>
        <v>0</v>
      </c>
    </row>
    <row r="263">
      <c r="A263" s="1"/>
      <c r="B263" s="1"/>
      <c r="C263" s="1"/>
      <c r="D263" s="1"/>
      <c r="E263" s="1"/>
      <c r="F263" s="1"/>
      <c r="G263" s="1"/>
      <c r="H263" s="1"/>
      <c r="I263" s="1" t="s">
        <v>5521</v>
      </c>
      <c r="J263" s="3">
        <v>290.55</v>
      </c>
      <c r="K263" s="1"/>
      <c r="L263" s="1"/>
      <c r="M263" s="1"/>
      <c r="N263" s="1"/>
      <c r="O263" s="1"/>
      <c r="P263" s="1"/>
      <c r="Q263" s="1"/>
      <c r="R263" s="1"/>
      <c r="S263" s="1"/>
      <c r="T263" s="1"/>
      <c r="U263" s="1"/>
      <c r="V263" s="1"/>
      <c r="W263" s="1"/>
      <c r="X263" s="1"/>
      <c r="Y263" s="1" t="s">
        <v>5522</v>
      </c>
      <c r="Z263" s="3">
        <v>290.55</v>
      </c>
      <c r="AA263" s="1"/>
      <c r="AB263" s="1"/>
      <c r="AC263" s="1"/>
      <c r="AD263" s="1"/>
      <c r="AE263" s="1" t="s">
        <v>269</v>
      </c>
      <c r="AF263" s="3">
        <v>290.55</v>
      </c>
      <c r="AG263" s="1"/>
      <c r="AH263" s="1"/>
      <c r="AI263" s="1"/>
      <c r="AJ263" s="1"/>
      <c r="AK263" s="1"/>
      <c r="AL263" s="1"/>
      <c r="AM263" s="1" t="s">
        <v>5523</v>
      </c>
      <c r="AN263" s="3">
        <v>290.55</v>
      </c>
      <c r="AO263" s="1"/>
      <c r="AP263" s="1"/>
      <c r="AQ263" s="1"/>
      <c r="AR263" s="1"/>
      <c r="AS263" s="1"/>
      <c r="AT263" s="1"/>
      <c r="AU263" s="1" t="s">
        <v>5524</v>
      </c>
      <c r="AV263" s="3">
        <v>290.55</v>
      </c>
      <c r="AW263" s="1" t="s">
        <v>5525</v>
      </c>
      <c r="AX263" s="3">
        <v>290.55</v>
      </c>
      <c r="AY263" s="1"/>
      <c r="AZ263" s="1"/>
      <c r="BA263" s="1"/>
      <c r="BB263" s="1"/>
      <c r="BE263" s="67">
        <f t="shared" si="1"/>
        <v>0</v>
      </c>
    </row>
    <row r="264">
      <c r="A264" s="1"/>
      <c r="B264" s="1"/>
      <c r="C264" s="1"/>
      <c r="D264" s="1"/>
      <c r="E264" s="1"/>
      <c r="F264" s="1"/>
      <c r="G264" s="1"/>
      <c r="H264" s="1"/>
      <c r="I264" s="1" t="s">
        <v>5526</v>
      </c>
      <c r="J264" s="3">
        <v>290.55</v>
      </c>
      <c r="K264" s="1"/>
      <c r="L264" s="1"/>
      <c r="M264" s="1"/>
      <c r="N264" s="1"/>
      <c r="O264" s="1"/>
      <c r="P264" s="1"/>
      <c r="Q264" s="1"/>
      <c r="R264" s="1"/>
      <c r="S264" s="1"/>
      <c r="T264" s="1"/>
      <c r="U264" s="1"/>
      <c r="V264" s="1"/>
      <c r="W264" s="1"/>
      <c r="X264" s="1"/>
      <c r="Y264" s="1" t="s">
        <v>5527</v>
      </c>
      <c r="Z264" s="3">
        <v>290.55</v>
      </c>
      <c r="AA264" s="1"/>
      <c r="AB264" s="1"/>
      <c r="AC264" s="1"/>
      <c r="AD264" s="1"/>
      <c r="AE264" s="1" t="s">
        <v>270</v>
      </c>
      <c r="AF264" s="3">
        <v>290.55</v>
      </c>
      <c r="AG264" s="1"/>
      <c r="AH264" s="1"/>
      <c r="AI264" s="1"/>
      <c r="AJ264" s="1"/>
      <c r="AK264" s="1"/>
      <c r="AL264" s="1"/>
      <c r="AM264" s="1" t="s">
        <v>5528</v>
      </c>
      <c r="AN264" s="3">
        <v>290.55</v>
      </c>
      <c r="AO264" s="1"/>
      <c r="AP264" s="1"/>
      <c r="AQ264" s="1"/>
      <c r="AR264" s="1"/>
      <c r="AS264" s="1"/>
      <c r="AT264" s="1"/>
      <c r="AU264" s="1" t="s">
        <v>5529</v>
      </c>
      <c r="AV264" s="3">
        <v>290.55</v>
      </c>
      <c r="AW264" s="1" t="s">
        <v>5530</v>
      </c>
      <c r="AX264" s="3">
        <v>290.55</v>
      </c>
      <c r="AY264" s="1"/>
      <c r="AZ264" s="1"/>
      <c r="BA264" s="1"/>
      <c r="BB264" s="1"/>
      <c r="BE264" s="67">
        <f t="shared" si="1"/>
        <v>0</v>
      </c>
    </row>
    <row r="265">
      <c r="A265" s="1"/>
      <c r="B265" s="1"/>
      <c r="C265" s="1"/>
      <c r="D265" s="1"/>
      <c r="E265" s="1"/>
      <c r="F265" s="1"/>
      <c r="G265" s="1"/>
      <c r="H265" s="1"/>
      <c r="I265" s="1" t="s">
        <v>5531</v>
      </c>
      <c r="J265" s="3">
        <v>290.55</v>
      </c>
      <c r="K265" s="1"/>
      <c r="L265" s="1"/>
      <c r="M265" s="1"/>
      <c r="N265" s="1"/>
      <c r="O265" s="1"/>
      <c r="P265" s="1"/>
      <c r="Q265" s="1"/>
      <c r="R265" s="1"/>
      <c r="S265" s="1"/>
      <c r="T265" s="1"/>
      <c r="U265" s="1"/>
      <c r="V265" s="1"/>
      <c r="W265" s="1"/>
      <c r="X265" s="1"/>
      <c r="Y265" s="1" t="s">
        <v>5532</v>
      </c>
      <c r="Z265" s="3">
        <v>290.55</v>
      </c>
      <c r="AA265" s="1"/>
      <c r="AB265" s="1"/>
      <c r="AC265" s="1"/>
      <c r="AD265" s="1"/>
      <c r="AE265" s="1" t="s">
        <v>271</v>
      </c>
      <c r="AF265" s="3">
        <v>290.55</v>
      </c>
      <c r="AG265" s="1"/>
      <c r="AH265" s="1"/>
      <c r="AI265" s="1"/>
      <c r="AJ265" s="1"/>
      <c r="AK265" s="1"/>
      <c r="AL265" s="1"/>
      <c r="AM265" s="1" t="s">
        <v>5533</v>
      </c>
      <c r="AN265" s="3">
        <v>290.55</v>
      </c>
      <c r="AO265" s="1"/>
      <c r="AP265" s="1"/>
      <c r="AQ265" s="1"/>
      <c r="AR265" s="1"/>
      <c r="AS265" s="1"/>
      <c r="AT265" s="1"/>
      <c r="AU265" s="1" t="s">
        <v>5534</v>
      </c>
      <c r="AV265" s="3">
        <v>290.55</v>
      </c>
      <c r="AW265" s="1" t="s">
        <v>3649</v>
      </c>
      <c r="AX265" s="3">
        <v>290.55</v>
      </c>
      <c r="AY265" s="1"/>
      <c r="AZ265" s="1"/>
      <c r="BA265" s="1"/>
      <c r="BB265" s="1"/>
      <c r="BE265" s="67">
        <f t="shared" si="1"/>
        <v>0</v>
      </c>
    </row>
    <row r="266">
      <c r="A266" s="1"/>
      <c r="B266" s="1"/>
      <c r="C266" s="1"/>
      <c r="D266" s="1"/>
      <c r="E266" s="1"/>
      <c r="F266" s="1"/>
      <c r="G266" s="1"/>
      <c r="H266" s="1"/>
      <c r="I266" s="1" t="s">
        <v>5535</v>
      </c>
      <c r="J266" s="3">
        <v>290.55</v>
      </c>
      <c r="K266" s="1"/>
      <c r="L266" s="1"/>
      <c r="M266" s="1"/>
      <c r="N266" s="1"/>
      <c r="O266" s="1"/>
      <c r="P266" s="1"/>
      <c r="Q266" s="1"/>
      <c r="R266" s="1"/>
      <c r="S266" s="1"/>
      <c r="T266" s="1"/>
      <c r="U266" s="1"/>
      <c r="V266" s="1"/>
      <c r="W266" s="1"/>
      <c r="X266" s="1"/>
      <c r="Y266" s="1" t="s">
        <v>5536</v>
      </c>
      <c r="Z266" s="3">
        <v>290.55</v>
      </c>
      <c r="AA266" s="1"/>
      <c r="AB266" s="1"/>
      <c r="AC266" s="1"/>
      <c r="AD266" s="1"/>
      <c r="AE266" s="1" t="s">
        <v>272</v>
      </c>
      <c r="AF266" s="3">
        <v>290.55</v>
      </c>
      <c r="AG266" s="1"/>
      <c r="AH266" s="1"/>
      <c r="AI266" s="1"/>
      <c r="AJ266" s="1"/>
      <c r="AK266" s="1"/>
      <c r="AL266" s="1"/>
      <c r="AM266" s="1" t="s">
        <v>5537</v>
      </c>
      <c r="AN266" s="3">
        <v>290.55</v>
      </c>
      <c r="AO266" s="1"/>
      <c r="AP266" s="1"/>
      <c r="AQ266" s="1"/>
      <c r="AR266" s="1"/>
      <c r="AS266" s="1"/>
      <c r="AT266" s="1"/>
      <c r="AU266" s="1" t="s">
        <v>5538</v>
      </c>
      <c r="AV266" s="3">
        <v>290.55</v>
      </c>
      <c r="AW266" s="1" t="s">
        <v>5539</v>
      </c>
      <c r="AX266" s="3">
        <v>290.55</v>
      </c>
      <c r="AY266" s="1"/>
      <c r="AZ266" s="1"/>
      <c r="BA266" s="1"/>
      <c r="BB266" s="1"/>
      <c r="BE266" s="67">
        <f t="shared" si="1"/>
        <v>0</v>
      </c>
    </row>
    <row r="267">
      <c r="A267" s="1"/>
      <c r="B267" s="1"/>
      <c r="C267" s="1"/>
      <c r="D267" s="1"/>
      <c r="E267" s="1"/>
      <c r="F267" s="1"/>
      <c r="G267" s="1"/>
      <c r="H267" s="1"/>
      <c r="I267" s="1" t="s">
        <v>5540</v>
      </c>
      <c r="J267" s="3">
        <v>290.55</v>
      </c>
      <c r="K267" s="1"/>
      <c r="L267" s="1"/>
      <c r="M267" s="1"/>
      <c r="N267" s="1"/>
      <c r="O267" s="1"/>
      <c r="P267" s="1"/>
      <c r="Q267" s="1"/>
      <c r="R267" s="1"/>
      <c r="S267" s="1"/>
      <c r="T267" s="1"/>
      <c r="U267" s="1"/>
      <c r="V267" s="1"/>
      <c r="W267" s="1"/>
      <c r="X267" s="1"/>
      <c r="Y267" s="1" t="s">
        <v>5541</v>
      </c>
      <c r="Z267" s="3">
        <v>290.55</v>
      </c>
      <c r="AA267" s="1"/>
      <c r="AB267" s="1"/>
      <c r="AC267" s="1"/>
      <c r="AD267" s="1"/>
      <c r="AE267" s="1" t="s">
        <v>273</v>
      </c>
      <c r="AF267" s="3">
        <v>290.55</v>
      </c>
      <c r="AG267" s="1"/>
      <c r="AH267" s="1"/>
      <c r="AI267" s="1"/>
      <c r="AJ267" s="1"/>
      <c r="AK267" s="1"/>
      <c r="AL267" s="1"/>
      <c r="AM267" s="1" t="s">
        <v>5542</v>
      </c>
      <c r="AN267" s="3">
        <v>290.55</v>
      </c>
      <c r="AO267" s="1"/>
      <c r="AP267" s="1"/>
      <c r="AQ267" s="1"/>
      <c r="AR267" s="1"/>
      <c r="AS267" s="1"/>
      <c r="AT267" s="1"/>
      <c r="AU267" s="1" t="s">
        <v>5543</v>
      </c>
      <c r="AV267" s="3">
        <v>290.55</v>
      </c>
      <c r="AW267" s="1" t="s">
        <v>5544</v>
      </c>
      <c r="AX267" s="3">
        <v>290.55</v>
      </c>
      <c r="AY267" s="1"/>
      <c r="AZ267" s="1"/>
      <c r="BA267" s="1"/>
      <c r="BB267" s="1"/>
      <c r="BE267" s="67">
        <f t="shared" si="1"/>
        <v>0</v>
      </c>
    </row>
    <row r="268">
      <c r="A268" s="1"/>
      <c r="B268" s="1"/>
      <c r="C268" s="1"/>
      <c r="D268" s="1"/>
      <c r="E268" s="1"/>
      <c r="F268" s="1"/>
      <c r="G268" s="1"/>
      <c r="H268" s="1"/>
      <c r="I268" s="1" t="s">
        <v>2933</v>
      </c>
      <c r="J268" s="3">
        <v>290.55</v>
      </c>
      <c r="K268" s="1"/>
      <c r="L268" s="1"/>
      <c r="M268" s="1"/>
      <c r="N268" s="1"/>
      <c r="O268" s="1"/>
      <c r="P268" s="1"/>
      <c r="Q268" s="1"/>
      <c r="R268" s="1"/>
      <c r="S268" s="1"/>
      <c r="T268" s="1"/>
      <c r="U268" s="1"/>
      <c r="V268" s="1"/>
      <c r="W268" s="1"/>
      <c r="X268" s="1"/>
      <c r="Y268" s="1" t="s">
        <v>5545</v>
      </c>
      <c r="Z268" s="3">
        <v>290.55</v>
      </c>
      <c r="AA268" s="1"/>
      <c r="AB268" s="1"/>
      <c r="AC268" s="1"/>
      <c r="AD268" s="1"/>
      <c r="AE268" s="1" t="s">
        <v>274</v>
      </c>
      <c r="AF268" s="3">
        <v>290.55</v>
      </c>
      <c r="AG268" s="1"/>
      <c r="AH268" s="1"/>
      <c r="AI268" s="1"/>
      <c r="AJ268" s="1"/>
      <c r="AK268" s="1"/>
      <c r="AL268" s="1"/>
      <c r="AM268" s="1" t="s">
        <v>5546</v>
      </c>
      <c r="AN268" s="3">
        <v>290.55</v>
      </c>
      <c r="AO268" s="1"/>
      <c r="AP268" s="1"/>
      <c r="AQ268" s="1"/>
      <c r="AR268" s="1"/>
      <c r="AS268" s="1"/>
      <c r="AT268" s="1"/>
      <c r="AU268" s="1" t="s">
        <v>4594</v>
      </c>
      <c r="AV268" s="3">
        <v>290.55</v>
      </c>
      <c r="AW268" s="1" t="s">
        <v>5547</v>
      </c>
      <c r="AX268" s="3">
        <v>290.55</v>
      </c>
      <c r="AY268" s="1"/>
      <c r="AZ268" s="1"/>
      <c r="BA268" s="1"/>
      <c r="BB268" s="1"/>
      <c r="BE268" s="67">
        <f t="shared" si="1"/>
        <v>0</v>
      </c>
    </row>
    <row r="269">
      <c r="A269" s="1"/>
      <c r="B269" s="1"/>
      <c r="C269" s="1"/>
      <c r="D269" s="1"/>
      <c r="E269" s="1"/>
      <c r="F269" s="1"/>
      <c r="G269" s="1"/>
      <c r="H269" s="1"/>
      <c r="I269" s="1" t="s">
        <v>5548</v>
      </c>
      <c r="J269" s="3">
        <v>290.55</v>
      </c>
      <c r="K269" s="1"/>
      <c r="L269" s="1"/>
      <c r="M269" s="1"/>
      <c r="N269" s="1"/>
      <c r="O269" s="1"/>
      <c r="P269" s="1"/>
      <c r="Q269" s="1"/>
      <c r="R269" s="1"/>
      <c r="S269" s="1"/>
      <c r="T269" s="1"/>
      <c r="U269" s="1"/>
      <c r="V269" s="1"/>
      <c r="W269" s="1"/>
      <c r="X269" s="1"/>
      <c r="Y269" s="1" t="s">
        <v>5549</v>
      </c>
      <c r="Z269" s="3">
        <v>290.55</v>
      </c>
      <c r="AA269" s="1"/>
      <c r="AB269" s="1"/>
      <c r="AC269" s="1"/>
      <c r="AD269" s="1"/>
      <c r="AE269" s="1" t="s">
        <v>275</v>
      </c>
      <c r="AF269" s="3">
        <v>290.55</v>
      </c>
      <c r="AG269" s="1"/>
      <c r="AH269" s="1"/>
      <c r="AI269" s="1"/>
      <c r="AJ269" s="1"/>
      <c r="AK269" s="1"/>
      <c r="AL269" s="1"/>
      <c r="AM269" s="1" t="s">
        <v>5550</v>
      </c>
      <c r="AN269" s="3">
        <v>290.55</v>
      </c>
      <c r="AO269" s="1"/>
      <c r="AP269" s="1"/>
      <c r="AQ269" s="1"/>
      <c r="AR269" s="1"/>
      <c r="AS269" s="1"/>
      <c r="AT269" s="1"/>
      <c r="AU269" s="1" t="s">
        <v>5551</v>
      </c>
      <c r="AV269" s="3">
        <v>290.55</v>
      </c>
      <c r="AW269" s="1" t="s">
        <v>5552</v>
      </c>
      <c r="AX269" s="3">
        <v>290.55</v>
      </c>
      <c r="AY269" s="1"/>
      <c r="AZ269" s="1"/>
      <c r="BA269" s="1"/>
      <c r="BB269" s="1"/>
      <c r="BE269" s="67">
        <f t="shared" si="1"/>
        <v>0</v>
      </c>
    </row>
    <row r="270">
      <c r="A270" s="1"/>
      <c r="B270" s="1"/>
      <c r="C270" s="1"/>
      <c r="D270" s="1"/>
      <c r="E270" s="1"/>
      <c r="F270" s="1"/>
      <c r="G270" s="1"/>
      <c r="H270" s="1"/>
      <c r="I270" s="1" t="s">
        <v>5553</v>
      </c>
      <c r="J270" s="3">
        <v>290.55</v>
      </c>
      <c r="K270" s="1"/>
      <c r="L270" s="1"/>
      <c r="M270" s="1"/>
      <c r="N270" s="1"/>
      <c r="O270" s="1"/>
      <c r="P270" s="1"/>
      <c r="Q270" s="1"/>
      <c r="R270" s="1"/>
      <c r="S270" s="1"/>
      <c r="T270" s="1"/>
      <c r="U270" s="1"/>
      <c r="V270" s="1"/>
      <c r="W270" s="1"/>
      <c r="X270" s="1"/>
      <c r="Y270" s="1" t="s">
        <v>5554</v>
      </c>
      <c r="Z270" s="3">
        <v>290.55</v>
      </c>
      <c r="AA270" s="1"/>
      <c r="AB270" s="1"/>
      <c r="AC270" s="1"/>
      <c r="AD270" s="1"/>
      <c r="AE270" s="1" t="s">
        <v>276</v>
      </c>
      <c r="AF270" s="3">
        <v>290.55</v>
      </c>
      <c r="AG270" s="1"/>
      <c r="AH270" s="1"/>
      <c r="AI270" s="1"/>
      <c r="AJ270" s="1"/>
      <c r="AK270" s="1"/>
      <c r="AL270" s="1"/>
      <c r="AM270" s="1" t="s">
        <v>5555</v>
      </c>
      <c r="AN270" s="3">
        <v>290.55</v>
      </c>
      <c r="AO270" s="1"/>
      <c r="AP270" s="1"/>
      <c r="AQ270" s="1"/>
      <c r="AR270" s="1"/>
      <c r="AS270" s="1"/>
      <c r="AT270" s="1"/>
      <c r="AU270" s="1" t="s">
        <v>5556</v>
      </c>
      <c r="AV270" s="3">
        <v>290.55</v>
      </c>
      <c r="AW270" s="1" t="s">
        <v>5557</v>
      </c>
      <c r="AX270" s="3">
        <v>290.55</v>
      </c>
      <c r="AY270" s="1"/>
      <c r="AZ270" s="1"/>
      <c r="BA270" s="1"/>
      <c r="BB270" s="1"/>
      <c r="BE270" s="67">
        <f t="shared" si="1"/>
        <v>0</v>
      </c>
    </row>
    <row r="271">
      <c r="A271" s="1"/>
      <c r="B271" s="1"/>
      <c r="C271" s="1"/>
      <c r="D271" s="1"/>
      <c r="E271" s="1"/>
      <c r="F271" s="1"/>
      <c r="G271" s="1"/>
      <c r="H271" s="1"/>
      <c r="I271" s="1" t="s">
        <v>5558</v>
      </c>
      <c r="J271" s="3">
        <v>290.55</v>
      </c>
      <c r="K271" s="1"/>
      <c r="L271" s="1"/>
      <c r="M271" s="1"/>
      <c r="N271" s="1"/>
      <c r="O271" s="1"/>
      <c r="P271" s="1"/>
      <c r="Q271" s="1"/>
      <c r="R271" s="1"/>
      <c r="S271" s="1"/>
      <c r="T271" s="1"/>
      <c r="U271" s="1"/>
      <c r="V271" s="1"/>
      <c r="W271" s="1"/>
      <c r="X271" s="1"/>
      <c r="Y271" s="1" t="s">
        <v>5559</v>
      </c>
      <c r="Z271" s="3">
        <v>290.55</v>
      </c>
      <c r="AA271" s="1"/>
      <c r="AB271" s="1"/>
      <c r="AC271" s="1"/>
      <c r="AD271" s="1"/>
      <c r="AE271" s="1" t="s">
        <v>277</v>
      </c>
      <c r="AF271" s="3">
        <v>290.55</v>
      </c>
      <c r="AG271" s="1"/>
      <c r="AH271" s="1"/>
      <c r="AI271" s="1"/>
      <c r="AJ271" s="1"/>
      <c r="AK271" s="1"/>
      <c r="AL271" s="1"/>
      <c r="AM271" s="1" t="s">
        <v>5560</v>
      </c>
      <c r="AN271" s="3">
        <v>290.55</v>
      </c>
      <c r="AO271" s="1"/>
      <c r="AP271" s="1"/>
      <c r="AQ271" s="1"/>
      <c r="AR271" s="1"/>
      <c r="AS271" s="1"/>
      <c r="AT271" s="1"/>
      <c r="AU271" s="1" t="s">
        <v>5561</v>
      </c>
      <c r="AV271" s="3">
        <v>290.55</v>
      </c>
      <c r="AW271" s="1" t="s">
        <v>5562</v>
      </c>
      <c r="AX271" s="3">
        <v>290.55</v>
      </c>
      <c r="AY271" s="1"/>
      <c r="AZ271" s="1"/>
      <c r="BA271" s="1"/>
      <c r="BB271" s="1"/>
      <c r="BE271" s="67">
        <f t="shared" si="1"/>
        <v>0</v>
      </c>
    </row>
    <row r="272">
      <c r="A272" s="1"/>
      <c r="B272" s="1"/>
      <c r="C272" s="1"/>
      <c r="D272" s="1"/>
      <c r="E272" s="1"/>
      <c r="F272" s="1"/>
      <c r="G272" s="1"/>
      <c r="H272" s="1"/>
      <c r="I272" s="1" t="s">
        <v>5563</v>
      </c>
      <c r="J272" s="3">
        <v>290.55</v>
      </c>
      <c r="K272" s="1"/>
      <c r="L272" s="1"/>
      <c r="M272" s="1"/>
      <c r="N272" s="1"/>
      <c r="O272" s="1"/>
      <c r="P272" s="1"/>
      <c r="Q272" s="1"/>
      <c r="R272" s="1"/>
      <c r="S272" s="1"/>
      <c r="T272" s="1"/>
      <c r="U272" s="1"/>
      <c r="V272" s="1"/>
      <c r="W272" s="1"/>
      <c r="X272" s="1"/>
      <c r="Y272" s="1" t="s">
        <v>5564</v>
      </c>
      <c r="Z272" s="3">
        <v>290.55</v>
      </c>
      <c r="AA272" s="1"/>
      <c r="AB272" s="1"/>
      <c r="AC272" s="1"/>
      <c r="AD272" s="1"/>
      <c r="AE272" s="1" t="s">
        <v>278</v>
      </c>
      <c r="AF272" s="3">
        <v>290.55</v>
      </c>
      <c r="AG272" s="1"/>
      <c r="AH272" s="1"/>
      <c r="AI272" s="1"/>
      <c r="AJ272" s="1"/>
      <c r="AK272" s="1"/>
      <c r="AL272" s="1"/>
      <c r="AM272" s="1" t="s">
        <v>5565</v>
      </c>
      <c r="AN272" s="3">
        <v>290.55</v>
      </c>
      <c r="AO272" s="1"/>
      <c r="AP272" s="1"/>
      <c r="AQ272" s="1"/>
      <c r="AR272" s="1"/>
      <c r="AS272" s="1"/>
      <c r="AT272" s="1"/>
      <c r="AU272" s="1" t="s">
        <v>5566</v>
      </c>
      <c r="AV272" s="3">
        <v>290.55</v>
      </c>
      <c r="AW272" s="1" t="s">
        <v>5567</v>
      </c>
      <c r="AX272" s="3">
        <v>290.55</v>
      </c>
      <c r="AY272" s="1"/>
      <c r="AZ272" s="1"/>
      <c r="BA272" s="1"/>
      <c r="BB272" s="1"/>
      <c r="BE272" s="67">
        <f t="shared" si="1"/>
        <v>0</v>
      </c>
    </row>
    <row r="273">
      <c r="A273" s="1"/>
      <c r="B273" s="1"/>
      <c r="C273" s="1"/>
      <c r="D273" s="1"/>
      <c r="E273" s="1"/>
      <c r="F273" s="1"/>
      <c r="G273" s="1"/>
      <c r="H273" s="1"/>
      <c r="I273" s="1" t="s">
        <v>3524</v>
      </c>
      <c r="J273" s="3">
        <v>290.55</v>
      </c>
      <c r="K273" s="1"/>
      <c r="L273" s="1"/>
      <c r="M273" s="1"/>
      <c r="N273" s="1"/>
      <c r="O273" s="1"/>
      <c r="P273" s="1"/>
      <c r="Q273" s="1"/>
      <c r="R273" s="1"/>
      <c r="S273" s="1"/>
      <c r="T273" s="1"/>
      <c r="U273" s="1"/>
      <c r="V273" s="1"/>
      <c r="W273" s="1"/>
      <c r="X273" s="1"/>
      <c r="Y273" s="1" t="s">
        <v>5568</v>
      </c>
      <c r="Z273" s="3">
        <v>290.55</v>
      </c>
      <c r="AA273" s="1"/>
      <c r="AB273" s="1"/>
      <c r="AC273" s="1"/>
      <c r="AD273" s="1"/>
      <c r="AE273" s="1" t="s">
        <v>279</v>
      </c>
      <c r="AF273" s="3">
        <v>290.55</v>
      </c>
      <c r="AG273" s="1"/>
      <c r="AH273" s="1"/>
      <c r="AI273" s="1"/>
      <c r="AJ273" s="1"/>
      <c r="AK273" s="1"/>
      <c r="AL273" s="1"/>
      <c r="AM273" s="1" t="s">
        <v>5569</v>
      </c>
      <c r="AN273" s="3">
        <v>290.55</v>
      </c>
      <c r="AO273" s="1"/>
      <c r="AP273" s="1"/>
      <c r="AQ273" s="1"/>
      <c r="AR273" s="1"/>
      <c r="AS273" s="1"/>
      <c r="AT273" s="1"/>
      <c r="AU273" s="1" t="s">
        <v>5570</v>
      </c>
      <c r="AV273" s="3">
        <v>290.55</v>
      </c>
      <c r="AW273" s="1" t="s">
        <v>5571</v>
      </c>
      <c r="AX273" s="3">
        <v>290.55</v>
      </c>
      <c r="AY273" s="1"/>
      <c r="AZ273" s="1"/>
      <c r="BA273" s="1"/>
      <c r="BB273" s="1"/>
      <c r="BE273" s="67">
        <f t="shared" si="1"/>
        <v>0</v>
      </c>
    </row>
    <row r="274">
      <c r="A274" s="1"/>
      <c r="B274" s="1"/>
      <c r="C274" s="1"/>
      <c r="D274" s="1"/>
      <c r="E274" s="1"/>
      <c r="F274" s="1"/>
      <c r="G274" s="1"/>
      <c r="H274" s="1"/>
      <c r="I274" s="1" t="s">
        <v>5572</v>
      </c>
      <c r="J274" s="3">
        <v>290.55</v>
      </c>
      <c r="K274" s="1"/>
      <c r="L274" s="1"/>
      <c r="M274" s="1"/>
      <c r="N274" s="1"/>
      <c r="O274" s="1"/>
      <c r="P274" s="1"/>
      <c r="Q274" s="1"/>
      <c r="R274" s="1"/>
      <c r="S274" s="1"/>
      <c r="T274" s="1"/>
      <c r="U274" s="1"/>
      <c r="V274" s="1"/>
      <c r="W274" s="1"/>
      <c r="X274" s="1"/>
      <c r="Y274" s="1" t="s">
        <v>5573</v>
      </c>
      <c r="Z274" s="3">
        <v>290.55</v>
      </c>
      <c r="AA274" s="1"/>
      <c r="AB274" s="1"/>
      <c r="AC274" s="1"/>
      <c r="AD274" s="1"/>
      <c r="AE274" s="1" t="s">
        <v>280</v>
      </c>
      <c r="AF274" s="3">
        <v>290.55</v>
      </c>
      <c r="AG274" s="1"/>
      <c r="AH274" s="1"/>
      <c r="AI274" s="1"/>
      <c r="AJ274" s="1"/>
      <c r="AK274" s="1"/>
      <c r="AL274" s="1"/>
      <c r="AM274" s="1" t="s">
        <v>5574</v>
      </c>
      <c r="AN274" s="3">
        <v>290.55</v>
      </c>
      <c r="AO274" s="1"/>
      <c r="AP274" s="1"/>
      <c r="AQ274" s="1"/>
      <c r="AR274" s="1"/>
      <c r="AS274" s="1"/>
      <c r="AT274" s="1"/>
      <c r="AU274" s="1" t="s">
        <v>5575</v>
      </c>
      <c r="AV274" s="3">
        <v>290.55</v>
      </c>
      <c r="AW274" s="1" t="s">
        <v>5576</v>
      </c>
      <c r="AX274" s="3">
        <v>290.55</v>
      </c>
      <c r="AY274" s="1"/>
      <c r="AZ274" s="1"/>
      <c r="BA274" s="1"/>
      <c r="BB274" s="1"/>
      <c r="BE274" s="67">
        <f t="shared" si="1"/>
        <v>0</v>
      </c>
    </row>
    <row r="275">
      <c r="A275" s="1"/>
      <c r="B275" s="1"/>
      <c r="C275" s="1"/>
      <c r="D275" s="1"/>
      <c r="E275" s="1"/>
      <c r="F275" s="1"/>
      <c r="G275" s="1"/>
      <c r="H275" s="1"/>
      <c r="I275" s="1" t="s">
        <v>5577</v>
      </c>
      <c r="J275" s="3">
        <v>290.55</v>
      </c>
      <c r="K275" s="1"/>
      <c r="L275" s="1"/>
      <c r="M275" s="1"/>
      <c r="N275" s="1"/>
      <c r="O275" s="1"/>
      <c r="P275" s="1"/>
      <c r="Q275" s="1"/>
      <c r="R275" s="1"/>
      <c r="S275" s="1"/>
      <c r="T275" s="1"/>
      <c r="U275" s="1"/>
      <c r="V275" s="1"/>
      <c r="W275" s="1"/>
      <c r="X275" s="1"/>
      <c r="Y275" s="1" t="s">
        <v>5578</v>
      </c>
      <c r="Z275" s="3">
        <v>290.55</v>
      </c>
      <c r="AA275" s="1"/>
      <c r="AB275" s="1"/>
      <c r="AC275" s="1"/>
      <c r="AD275" s="1"/>
      <c r="AE275" s="1" t="s">
        <v>281</v>
      </c>
      <c r="AF275" s="3">
        <v>290.55</v>
      </c>
      <c r="AG275" s="1"/>
      <c r="AH275" s="1"/>
      <c r="AI275" s="1"/>
      <c r="AJ275" s="1"/>
      <c r="AK275" s="1"/>
      <c r="AL275" s="1"/>
      <c r="AM275" s="1" t="s">
        <v>5579</v>
      </c>
      <c r="AN275" s="3">
        <v>290.55</v>
      </c>
      <c r="AO275" s="1"/>
      <c r="AP275" s="1"/>
      <c r="AQ275" s="1"/>
      <c r="AR275" s="1"/>
      <c r="AS275" s="1"/>
      <c r="AT275" s="1"/>
      <c r="AU275" s="1" t="s">
        <v>5580</v>
      </c>
      <c r="AV275" s="3">
        <v>290.55</v>
      </c>
      <c r="AW275" s="1" t="s">
        <v>5581</v>
      </c>
      <c r="AX275" s="3">
        <v>290.55</v>
      </c>
      <c r="AY275" s="1"/>
      <c r="AZ275" s="1"/>
      <c r="BA275" s="1"/>
      <c r="BB275" s="1"/>
      <c r="BE275" s="67">
        <f t="shared" si="1"/>
        <v>0</v>
      </c>
    </row>
    <row r="276">
      <c r="A276" s="1"/>
      <c r="B276" s="1"/>
      <c r="C276" s="1"/>
      <c r="D276" s="1"/>
      <c r="E276" s="1"/>
      <c r="F276" s="1"/>
      <c r="G276" s="1"/>
      <c r="H276" s="1"/>
      <c r="I276" s="1" t="s">
        <v>5582</v>
      </c>
      <c r="J276" s="3">
        <v>290.55</v>
      </c>
      <c r="K276" s="1"/>
      <c r="L276" s="1"/>
      <c r="M276" s="1"/>
      <c r="N276" s="1"/>
      <c r="O276" s="1"/>
      <c r="P276" s="1"/>
      <c r="Q276" s="1"/>
      <c r="R276" s="1"/>
      <c r="S276" s="1"/>
      <c r="T276" s="1"/>
      <c r="U276" s="1"/>
      <c r="V276" s="1"/>
      <c r="W276" s="1"/>
      <c r="X276" s="1"/>
      <c r="Y276" s="1" t="s">
        <v>5583</v>
      </c>
      <c r="Z276" s="3">
        <v>290.55</v>
      </c>
      <c r="AA276" s="1"/>
      <c r="AB276" s="1"/>
      <c r="AC276" s="1"/>
      <c r="AD276" s="1"/>
      <c r="AE276" s="1" t="s">
        <v>282</v>
      </c>
      <c r="AF276" s="3">
        <v>290.55</v>
      </c>
      <c r="AG276" s="1"/>
      <c r="AH276" s="1"/>
      <c r="AI276" s="1"/>
      <c r="AJ276" s="1"/>
      <c r="AK276" s="1"/>
      <c r="AL276" s="1"/>
      <c r="AM276" s="1" t="s">
        <v>5584</v>
      </c>
      <c r="AN276" s="3">
        <v>290.55</v>
      </c>
      <c r="AO276" s="1"/>
      <c r="AP276" s="1"/>
      <c r="AQ276" s="1"/>
      <c r="AR276" s="1"/>
      <c r="AS276" s="1"/>
      <c r="AT276" s="1"/>
      <c r="AU276" s="1" t="s">
        <v>5585</v>
      </c>
      <c r="AV276" s="3">
        <v>290.55</v>
      </c>
      <c r="AW276" s="1" t="s">
        <v>5586</v>
      </c>
      <c r="AX276" s="3">
        <v>290.55</v>
      </c>
      <c r="AY276" s="1"/>
      <c r="AZ276" s="1"/>
      <c r="BA276" s="1"/>
      <c r="BB276" s="1"/>
      <c r="BE276" s="67">
        <f t="shared" si="1"/>
        <v>0</v>
      </c>
    </row>
    <row r="277">
      <c r="A277" s="1"/>
      <c r="B277" s="1"/>
      <c r="C277" s="1"/>
      <c r="D277" s="1"/>
      <c r="E277" s="1"/>
      <c r="F277" s="1"/>
      <c r="G277" s="1"/>
      <c r="H277" s="1"/>
      <c r="I277" s="1" t="s">
        <v>246</v>
      </c>
      <c r="J277" s="3">
        <v>290.55</v>
      </c>
      <c r="K277" s="1"/>
      <c r="L277" s="1"/>
      <c r="M277" s="1"/>
      <c r="N277" s="1"/>
      <c r="O277" s="1"/>
      <c r="P277" s="1"/>
      <c r="Q277" s="1"/>
      <c r="R277" s="1"/>
      <c r="S277" s="1"/>
      <c r="T277" s="1"/>
      <c r="U277" s="1"/>
      <c r="V277" s="1"/>
      <c r="W277" s="1"/>
      <c r="X277" s="1"/>
      <c r="Y277" s="1" t="s">
        <v>5587</v>
      </c>
      <c r="Z277" s="3">
        <v>290.55</v>
      </c>
      <c r="AA277" s="1"/>
      <c r="AB277" s="1"/>
      <c r="AC277" s="1"/>
      <c r="AD277" s="1"/>
      <c r="AE277" s="1" t="s">
        <v>283</v>
      </c>
      <c r="AF277" s="3">
        <v>290.55</v>
      </c>
      <c r="AG277" s="1"/>
      <c r="AH277" s="1"/>
      <c r="AI277" s="1"/>
      <c r="AJ277" s="1"/>
      <c r="AK277" s="1"/>
      <c r="AL277" s="1"/>
      <c r="AM277" s="1" t="s">
        <v>5588</v>
      </c>
      <c r="AN277" s="3">
        <v>290.55</v>
      </c>
      <c r="AO277" s="1"/>
      <c r="AP277" s="1"/>
      <c r="AQ277" s="1"/>
      <c r="AR277" s="1"/>
      <c r="AS277" s="1"/>
      <c r="AT277" s="1"/>
      <c r="AU277" s="1" t="s">
        <v>5589</v>
      </c>
      <c r="AV277" s="3">
        <v>290.55</v>
      </c>
      <c r="AW277" s="1" t="s">
        <v>5590</v>
      </c>
      <c r="AX277" s="3">
        <v>290.55</v>
      </c>
      <c r="AY277" s="1"/>
      <c r="AZ277" s="1"/>
      <c r="BA277" s="1"/>
      <c r="BB277" s="1"/>
      <c r="BE277" s="67">
        <f t="shared" si="1"/>
        <v>0</v>
      </c>
    </row>
    <row r="278">
      <c r="A278" s="1"/>
      <c r="B278" s="1"/>
      <c r="C278" s="1"/>
      <c r="D278" s="1"/>
      <c r="E278" s="1"/>
      <c r="F278" s="1"/>
      <c r="G278" s="1"/>
      <c r="H278" s="1"/>
      <c r="I278" s="1" t="s">
        <v>5591</v>
      </c>
      <c r="J278" s="3">
        <v>290.55</v>
      </c>
      <c r="K278" s="1"/>
      <c r="L278" s="1"/>
      <c r="M278" s="1"/>
      <c r="N278" s="1"/>
      <c r="O278" s="1"/>
      <c r="P278" s="1"/>
      <c r="Q278" s="1"/>
      <c r="R278" s="1"/>
      <c r="S278" s="1"/>
      <c r="T278" s="1"/>
      <c r="U278" s="1"/>
      <c r="V278" s="1"/>
      <c r="W278" s="1"/>
      <c r="X278" s="1"/>
      <c r="Y278" s="1" t="s">
        <v>5592</v>
      </c>
      <c r="Z278" s="3">
        <v>290.55</v>
      </c>
      <c r="AA278" s="1"/>
      <c r="AB278" s="1"/>
      <c r="AC278" s="1"/>
      <c r="AD278" s="1"/>
      <c r="AE278" s="1" t="s">
        <v>34</v>
      </c>
      <c r="AF278" s="3">
        <v>290.55</v>
      </c>
      <c r="AG278" s="1"/>
      <c r="AH278" s="1"/>
      <c r="AI278" s="1"/>
      <c r="AJ278" s="1"/>
      <c r="AK278" s="1"/>
      <c r="AL278" s="1"/>
      <c r="AM278" s="1" t="s">
        <v>5593</v>
      </c>
      <c r="AN278" s="3">
        <v>290.55</v>
      </c>
      <c r="AO278" s="1"/>
      <c r="AP278" s="1"/>
      <c r="AQ278" s="1"/>
      <c r="AR278" s="1"/>
      <c r="AS278" s="1"/>
      <c r="AT278" s="1"/>
      <c r="AU278" s="1" t="s">
        <v>5594</v>
      </c>
      <c r="AV278" s="3">
        <v>290.55</v>
      </c>
      <c r="AW278" s="1" t="s">
        <v>5595</v>
      </c>
      <c r="AX278" s="3">
        <v>290.55</v>
      </c>
      <c r="AY278" s="1"/>
      <c r="AZ278" s="1"/>
      <c r="BA278" s="1"/>
      <c r="BB278" s="1"/>
      <c r="BE278" s="67">
        <f t="shared" si="1"/>
        <v>0</v>
      </c>
    </row>
    <row r="279">
      <c r="A279" s="1"/>
      <c r="B279" s="1"/>
      <c r="C279" s="1"/>
      <c r="D279" s="1"/>
      <c r="E279" s="1"/>
      <c r="F279" s="1"/>
      <c r="G279" s="1"/>
      <c r="H279" s="1"/>
      <c r="I279" s="1" t="s">
        <v>5596</v>
      </c>
      <c r="J279" s="3">
        <v>290.55</v>
      </c>
      <c r="K279" s="1"/>
      <c r="L279" s="1"/>
      <c r="M279" s="1"/>
      <c r="N279" s="1"/>
      <c r="O279" s="1"/>
      <c r="P279" s="1"/>
      <c r="Q279" s="1"/>
      <c r="R279" s="1"/>
      <c r="S279" s="1"/>
      <c r="T279" s="1"/>
      <c r="U279" s="1"/>
      <c r="V279" s="1"/>
      <c r="W279" s="1"/>
      <c r="X279" s="1"/>
      <c r="Y279" s="1" t="s">
        <v>5597</v>
      </c>
      <c r="Z279" s="3">
        <v>290.55</v>
      </c>
      <c r="AA279" s="1"/>
      <c r="AB279" s="1"/>
      <c r="AC279" s="1"/>
      <c r="AD279" s="1"/>
      <c r="AE279" s="1" t="s">
        <v>284</v>
      </c>
      <c r="AF279" s="3">
        <v>290.55</v>
      </c>
      <c r="AG279" s="1"/>
      <c r="AH279" s="1"/>
      <c r="AI279" s="1"/>
      <c r="AJ279" s="1"/>
      <c r="AK279" s="1"/>
      <c r="AL279" s="1"/>
      <c r="AM279" s="1" t="s">
        <v>5598</v>
      </c>
      <c r="AN279" s="3">
        <v>290.55</v>
      </c>
      <c r="AO279" s="1"/>
      <c r="AP279" s="1"/>
      <c r="AQ279" s="1"/>
      <c r="AR279" s="1"/>
      <c r="AS279" s="1"/>
      <c r="AT279" s="1"/>
      <c r="AU279" s="1" t="s">
        <v>5599</v>
      </c>
      <c r="AV279" s="3">
        <v>290.55</v>
      </c>
      <c r="AW279" s="1" t="s">
        <v>5158</v>
      </c>
      <c r="AX279" s="3">
        <v>290.55</v>
      </c>
      <c r="AY279" s="1"/>
      <c r="AZ279" s="1"/>
      <c r="BA279" s="1"/>
      <c r="BB279" s="1"/>
      <c r="BE279" s="67">
        <f t="shared" si="1"/>
        <v>0</v>
      </c>
    </row>
    <row r="280">
      <c r="A280" s="1"/>
      <c r="B280" s="1"/>
      <c r="C280" s="1"/>
      <c r="D280" s="1"/>
      <c r="E280" s="1"/>
      <c r="F280" s="1"/>
      <c r="G280" s="1"/>
      <c r="H280" s="1"/>
      <c r="I280" s="1" t="s">
        <v>5600</v>
      </c>
      <c r="J280" s="3">
        <v>290.55</v>
      </c>
      <c r="K280" s="1"/>
      <c r="L280" s="1"/>
      <c r="M280" s="1"/>
      <c r="N280" s="1"/>
      <c r="O280" s="1"/>
      <c r="P280" s="1"/>
      <c r="Q280" s="1"/>
      <c r="R280" s="1"/>
      <c r="S280" s="1"/>
      <c r="T280" s="1"/>
      <c r="U280" s="1"/>
      <c r="V280" s="1"/>
      <c r="W280" s="1"/>
      <c r="X280" s="1"/>
      <c r="Y280" s="1" t="s">
        <v>5601</v>
      </c>
      <c r="Z280" s="3">
        <v>290.55</v>
      </c>
      <c r="AA280" s="1"/>
      <c r="AB280" s="1"/>
      <c r="AC280" s="1"/>
      <c r="AD280" s="1"/>
      <c r="AE280" s="1" t="s">
        <v>285</v>
      </c>
      <c r="AF280" s="3">
        <v>290.55</v>
      </c>
      <c r="AG280" s="1"/>
      <c r="AH280" s="1"/>
      <c r="AI280" s="1"/>
      <c r="AJ280" s="1"/>
      <c r="AK280" s="1"/>
      <c r="AL280" s="1"/>
      <c r="AM280" s="1" t="s">
        <v>5602</v>
      </c>
      <c r="AN280" s="3">
        <v>290.55</v>
      </c>
      <c r="AO280" s="1"/>
      <c r="AP280" s="1"/>
      <c r="AQ280" s="1"/>
      <c r="AR280" s="1"/>
      <c r="AS280" s="1"/>
      <c r="AT280" s="1"/>
      <c r="AU280" s="1" t="s">
        <v>5603</v>
      </c>
      <c r="AV280" s="3">
        <v>290.55</v>
      </c>
      <c r="AW280" s="1" t="s">
        <v>5604</v>
      </c>
      <c r="AX280" s="3">
        <v>290.55</v>
      </c>
      <c r="AY280" s="1"/>
      <c r="AZ280" s="1"/>
      <c r="BA280" s="1"/>
      <c r="BB280" s="1"/>
      <c r="BE280" s="67">
        <f t="shared" si="1"/>
        <v>0</v>
      </c>
    </row>
    <row r="281">
      <c r="A281" s="1"/>
      <c r="B281" s="1"/>
      <c r="C281" s="1"/>
      <c r="D281" s="1"/>
      <c r="E281" s="1"/>
      <c r="F281" s="1"/>
      <c r="G281" s="1"/>
      <c r="H281" s="1"/>
      <c r="I281" s="1" t="s">
        <v>5605</v>
      </c>
      <c r="J281" s="3">
        <v>290.55</v>
      </c>
      <c r="K281" s="1"/>
      <c r="L281" s="1"/>
      <c r="M281" s="1"/>
      <c r="N281" s="1"/>
      <c r="O281" s="1"/>
      <c r="P281" s="1"/>
      <c r="Q281" s="1"/>
      <c r="R281" s="1"/>
      <c r="S281" s="1"/>
      <c r="T281" s="1"/>
      <c r="U281" s="1"/>
      <c r="V281" s="1"/>
      <c r="W281" s="1"/>
      <c r="X281" s="1"/>
      <c r="Y281" s="1" t="s">
        <v>5606</v>
      </c>
      <c r="Z281" s="3">
        <v>290.55</v>
      </c>
      <c r="AA281" s="1"/>
      <c r="AB281" s="1"/>
      <c r="AC281" s="1"/>
      <c r="AD281" s="1"/>
      <c r="AE281" s="1" t="s">
        <v>286</v>
      </c>
      <c r="AF281" s="3">
        <v>290.55</v>
      </c>
      <c r="AG281" s="1"/>
      <c r="AH281" s="1"/>
      <c r="AI281" s="1"/>
      <c r="AJ281" s="1"/>
      <c r="AK281" s="1"/>
      <c r="AL281" s="1"/>
      <c r="AM281" s="1" t="s">
        <v>5607</v>
      </c>
      <c r="AN281" s="3">
        <v>290.55</v>
      </c>
      <c r="AO281" s="1"/>
      <c r="AP281" s="1"/>
      <c r="AQ281" s="1"/>
      <c r="AR281" s="1"/>
      <c r="AS281" s="1"/>
      <c r="AT281" s="1"/>
      <c r="AU281" s="1" t="s">
        <v>391</v>
      </c>
      <c r="AV281" s="3">
        <v>290.55</v>
      </c>
      <c r="AW281" s="1" t="s">
        <v>5608</v>
      </c>
      <c r="AX281" s="3">
        <v>290.55</v>
      </c>
      <c r="AY281" s="1"/>
      <c r="AZ281" s="1"/>
      <c r="BA281" s="1"/>
      <c r="BB281" s="1"/>
      <c r="BE281" s="67">
        <f t="shared" si="1"/>
        <v>0</v>
      </c>
    </row>
    <row r="282">
      <c r="A282" s="1"/>
      <c r="B282" s="1"/>
      <c r="C282" s="1"/>
      <c r="D282" s="1"/>
      <c r="E282" s="1"/>
      <c r="F282" s="1"/>
      <c r="G282" s="1"/>
      <c r="H282" s="1"/>
      <c r="I282" s="1" t="s">
        <v>5609</v>
      </c>
      <c r="J282" s="3">
        <v>290.55</v>
      </c>
      <c r="K282" s="1"/>
      <c r="L282" s="1"/>
      <c r="M282" s="1"/>
      <c r="N282" s="1"/>
      <c r="O282" s="1"/>
      <c r="P282" s="1"/>
      <c r="Q282" s="1"/>
      <c r="R282" s="1"/>
      <c r="S282" s="1"/>
      <c r="T282" s="1"/>
      <c r="U282" s="1"/>
      <c r="V282" s="1"/>
      <c r="W282" s="1"/>
      <c r="X282" s="1"/>
      <c r="Y282" s="1" t="s">
        <v>5610</v>
      </c>
      <c r="Z282" s="3">
        <v>290.55</v>
      </c>
      <c r="AA282" s="1"/>
      <c r="AB282" s="1"/>
      <c r="AC282" s="1"/>
      <c r="AD282" s="1"/>
      <c r="AE282" s="1" t="s">
        <v>287</v>
      </c>
      <c r="AF282" s="3">
        <v>290.55</v>
      </c>
      <c r="AG282" s="1"/>
      <c r="AH282" s="1"/>
      <c r="AI282" s="1"/>
      <c r="AJ282" s="1"/>
      <c r="AK282" s="1"/>
      <c r="AL282" s="1"/>
      <c r="AM282" s="1" t="s">
        <v>5611</v>
      </c>
      <c r="AN282" s="3">
        <v>290.55</v>
      </c>
      <c r="AO282" s="1"/>
      <c r="AP282" s="1"/>
      <c r="AQ282" s="1"/>
      <c r="AR282" s="1"/>
      <c r="AS282" s="1"/>
      <c r="AT282" s="1"/>
      <c r="AU282" s="1" t="s">
        <v>5612</v>
      </c>
      <c r="AV282" s="3">
        <v>290.55</v>
      </c>
      <c r="AW282" s="1" t="s">
        <v>5613</v>
      </c>
      <c r="AX282" s="3">
        <v>290.55</v>
      </c>
      <c r="AY282" s="1"/>
      <c r="AZ282" s="1"/>
      <c r="BA282" s="1"/>
      <c r="BB282" s="1"/>
      <c r="BE282" s="67">
        <f t="shared" si="1"/>
        <v>0</v>
      </c>
    </row>
    <row r="283">
      <c r="A283" s="1"/>
      <c r="B283" s="1"/>
      <c r="C283" s="1"/>
      <c r="D283" s="1"/>
      <c r="E283" s="1"/>
      <c r="F283" s="1"/>
      <c r="G283" s="1"/>
      <c r="H283" s="1"/>
      <c r="I283" s="1" t="s">
        <v>4865</v>
      </c>
      <c r="J283" s="3">
        <v>290.55</v>
      </c>
      <c r="K283" s="1"/>
      <c r="L283" s="1"/>
      <c r="M283" s="1"/>
      <c r="N283" s="1"/>
      <c r="O283" s="1"/>
      <c r="P283" s="1"/>
      <c r="Q283" s="1"/>
      <c r="R283" s="1"/>
      <c r="S283" s="1"/>
      <c r="T283" s="1"/>
      <c r="U283" s="1"/>
      <c r="V283" s="1"/>
      <c r="W283" s="1"/>
      <c r="X283" s="1"/>
      <c r="Y283" s="1" t="s">
        <v>5614</v>
      </c>
      <c r="Z283" s="3">
        <v>290.55</v>
      </c>
      <c r="AA283" s="1"/>
      <c r="AB283" s="1"/>
      <c r="AC283" s="1"/>
      <c r="AD283" s="1"/>
      <c r="AE283" s="1" t="s">
        <v>288</v>
      </c>
      <c r="AF283" s="3">
        <v>290.55</v>
      </c>
      <c r="AG283" s="1"/>
      <c r="AH283" s="1"/>
      <c r="AI283" s="1"/>
      <c r="AJ283" s="1"/>
      <c r="AK283" s="1"/>
      <c r="AL283" s="1"/>
      <c r="AM283" s="1" t="s">
        <v>5615</v>
      </c>
      <c r="AN283" s="3">
        <v>290.55</v>
      </c>
      <c r="AO283" s="1"/>
      <c r="AP283" s="1"/>
      <c r="AQ283" s="1"/>
      <c r="AR283" s="1"/>
      <c r="AS283" s="1"/>
      <c r="AT283" s="1"/>
      <c r="AU283" s="1" t="s">
        <v>5616</v>
      </c>
      <c r="AV283" s="3">
        <v>290.55</v>
      </c>
      <c r="AW283" s="1" t="s">
        <v>5617</v>
      </c>
      <c r="AX283" s="3">
        <v>290.55</v>
      </c>
      <c r="AY283" s="1"/>
      <c r="AZ283" s="1"/>
      <c r="BA283" s="1"/>
      <c r="BB283" s="1"/>
      <c r="BE283" s="67">
        <f t="shared" si="1"/>
        <v>0</v>
      </c>
    </row>
    <row r="284">
      <c r="A284" s="1"/>
      <c r="B284" s="1"/>
      <c r="C284" s="1"/>
      <c r="D284" s="1"/>
      <c r="E284" s="1"/>
      <c r="F284" s="1"/>
      <c r="G284" s="1"/>
      <c r="H284" s="1"/>
      <c r="I284" s="1" t="s">
        <v>5618</v>
      </c>
      <c r="J284" s="3">
        <v>290.55</v>
      </c>
      <c r="K284" s="1"/>
      <c r="L284" s="1"/>
      <c r="M284" s="1"/>
      <c r="N284" s="1"/>
      <c r="O284" s="1"/>
      <c r="P284" s="1"/>
      <c r="Q284" s="1"/>
      <c r="R284" s="1"/>
      <c r="S284" s="1"/>
      <c r="T284" s="1"/>
      <c r="U284" s="1"/>
      <c r="V284" s="1"/>
      <c r="W284" s="1"/>
      <c r="X284" s="1"/>
      <c r="Y284" s="1" t="s">
        <v>5619</v>
      </c>
      <c r="Z284" s="3">
        <v>290.55</v>
      </c>
      <c r="AA284" s="1"/>
      <c r="AB284" s="1"/>
      <c r="AC284" s="1"/>
      <c r="AD284" s="1"/>
      <c r="AE284" s="1" t="s">
        <v>289</v>
      </c>
      <c r="AF284" s="3">
        <v>290.55</v>
      </c>
      <c r="AG284" s="1"/>
      <c r="AH284" s="1"/>
      <c r="AI284" s="1"/>
      <c r="AJ284" s="1"/>
      <c r="AK284" s="1"/>
      <c r="AL284" s="1"/>
      <c r="AM284" s="1" t="s">
        <v>5620</v>
      </c>
      <c r="AN284" s="3">
        <v>290.55</v>
      </c>
      <c r="AO284" s="1"/>
      <c r="AP284" s="1"/>
      <c r="AQ284" s="1"/>
      <c r="AR284" s="1"/>
      <c r="AS284" s="1"/>
      <c r="AT284" s="1"/>
      <c r="AU284" s="1" t="s">
        <v>5621</v>
      </c>
      <c r="AV284" s="3">
        <v>290.55</v>
      </c>
      <c r="AW284" s="1" t="s">
        <v>5622</v>
      </c>
      <c r="AX284" s="3">
        <v>290.55</v>
      </c>
      <c r="AY284" s="1"/>
      <c r="AZ284" s="1"/>
      <c r="BA284" s="1"/>
      <c r="BB284" s="1"/>
      <c r="BE284" s="67">
        <f t="shared" si="1"/>
        <v>0</v>
      </c>
    </row>
    <row r="285">
      <c r="A285" s="1"/>
      <c r="B285" s="1"/>
      <c r="C285" s="1"/>
      <c r="D285" s="1"/>
      <c r="E285" s="1"/>
      <c r="F285" s="1"/>
      <c r="G285" s="1"/>
      <c r="H285" s="1"/>
      <c r="I285" s="1" t="s">
        <v>5623</v>
      </c>
      <c r="J285" s="3">
        <v>290.55</v>
      </c>
      <c r="K285" s="1"/>
      <c r="L285" s="1"/>
      <c r="M285" s="1"/>
      <c r="N285" s="1"/>
      <c r="O285" s="1"/>
      <c r="P285" s="1"/>
      <c r="Q285" s="1"/>
      <c r="R285" s="1"/>
      <c r="S285" s="1"/>
      <c r="T285" s="1"/>
      <c r="U285" s="1"/>
      <c r="V285" s="1"/>
      <c r="W285" s="1"/>
      <c r="X285" s="1"/>
      <c r="Y285" s="1" t="s">
        <v>5624</v>
      </c>
      <c r="Z285" s="3">
        <v>290.55</v>
      </c>
      <c r="AA285" s="1"/>
      <c r="AB285" s="1"/>
      <c r="AC285" s="1"/>
      <c r="AD285" s="1"/>
      <c r="AE285" s="1" t="s">
        <v>290</v>
      </c>
      <c r="AF285" s="3">
        <v>290.55</v>
      </c>
      <c r="AG285" s="1"/>
      <c r="AH285" s="1"/>
      <c r="AI285" s="1"/>
      <c r="AJ285" s="1"/>
      <c r="AK285" s="1"/>
      <c r="AL285" s="1"/>
      <c r="AM285" s="1" t="s">
        <v>5625</v>
      </c>
      <c r="AN285" s="3">
        <v>290.55</v>
      </c>
      <c r="AO285" s="1"/>
      <c r="AP285" s="1"/>
      <c r="AQ285" s="1"/>
      <c r="AR285" s="1"/>
      <c r="AS285" s="1"/>
      <c r="AT285" s="1"/>
      <c r="AU285" s="1" t="s">
        <v>5626</v>
      </c>
      <c r="AV285" s="3">
        <v>290.55</v>
      </c>
      <c r="AW285" s="1" t="s">
        <v>5627</v>
      </c>
      <c r="AX285" s="3">
        <v>290.55</v>
      </c>
      <c r="AY285" s="1"/>
      <c r="AZ285" s="1"/>
      <c r="BA285" s="1"/>
      <c r="BB285" s="1"/>
      <c r="BE285" s="67">
        <f t="shared" si="1"/>
        <v>0</v>
      </c>
    </row>
    <row r="286">
      <c r="A286" s="1"/>
      <c r="B286" s="1"/>
      <c r="C286" s="1"/>
      <c r="D286" s="1"/>
      <c r="E286" s="1"/>
      <c r="F286" s="1"/>
      <c r="G286" s="1"/>
      <c r="H286" s="1"/>
      <c r="I286" s="1" t="s">
        <v>5628</v>
      </c>
      <c r="J286" s="3">
        <v>290.55</v>
      </c>
      <c r="K286" s="1"/>
      <c r="L286" s="1"/>
      <c r="M286" s="1"/>
      <c r="N286" s="1"/>
      <c r="O286" s="1"/>
      <c r="P286" s="1"/>
      <c r="Q286" s="1"/>
      <c r="R286" s="1"/>
      <c r="S286" s="1"/>
      <c r="T286" s="1"/>
      <c r="U286" s="1"/>
      <c r="V286" s="1"/>
      <c r="W286" s="1"/>
      <c r="X286" s="1"/>
      <c r="Y286" s="1" t="s">
        <v>5629</v>
      </c>
      <c r="Z286" s="3">
        <v>290.55</v>
      </c>
      <c r="AA286" s="1"/>
      <c r="AB286" s="1"/>
      <c r="AC286" s="1"/>
      <c r="AD286" s="1"/>
      <c r="AE286" s="1" t="s">
        <v>291</v>
      </c>
      <c r="AF286" s="3">
        <v>290.55</v>
      </c>
      <c r="AG286" s="1"/>
      <c r="AH286" s="1"/>
      <c r="AI286" s="1"/>
      <c r="AJ286" s="1"/>
      <c r="AK286" s="1"/>
      <c r="AL286" s="1"/>
      <c r="AM286" s="1" t="s">
        <v>4428</v>
      </c>
      <c r="AN286" s="3">
        <v>290.55</v>
      </c>
      <c r="AO286" s="1"/>
      <c r="AP286" s="1"/>
      <c r="AQ286" s="1"/>
      <c r="AR286" s="1"/>
      <c r="AS286" s="1"/>
      <c r="AT286" s="1"/>
      <c r="AU286" s="1" t="s">
        <v>5630</v>
      </c>
      <c r="AV286" s="3">
        <v>290.55</v>
      </c>
      <c r="AW286" s="1" t="s">
        <v>5631</v>
      </c>
      <c r="AX286" s="3">
        <v>290.55</v>
      </c>
      <c r="AY286" s="1"/>
      <c r="AZ286" s="1"/>
      <c r="BA286" s="1"/>
      <c r="BB286" s="1"/>
      <c r="BE286" s="67">
        <f t="shared" si="1"/>
        <v>0</v>
      </c>
    </row>
    <row r="287">
      <c r="A287" s="1"/>
      <c r="B287" s="1"/>
      <c r="C287" s="1"/>
      <c r="D287" s="1"/>
      <c r="E287" s="1"/>
      <c r="F287" s="1"/>
      <c r="G287" s="1"/>
      <c r="H287" s="1"/>
      <c r="I287" s="1" t="s">
        <v>5632</v>
      </c>
      <c r="J287" s="3">
        <v>290.55</v>
      </c>
      <c r="K287" s="1"/>
      <c r="L287" s="1"/>
      <c r="M287" s="1"/>
      <c r="N287" s="1"/>
      <c r="O287" s="1"/>
      <c r="P287" s="1"/>
      <c r="Q287" s="1"/>
      <c r="R287" s="1"/>
      <c r="S287" s="1"/>
      <c r="T287" s="1"/>
      <c r="U287" s="1"/>
      <c r="V287" s="1"/>
      <c r="W287" s="1"/>
      <c r="X287" s="1"/>
      <c r="Y287" s="1" t="s">
        <v>5633</v>
      </c>
      <c r="Z287" s="3">
        <v>290.55</v>
      </c>
      <c r="AA287" s="1"/>
      <c r="AB287" s="1"/>
      <c r="AC287" s="1"/>
      <c r="AD287" s="1"/>
      <c r="AE287" s="1" t="s">
        <v>292</v>
      </c>
      <c r="AF287" s="3">
        <v>290.55</v>
      </c>
      <c r="AG287" s="1"/>
      <c r="AH287" s="1"/>
      <c r="AI287" s="1"/>
      <c r="AJ287" s="1"/>
      <c r="AK287" s="1"/>
      <c r="AL287" s="1"/>
      <c r="AM287" s="1" t="s">
        <v>5634</v>
      </c>
      <c r="AN287" s="3">
        <v>290.55</v>
      </c>
      <c r="AO287" s="1"/>
      <c r="AP287" s="1"/>
      <c r="AQ287" s="1"/>
      <c r="AR287" s="1"/>
      <c r="AS287" s="1"/>
      <c r="AT287" s="1"/>
      <c r="AU287" s="1" t="s">
        <v>5635</v>
      </c>
      <c r="AV287" s="3">
        <v>290.55</v>
      </c>
      <c r="AW287" s="1" t="s">
        <v>5636</v>
      </c>
      <c r="AX287" s="3">
        <v>290.55</v>
      </c>
      <c r="AY287" s="1"/>
      <c r="AZ287" s="1"/>
      <c r="BA287" s="1"/>
      <c r="BB287" s="1"/>
      <c r="BE287" s="67">
        <f t="shared" si="1"/>
        <v>0</v>
      </c>
    </row>
    <row r="288">
      <c r="A288" s="1"/>
      <c r="B288" s="1"/>
      <c r="C288" s="1"/>
      <c r="D288" s="1"/>
      <c r="E288" s="1"/>
      <c r="F288" s="1"/>
      <c r="G288" s="1"/>
      <c r="H288" s="1"/>
      <c r="I288" s="1" t="s">
        <v>5637</v>
      </c>
      <c r="J288" s="3">
        <v>290.55</v>
      </c>
      <c r="K288" s="1"/>
      <c r="L288" s="1"/>
      <c r="M288" s="1"/>
      <c r="N288" s="1"/>
      <c r="O288" s="1"/>
      <c r="P288" s="1"/>
      <c r="Q288" s="1"/>
      <c r="R288" s="1"/>
      <c r="S288" s="1"/>
      <c r="T288" s="1"/>
      <c r="U288" s="1"/>
      <c r="V288" s="1"/>
      <c r="W288" s="1"/>
      <c r="X288" s="1"/>
      <c r="Y288" s="1" t="s">
        <v>5638</v>
      </c>
      <c r="Z288" s="3">
        <v>290.55</v>
      </c>
      <c r="AA288" s="1"/>
      <c r="AB288" s="1"/>
      <c r="AC288" s="1"/>
      <c r="AD288" s="1"/>
      <c r="AE288" s="1" t="s">
        <v>293</v>
      </c>
      <c r="AF288" s="3">
        <v>290.55</v>
      </c>
      <c r="AG288" s="1"/>
      <c r="AH288" s="1"/>
      <c r="AI288" s="1"/>
      <c r="AJ288" s="1"/>
      <c r="AK288" s="1"/>
      <c r="AL288" s="1"/>
      <c r="AM288" s="1" t="s">
        <v>5639</v>
      </c>
      <c r="AN288" s="3">
        <v>290.55</v>
      </c>
      <c r="AO288" s="1"/>
      <c r="AP288" s="1"/>
      <c r="AQ288" s="1"/>
      <c r="AR288" s="1"/>
      <c r="AS288" s="1"/>
      <c r="AT288" s="1"/>
      <c r="AU288" s="1" t="s">
        <v>5640</v>
      </c>
      <c r="AV288" s="3">
        <v>290.55</v>
      </c>
      <c r="AW288" s="1" t="s">
        <v>4385</v>
      </c>
      <c r="AX288" s="3">
        <v>290.55</v>
      </c>
      <c r="AY288" s="1"/>
      <c r="AZ288" s="1"/>
      <c r="BA288" s="1"/>
      <c r="BB288" s="1"/>
      <c r="BE288" s="67">
        <f t="shared" si="1"/>
        <v>0</v>
      </c>
    </row>
    <row r="289">
      <c r="A289" s="1"/>
      <c r="B289" s="1"/>
      <c r="C289" s="1"/>
      <c r="D289" s="1"/>
      <c r="E289" s="1"/>
      <c r="F289" s="1"/>
      <c r="G289" s="1"/>
      <c r="H289" s="1"/>
      <c r="I289" s="1" t="s">
        <v>5641</v>
      </c>
      <c r="J289" s="3">
        <v>290.55</v>
      </c>
      <c r="K289" s="1"/>
      <c r="L289" s="1"/>
      <c r="M289" s="1"/>
      <c r="N289" s="1"/>
      <c r="O289" s="1"/>
      <c r="P289" s="1"/>
      <c r="Q289" s="1"/>
      <c r="R289" s="1"/>
      <c r="S289" s="1"/>
      <c r="T289" s="1"/>
      <c r="U289" s="1"/>
      <c r="V289" s="1"/>
      <c r="W289" s="1"/>
      <c r="X289" s="1"/>
      <c r="Y289" s="1" t="s">
        <v>5642</v>
      </c>
      <c r="Z289" s="3">
        <v>290.55</v>
      </c>
      <c r="AA289" s="1"/>
      <c r="AB289" s="1"/>
      <c r="AC289" s="1"/>
      <c r="AD289" s="1"/>
      <c r="AE289" s="1" t="s">
        <v>294</v>
      </c>
      <c r="AF289" s="3">
        <v>290.55</v>
      </c>
      <c r="AG289" s="1"/>
      <c r="AH289" s="1"/>
      <c r="AI289" s="1"/>
      <c r="AJ289" s="1"/>
      <c r="AK289" s="1"/>
      <c r="AL289" s="1"/>
      <c r="AM289" s="1" t="s">
        <v>5643</v>
      </c>
      <c r="AN289" s="3">
        <v>290.55</v>
      </c>
      <c r="AO289" s="1"/>
      <c r="AP289" s="1"/>
      <c r="AQ289" s="1"/>
      <c r="AR289" s="1"/>
      <c r="AS289" s="1"/>
      <c r="AT289" s="1"/>
      <c r="AU289" s="1" t="s">
        <v>5644</v>
      </c>
      <c r="AV289" s="3">
        <v>290.55</v>
      </c>
      <c r="AW289" s="1" t="s">
        <v>5645</v>
      </c>
      <c r="AX289" s="3">
        <v>290.55</v>
      </c>
      <c r="AY289" s="1"/>
      <c r="AZ289" s="1"/>
      <c r="BA289" s="1"/>
      <c r="BB289" s="1"/>
      <c r="BE289" s="67">
        <f t="shared" si="1"/>
        <v>0</v>
      </c>
    </row>
    <row r="290">
      <c r="A290" s="1"/>
      <c r="B290" s="1"/>
      <c r="C290" s="1"/>
      <c r="D290" s="1"/>
      <c r="E290" s="1"/>
      <c r="F290" s="1"/>
      <c r="G290" s="1"/>
      <c r="H290" s="1"/>
      <c r="I290" s="1" t="s">
        <v>5646</v>
      </c>
      <c r="J290" s="3">
        <v>290.55</v>
      </c>
      <c r="K290" s="1"/>
      <c r="L290" s="1"/>
      <c r="M290" s="1"/>
      <c r="N290" s="1"/>
      <c r="O290" s="1"/>
      <c r="P290" s="1"/>
      <c r="Q290" s="1"/>
      <c r="R290" s="1"/>
      <c r="S290" s="1"/>
      <c r="T290" s="1"/>
      <c r="U290" s="1"/>
      <c r="V290" s="1"/>
      <c r="W290" s="1"/>
      <c r="X290" s="1"/>
      <c r="Y290" s="1" t="s">
        <v>5647</v>
      </c>
      <c r="Z290" s="3">
        <v>290.55</v>
      </c>
      <c r="AA290" s="1"/>
      <c r="AB290" s="1"/>
      <c r="AC290" s="1"/>
      <c r="AD290" s="1"/>
      <c r="AE290" s="1" t="s">
        <v>295</v>
      </c>
      <c r="AF290" s="3">
        <v>290.55</v>
      </c>
      <c r="AG290" s="1"/>
      <c r="AH290" s="1"/>
      <c r="AI290" s="1"/>
      <c r="AJ290" s="1"/>
      <c r="AK290" s="1"/>
      <c r="AL290" s="1"/>
      <c r="AM290" s="1" t="s">
        <v>5648</v>
      </c>
      <c r="AN290" s="3">
        <v>290.55</v>
      </c>
      <c r="AO290" s="1"/>
      <c r="AP290" s="1"/>
      <c r="AQ290" s="1"/>
      <c r="AR290" s="1"/>
      <c r="AS290" s="1"/>
      <c r="AT290" s="1"/>
      <c r="AU290" s="1" t="s">
        <v>1601</v>
      </c>
      <c r="AV290" s="3">
        <v>290.55</v>
      </c>
      <c r="AW290" s="1" t="s">
        <v>5649</v>
      </c>
      <c r="AX290" s="3">
        <v>290.55</v>
      </c>
      <c r="AY290" s="1"/>
      <c r="AZ290" s="1"/>
      <c r="BA290" s="1"/>
      <c r="BB290" s="1"/>
      <c r="BE290" s="67">
        <f t="shared" si="1"/>
        <v>0</v>
      </c>
    </row>
    <row r="291">
      <c r="A291" s="1"/>
      <c r="B291" s="1"/>
      <c r="C291" s="1"/>
      <c r="D291" s="1"/>
      <c r="E291" s="1"/>
      <c r="F291" s="1"/>
      <c r="G291" s="1"/>
      <c r="H291" s="1"/>
      <c r="I291" s="1" t="s">
        <v>5650</v>
      </c>
      <c r="J291" s="3">
        <v>290.55</v>
      </c>
      <c r="K291" s="1"/>
      <c r="L291" s="1"/>
      <c r="M291" s="1"/>
      <c r="N291" s="1"/>
      <c r="O291" s="1"/>
      <c r="P291" s="1"/>
      <c r="Q291" s="1"/>
      <c r="R291" s="1"/>
      <c r="S291" s="1"/>
      <c r="T291" s="1"/>
      <c r="U291" s="1"/>
      <c r="V291" s="1"/>
      <c r="W291" s="1"/>
      <c r="X291" s="1"/>
      <c r="Y291" s="1" t="s">
        <v>5651</v>
      </c>
      <c r="Z291" s="3">
        <v>290.55</v>
      </c>
      <c r="AA291" s="1"/>
      <c r="AB291" s="1"/>
      <c r="AC291" s="1"/>
      <c r="AD291" s="1"/>
      <c r="AE291" s="1" t="s">
        <v>296</v>
      </c>
      <c r="AF291" s="3">
        <v>290.55</v>
      </c>
      <c r="AG291" s="1"/>
      <c r="AH291" s="1"/>
      <c r="AI291" s="1"/>
      <c r="AJ291" s="1"/>
      <c r="AK291" s="1"/>
      <c r="AL291" s="1"/>
      <c r="AM291" s="1" t="s">
        <v>5652</v>
      </c>
      <c r="AN291" s="3">
        <v>290.55</v>
      </c>
      <c r="AO291" s="1"/>
      <c r="AP291" s="1"/>
      <c r="AQ291" s="1"/>
      <c r="AR291" s="1"/>
      <c r="AS291" s="1"/>
      <c r="AT291" s="1"/>
      <c r="AU291" s="1" t="s">
        <v>5653</v>
      </c>
      <c r="AV291" s="3">
        <v>290.55</v>
      </c>
      <c r="AW291" s="1" t="s">
        <v>5654</v>
      </c>
      <c r="AX291" s="3">
        <v>290.55</v>
      </c>
      <c r="AY291" s="1"/>
      <c r="AZ291" s="1"/>
      <c r="BA291" s="1"/>
      <c r="BB291" s="1"/>
      <c r="BE291" s="67">
        <f t="shared" si="1"/>
        <v>0</v>
      </c>
    </row>
    <row r="292">
      <c r="A292" s="1"/>
      <c r="B292" s="1"/>
      <c r="C292" s="1"/>
      <c r="D292" s="1"/>
      <c r="E292" s="1"/>
      <c r="F292" s="1"/>
      <c r="G292" s="1"/>
      <c r="H292" s="1"/>
      <c r="I292" s="1" t="s">
        <v>5655</v>
      </c>
      <c r="J292" s="3">
        <v>290.55</v>
      </c>
      <c r="K292" s="1"/>
      <c r="L292" s="1"/>
      <c r="M292" s="1"/>
      <c r="N292" s="1"/>
      <c r="O292" s="1"/>
      <c r="P292" s="1"/>
      <c r="Q292" s="1"/>
      <c r="R292" s="1"/>
      <c r="S292" s="1"/>
      <c r="T292" s="1"/>
      <c r="U292" s="1"/>
      <c r="V292" s="1"/>
      <c r="W292" s="1"/>
      <c r="X292" s="1"/>
      <c r="Y292" s="1" t="s">
        <v>5656</v>
      </c>
      <c r="Z292" s="3">
        <v>290.55</v>
      </c>
      <c r="AA292" s="1"/>
      <c r="AB292" s="1"/>
      <c r="AC292" s="1"/>
      <c r="AD292" s="1"/>
      <c r="AE292" s="1" t="s">
        <v>297</v>
      </c>
      <c r="AF292" s="3">
        <v>290.55</v>
      </c>
      <c r="AG292" s="1"/>
      <c r="AH292" s="1"/>
      <c r="AI292" s="1"/>
      <c r="AJ292" s="1"/>
      <c r="AK292" s="1"/>
      <c r="AL292" s="1"/>
      <c r="AM292" s="1" t="s">
        <v>5657</v>
      </c>
      <c r="AN292" s="3">
        <v>290.55</v>
      </c>
      <c r="AO292" s="1"/>
      <c r="AP292" s="1"/>
      <c r="AQ292" s="1"/>
      <c r="AR292" s="1"/>
      <c r="AS292" s="1"/>
      <c r="AT292" s="1"/>
      <c r="AU292" s="1" t="s">
        <v>5658</v>
      </c>
      <c r="AV292" s="3">
        <v>290.55</v>
      </c>
      <c r="AW292" s="1" t="s">
        <v>5659</v>
      </c>
      <c r="AX292" s="3">
        <v>290.55</v>
      </c>
      <c r="AY292" s="1"/>
      <c r="AZ292" s="1"/>
      <c r="BA292" s="1"/>
      <c r="BB292" s="1"/>
      <c r="BE292" s="67">
        <f t="shared" si="1"/>
        <v>0</v>
      </c>
    </row>
    <row r="293">
      <c r="A293" s="1"/>
      <c r="B293" s="1"/>
      <c r="C293" s="1"/>
      <c r="D293" s="1"/>
      <c r="E293" s="1"/>
      <c r="F293" s="1"/>
      <c r="G293" s="1"/>
      <c r="H293" s="1"/>
      <c r="I293" s="1" t="s">
        <v>5660</v>
      </c>
      <c r="J293" s="3">
        <v>290.55</v>
      </c>
      <c r="K293" s="1"/>
      <c r="L293" s="1"/>
      <c r="M293" s="1"/>
      <c r="N293" s="1"/>
      <c r="O293" s="1"/>
      <c r="P293" s="1"/>
      <c r="Q293" s="1"/>
      <c r="R293" s="1"/>
      <c r="S293" s="1"/>
      <c r="T293" s="1"/>
      <c r="U293" s="1"/>
      <c r="V293" s="1"/>
      <c r="W293" s="1"/>
      <c r="X293" s="1"/>
      <c r="Y293" s="1" t="s">
        <v>3662</v>
      </c>
      <c r="Z293" s="3">
        <v>290.55</v>
      </c>
      <c r="AA293" s="1"/>
      <c r="AB293" s="1"/>
      <c r="AC293" s="1"/>
      <c r="AD293" s="1"/>
      <c r="AE293" s="1" t="s">
        <v>298</v>
      </c>
      <c r="AF293" s="3">
        <v>290.55</v>
      </c>
      <c r="AG293" s="1"/>
      <c r="AH293" s="1"/>
      <c r="AI293" s="1"/>
      <c r="AJ293" s="1"/>
      <c r="AK293" s="1"/>
      <c r="AL293" s="1"/>
      <c r="AM293" s="1" t="s">
        <v>5661</v>
      </c>
      <c r="AN293" s="3">
        <v>290.55</v>
      </c>
      <c r="AO293" s="1"/>
      <c r="AP293" s="1"/>
      <c r="AQ293" s="1"/>
      <c r="AR293" s="1"/>
      <c r="AS293" s="1"/>
      <c r="AT293" s="1"/>
      <c r="AU293" s="1" t="s">
        <v>5662</v>
      </c>
      <c r="AV293" s="3">
        <v>290.55</v>
      </c>
      <c r="AW293" s="1" t="s">
        <v>5663</v>
      </c>
      <c r="AX293" s="3">
        <v>290.55</v>
      </c>
      <c r="AY293" s="1"/>
      <c r="AZ293" s="1"/>
      <c r="BA293" s="1"/>
      <c r="BB293" s="1"/>
      <c r="BE293" s="67">
        <f t="shared" si="1"/>
        <v>0</v>
      </c>
    </row>
    <row r="294">
      <c r="A294" s="1"/>
      <c r="B294" s="1"/>
      <c r="C294" s="1"/>
      <c r="D294" s="1"/>
      <c r="E294" s="1"/>
      <c r="F294" s="1"/>
      <c r="G294" s="1"/>
      <c r="H294" s="1"/>
      <c r="I294" s="1" t="s">
        <v>5664</v>
      </c>
      <c r="J294" s="3">
        <v>290.55</v>
      </c>
      <c r="K294" s="1"/>
      <c r="L294" s="1"/>
      <c r="M294" s="1"/>
      <c r="N294" s="1"/>
      <c r="O294" s="1"/>
      <c r="P294" s="1"/>
      <c r="Q294" s="1"/>
      <c r="R294" s="1"/>
      <c r="S294" s="1"/>
      <c r="T294" s="1"/>
      <c r="U294" s="1"/>
      <c r="V294" s="1"/>
      <c r="W294" s="1"/>
      <c r="X294" s="1"/>
      <c r="Y294" s="1" t="s">
        <v>5665</v>
      </c>
      <c r="Z294" s="3">
        <v>290.55</v>
      </c>
      <c r="AA294" s="1"/>
      <c r="AB294" s="1"/>
      <c r="AC294" s="1"/>
      <c r="AD294" s="1"/>
      <c r="AE294" s="1" t="s">
        <v>299</v>
      </c>
      <c r="AF294" s="3">
        <v>290.55</v>
      </c>
      <c r="AG294" s="1"/>
      <c r="AH294" s="1"/>
      <c r="AI294" s="1"/>
      <c r="AJ294" s="1"/>
      <c r="AK294" s="1"/>
      <c r="AL294" s="1"/>
      <c r="AM294" s="1" t="s">
        <v>5666</v>
      </c>
      <c r="AN294" s="3">
        <v>290.55</v>
      </c>
      <c r="AO294" s="1"/>
      <c r="AP294" s="1"/>
      <c r="AQ294" s="1"/>
      <c r="AR294" s="1"/>
      <c r="AS294" s="1"/>
      <c r="AT294" s="1"/>
      <c r="AU294" s="1" t="s">
        <v>5667</v>
      </c>
      <c r="AV294" s="3">
        <v>290.55</v>
      </c>
      <c r="AW294" s="1" t="s">
        <v>5668</v>
      </c>
      <c r="AX294" s="3">
        <v>290.55</v>
      </c>
      <c r="AY294" s="1"/>
      <c r="AZ294" s="1"/>
      <c r="BA294" s="1"/>
      <c r="BB294" s="1"/>
      <c r="BE294" s="67">
        <f t="shared" si="1"/>
        <v>0</v>
      </c>
    </row>
    <row r="295">
      <c r="A295" s="1"/>
      <c r="B295" s="1"/>
      <c r="C295" s="1"/>
      <c r="D295" s="1"/>
      <c r="E295" s="1"/>
      <c r="F295" s="1"/>
      <c r="G295" s="1"/>
      <c r="H295" s="1"/>
      <c r="I295" s="1" t="s">
        <v>5669</v>
      </c>
      <c r="J295" s="3">
        <v>290.55</v>
      </c>
      <c r="K295" s="1"/>
      <c r="L295" s="1"/>
      <c r="M295" s="1"/>
      <c r="N295" s="1"/>
      <c r="O295" s="1"/>
      <c r="P295" s="1"/>
      <c r="Q295" s="1"/>
      <c r="R295" s="1"/>
      <c r="S295" s="1"/>
      <c r="T295" s="1"/>
      <c r="U295" s="1"/>
      <c r="V295" s="1"/>
      <c r="W295" s="1"/>
      <c r="X295" s="1"/>
      <c r="Y295" s="1" t="s">
        <v>5670</v>
      </c>
      <c r="Z295" s="3">
        <v>290.55</v>
      </c>
      <c r="AA295" s="1"/>
      <c r="AB295" s="1"/>
      <c r="AC295" s="1"/>
      <c r="AD295" s="1"/>
      <c r="AE295" s="1" t="s">
        <v>300</v>
      </c>
      <c r="AF295" s="3">
        <v>290.55</v>
      </c>
      <c r="AG295" s="1"/>
      <c r="AH295" s="1"/>
      <c r="AI295" s="1"/>
      <c r="AJ295" s="1"/>
      <c r="AK295" s="1"/>
      <c r="AL295" s="1"/>
      <c r="AM295" s="1" t="s">
        <v>5671</v>
      </c>
      <c r="AN295" s="3">
        <v>290.55</v>
      </c>
      <c r="AO295" s="1"/>
      <c r="AP295" s="1"/>
      <c r="AQ295" s="1"/>
      <c r="AR295" s="1"/>
      <c r="AS295" s="1"/>
      <c r="AT295" s="1"/>
      <c r="AU295" s="1" t="s">
        <v>5672</v>
      </c>
      <c r="AV295" s="3">
        <v>290.55</v>
      </c>
      <c r="AW295" s="1" t="s">
        <v>5673</v>
      </c>
      <c r="AX295" s="3">
        <v>290.55</v>
      </c>
      <c r="AY295" s="1"/>
      <c r="AZ295" s="1"/>
      <c r="BA295" s="1"/>
      <c r="BB295" s="1"/>
      <c r="BE295" s="67">
        <f t="shared" si="1"/>
        <v>0</v>
      </c>
    </row>
    <row r="296">
      <c r="A296" s="1"/>
      <c r="B296" s="1"/>
      <c r="C296" s="1"/>
      <c r="D296" s="1"/>
      <c r="E296" s="1"/>
      <c r="F296" s="1"/>
      <c r="G296" s="1"/>
      <c r="H296" s="1"/>
      <c r="I296" s="1" t="s">
        <v>5674</v>
      </c>
      <c r="J296" s="3">
        <v>290.55</v>
      </c>
      <c r="K296" s="1"/>
      <c r="L296" s="1"/>
      <c r="M296" s="1"/>
      <c r="N296" s="1"/>
      <c r="O296" s="1"/>
      <c r="P296" s="1"/>
      <c r="Q296" s="1"/>
      <c r="R296" s="1"/>
      <c r="S296" s="1"/>
      <c r="T296" s="1"/>
      <c r="U296" s="1"/>
      <c r="V296" s="1"/>
      <c r="W296" s="1"/>
      <c r="X296" s="1"/>
      <c r="Y296" s="1" t="s">
        <v>5675</v>
      </c>
      <c r="Z296" s="3">
        <v>290.55</v>
      </c>
      <c r="AA296" s="1"/>
      <c r="AB296" s="1"/>
      <c r="AC296" s="1"/>
      <c r="AD296" s="1"/>
      <c r="AE296" s="1" t="s">
        <v>301</v>
      </c>
      <c r="AF296" s="3">
        <v>290.55</v>
      </c>
      <c r="AG296" s="1"/>
      <c r="AH296" s="1"/>
      <c r="AI296" s="1"/>
      <c r="AJ296" s="1"/>
      <c r="AK296" s="1"/>
      <c r="AL296" s="1"/>
      <c r="AM296" s="1" t="s">
        <v>5676</v>
      </c>
      <c r="AN296" s="3">
        <v>290.55</v>
      </c>
      <c r="AO296" s="1"/>
      <c r="AP296" s="1"/>
      <c r="AQ296" s="1"/>
      <c r="AR296" s="1"/>
      <c r="AS296" s="1"/>
      <c r="AT296" s="1"/>
      <c r="AU296" s="1" t="s">
        <v>5677</v>
      </c>
      <c r="AV296" s="3">
        <v>290.55</v>
      </c>
      <c r="AW296" s="1" t="s">
        <v>5678</v>
      </c>
      <c r="AX296" s="3">
        <v>290.55</v>
      </c>
      <c r="AY296" s="1"/>
      <c r="AZ296" s="1"/>
      <c r="BA296" s="1"/>
      <c r="BB296" s="1"/>
      <c r="BE296" s="67">
        <f t="shared" si="1"/>
        <v>0</v>
      </c>
    </row>
    <row r="297">
      <c r="A297" s="1"/>
      <c r="B297" s="1"/>
      <c r="C297" s="1"/>
      <c r="D297" s="1"/>
      <c r="E297" s="1"/>
      <c r="F297" s="1"/>
      <c r="G297" s="1"/>
      <c r="H297" s="1"/>
      <c r="I297" s="1" t="s">
        <v>5679</v>
      </c>
      <c r="J297" s="3">
        <v>290.55</v>
      </c>
      <c r="K297" s="1"/>
      <c r="L297" s="1"/>
      <c r="M297" s="1"/>
      <c r="N297" s="1"/>
      <c r="O297" s="1"/>
      <c r="P297" s="1"/>
      <c r="Q297" s="1"/>
      <c r="R297" s="1"/>
      <c r="S297" s="1"/>
      <c r="T297" s="1"/>
      <c r="U297" s="1"/>
      <c r="V297" s="1"/>
      <c r="W297" s="1"/>
      <c r="X297" s="1"/>
      <c r="Y297" s="1" t="s">
        <v>5680</v>
      </c>
      <c r="Z297" s="3">
        <v>290.55</v>
      </c>
      <c r="AA297" s="1"/>
      <c r="AB297" s="1"/>
      <c r="AC297" s="1"/>
      <c r="AD297" s="1"/>
      <c r="AE297" s="1" t="s">
        <v>302</v>
      </c>
      <c r="AF297" s="3">
        <v>290.55</v>
      </c>
      <c r="AG297" s="1"/>
      <c r="AH297" s="1"/>
      <c r="AI297" s="1"/>
      <c r="AJ297" s="1"/>
      <c r="AK297" s="1"/>
      <c r="AL297" s="1"/>
      <c r="AM297" s="1" t="s">
        <v>5681</v>
      </c>
      <c r="AN297" s="3">
        <v>290.55</v>
      </c>
      <c r="AO297" s="1"/>
      <c r="AP297" s="1"/>
      <c r="AQ297" s="1"/>
      <c r="AR297" s="1"/>
      <c r="AS297" s="1"/>
      <c r="AT297" s="1"/>
      <c r="AU297" s="1"/>
      <c r="AV297" s="1"/>
      <c r="AW297" s="1" t="s">
        <v>5682</v>
      </c>
      <c r="AX297" s="3">
        <v>290.55</v>
      </c>
      <c r="AY297" s="1"/>
      <c r="AZ297" s="1"/>
      <c r="BA297" s="1"/>
      <c r="BB297" s="1"/>
      <c r="BE297" s="67">
        <f t="shared" si="1"/>
        <v>0</v>
      </c>
    </row>
    <row r="298">
      <c r="A298" s="1"/>
      <c r="B298" s="1"/>
      <c r="C298" s="1"/>
      <c r="D298" s="1"/>
      <c r="E298" s="1"/>
      <c r="F298" s="1"/>
      <c r="G298" s="1"/>
      <c r="H298" s="1"/>
      <c r="I298" s="1" t="s">
        <v>5683</v>
      </c>
      <c r="J298" s="3">
        <v>290.55</v>
      </c>
      <c r="K298" s="1"/>
      <c r="L298" s="1"/>
      <c r="M298" s="1"/>
      <c r="N298" s="1"/>
      <c r="O298" s="1"/>
      <c r="P298" s="1"/>
      <c r="Q298" s="1"/>
      <c r="R298" s="1"/>
      <c r="S298" s="1"/>
      <c r="T298" s="1"/>
      <c r="U298" s="1"/>
      <c r="V298" s="1"/>
      <c r="W298" s="1"/>
      <c r="X298" s="1"/>
      <c r="Y298" s="1" t="s">
        <v>5684</v>
      </c>
      <c r="Z298" s="3">
        <v>290.55</v>
      </c>
      <c r="AA298" s="1"/>
      <c r="AB298" s="1"/>
      <c r="AC298" s="1"/>
      <c r="AD298" s="1"/>
      <c r="AE298" s="1" t="s">
        <v>303</v>
      </c>
      <c r="AF298" s="3">
        <v>290.55</v>
      </c>
      <c r="AG298" s="1"/>
      <c r="AH298" s="1"/>
      <c r="AI298" s="1"/>
      <c r="AJ298" s="1"/>
      <c r="AK298" s="1"/>
      <c r="AL298" s="1"/>
      <c r="AM298" s="1" t="s">
        <v>5685</v>
      </c>
      <c r="AN298" s="3">
        <v>290.55</v>
      </c>
      <c r="AO298" s="1"/>
      <c r="AP298" s="1"/>
      <c r="AQ298" s="1"/>
      <c r="AR298" s="1"/>
      <c r="AS298" s="1"/>
      <c r="AT298" s="1"/>
      <c r="AU298" s="1"/>
      <c r="AV298" s="1"/>
      <c r="AW298" s="1" t="s">
        <v>5686</v>
      </c>
      <c r="AX298" s="3">
        <v>290.55</v>
      </c>
      <c r="AY298" s="1"/>
      <c r="AZ298" s="1"/>
      <c r="BA298" s="1"/>
      <c r="BB298" s="1"/>
      <c r="BE298" s="67">
        <f t="shared" si="1"/>
        <v>0</v>
      </c>
    </row>
    <row r="299">
      <c r="A299" s="1"/>
      <c r="B299" s="1"/>
      <c r="C299" s="1"/>
      <c r="D299" s="1"/>
      <c r="E299" s="1"/>
      <c r="F299" s="1"/>
      <c r="G299" s="1"/>
      <c r="H299" s="1"/>
      <c r="I299" s="1" t="s">
        <v>5687</v>
      </c>
      <c r="J299" s="3">
        <v>290.55</v>
      </c>
      <c r="K299" s="1"/>
      <c r="L299" s="1"/>
      <c r="M299" s="1"/>
      <c r="N299" s="1"/>
      <c r="O299" s="1"/>
      <c r="P299" s="1"/>
      <c r="Q299" s="1"/>
      <c r="R299" s="1"/>
      <c r="S299" s="1"/>
      <c r="T299" s="1"/>
      <c r="U299" s="1"/>
      <c r="V299" s="1"/>
      <c r="W299" s="1"/>
      <c r="X299" s="1"/>
      <c r="Y299" s="1" t="s">
        <v>5688</v>
      </c>
      <c r="Z299" s="3">
        <v>290.55</v>
      </c>
      <c r="AA299" s="1"/>
      <c r="AB299" s="1"/>
      <c r="AC299" s="1"/>
      <c r="AD299" s="1"/>
      <c r="AE299" s="1" t="s">
        <v>304</v>
      </c>
      <c r="AF299" s="3">
        <v>290.55</v>
      </c>
      <c r="AG299" s="1"/>
      <c r="AH299" s="1"/>
      <c r="AI299" s="1"/>
      <c r="AJ299" s="1"/>
      <c r="AK299" s="1"/>
      <c r="AL299" s="1"/>
      <c r="AM299" s="1" t="s">
        <v>5689</v>
      </c>
      <c r="AN299" s="3">
        <v>290.55</v>
      </c>
      <c r="AO299" s="1"/>
      <c r="AP299" s="1"/>
      <c r="AQ299" s="1"/>
      <c r="AR299" s="1"/>
      <c r="AS299" s="1"/>
      <c r="AT299" s="1"/>
      <c r="AU299" s="1"/>
      <c r="AV299" s="1"/>
      <c r="AW299" s="1" t="s">
        <v>5690</v>
      </c>
      <c r="AX299" s="3">
        <v>290.55</v>
      </c>
      <c r="AY299" s="1"/>
      <c r="AZ299" s="1"/>
      <c r="BA299" s="1"/>
      <c r="BB299" s="1"/>
      <c r="BE299" s="67">
        <f t="shared" si="1"/>
        <v>0</v>
      </c>
    </row>
    <row r="300">
      <c r="A300" s="1"/>
      <c r="B300" s="1"/>
      <c r="C300" s="1"/>
      <c r="D300" s="1"/>
      <c r="E300" s="1"/>
      <c r="F300" s="1"/>
      <c r="G300" s="1"/>
      <c r="H300" s="1"/>
      <c r="I300" s="1" t="s">
        <v>5691</v>
      </c>
      <c r="J300" s="3">
        <v>290.55</v>
      </c>
      <c r="K300" s="1"/>
      <c r="L300" s="1"/>
      <c r="M300" s="1"/>
      <c r="N300" s="1"/>
      <c r="O300" s="1"/>
      <c r="P300" s="1"/>
      <c r="Q300" s="1"/>
      <c r="R300" s="1"/>
      <c r="S300" s="1"/>
      <c r="T300" s="1"/>
      <c r="U300" s="1"/>
      <c r="V300" s="1"/>
      <c r="W300" s="1"/>
      <c r="X300" s="1"/>
      <c r="Y300" s="1" t="s">
        <v>5692</v>
      </c>
      <c r="Z300" s="3">
        <v>290.55</v>
      </c>
      <c r="AA300" s="1"/>
      <c r="AB300" s="1"/>
      <c r="AC300" s="1"/>
      <c r="AD300" s="1"/>
      <c r="AE300" s="1" t="s">
        <v>5693</v>
      </c>
      <c r="AF300" s="3">
        <v>290.55</v>
      </c>
      <c r="AG300" s="1"/>
      <c r="AH300" s="1"/>
      <c r="AI300" s="1"/>
      <c r="AJ300" s="1"/>
      <c r="AK300" s="1"/>
      <c r="AL300" s="1"/>
      <c r="AM300" s="1" t="s">
        <v>5694</v>
      </c>
      <c r="AN300" s="3">
        <v>290.55</v>
      </c>
      <c r="AO300" s="1"/>
      <c r="AP300" s="1"/>
      <c r="AQ300" s="1"/>
      <c r="AR300" s="1"/>
      <c r="AS300" s="1"/>
      <c r="AT300" s="1"/>
      <c r="AU300" s="1"/>
      <c r="AV300" s="1"/>
      <c r="AW300" s="1" t="s">
        <v>5695</v>
      </c>
      <c r="AX300" s="3">
        <v>290.55</v>
      </c>
      <c r="AY300" s="1"/>
      <c r="AZ300" s="1"/>
      <c r="BA300" s="1"/>
      <c r="BB300" s="1"/>
      <c r="BE300" s="67">
        <f t="shared" si="1"/>
        <v>0</v>
      </c>
    </row>
    <row r="301">
      <c r="A301" s="1"/>
      <c r="B301" s="1"/>
      <c r="C301" s="1"/>
      <c r="D301" s="1"/>
      <c r="E301" s="1"/>
      <c r="F301" s="1"/>
      <c r="G301" s="1"/>
      <c r="H301" s="1"/>
      <c r="I301" s="1" t="s">
        <v>5696</v>
      </c>
      <c r="J301" s="3">
        <v>290.55</v>
      </c>
      <c r="K301" s="1"/>
      <c r="L301" s="1"/>
      <c r="M301" s="1"/>
      <c r="N301" s="1"/>
      <c r="O301" s="1"/>
      <c r="P301" s="1"/>
      <c r="Q301" s="1"/>
      <c r="R301" s="1"/>
      <c r="S301" s="1"/>
      <c r="T301" s="1"/>
      <c r="U301" s="1"/>
      <c r="V301" s="1"/>
      <c r="W301" s="1"/>
      <c r="X301" s="1"/>
      <c r="Y301" s="1" t="s">
        <v>5697</v>
      </c>
      <c r="Z301" s="3">
        <v>290.55</v>
      </c>
      <c r="AA301" s="1"/>
      <c r="AB301" s="1"/>
      <c r="AC301" s="1"/>
      <c r="AD301" s="1"/>
      <c r="AE301" s="1" t="s">
        <v>306</v>
      </c>
      <c r="AF301" s="3">
        <v>290.55</v>
      </c>
      <c r="AG301" s="1"/>
      <c r="AH301" s="1"/>
      <c r="AI301" s="1"/>
      <c r="AJ301" s="1"/>
      <c r="AK301" s="1"/>
      <c r="AL301" s="1"/>
      <c r="AM301" s="1" t="s">
        <v>5698</v>
      </c>
      <c r="AN301" s="3">
        <v>290.55</v>
      </c>
      <c r="AO301" s="1"/>
      <c r="AP301" s="1"/>
      <c r="AQ301" s="1"/>
      <c r="AR301" s="1"/>
      <c r="AS301" s="1"/>
      <c r="AT301" s="1"/>
      <c r="AU301" s="1"/>
      <c r="AV301" s="1"/>
      <c r="AW301" s="1" t="s">
        <v>5699</v>
      </c>
      <c r="AX301" s="3">
        <v>290.55</v>
      </c>
      <c r="AY301" s="1"/>
      <c r="AZ301" s="1"/>
      <c r="BA301" s="1"/>
      <c r="BB301" s="1"/>
      <c r="BE301" s="67">
        <f t="shared" si="1"/>
        <v>0</v>
      </c>
    </row>
    <row r="302">
      <c r="A302" s="1"/>
      <c r="B302" s="1"/>
      <c r="C302" s="1"/>
      <c r="D302" s="1"/>
      <c r="E302" s="1"/>
      <c r="F302" s="1"/>
      <c r="G302" s="1"/>
      <c r="H302" s="1"/>
      <c r="I302" s="1" t="s">
        <v>5700</v>
      </c>
      <c r="J302" s="3">
        <v>290.55</v>
      </c>
      <c r="K302" s="1"/>
      <c r="L302" s="1"/>
      <c r="M302" s="1"/>
      <c r="N302" s="1"/>
      <c r="O302" s="1"/>
      <c r="P302" s="1"/>
      <c r="Q302" s="1"/>
      <c r="R302" s="1"/>
      <c r="S302" s="1"/>
      <c r="T302" s="1"/>
      <c r="U302" s="1"/>
      <c r="V302" s="1"/>
      <c r="W302" s="1"/>
      <c r="X302" s="1"/>
      <c r="Y302" s="1" t="s">
        <v>5701</v>
      </c>
      <c r="Z302" s="3">
        <v>290.55</v>
      </c>
      <c r="AA302" s="1"/>
      <c r="AB302" s="1"/>
      <c r="AC302" s="1"/>
      <c r="AD302" s="1"/>
      <c r="AE302" s="1" t="s">
        <v>307</v>
      </c>
      <c r="AF302" s="3">
        <v>290.55</v>
      </c>
      <c r="AG302" s="1"/>
      <c r="AH302" s="1"/>
      <c r="AI302" s="1"/>
      <c r="AJ302" s="1"/>
      <c r="AK302" s="1"/>
      <c r="AL302" s="1"/>
      <c r="AM302" s="1" t="s">
        <v>5702</v>
      </c>
      <c r="AN302" s="3">
        <v>290.55</v>
      </c>
      <c r="AO302" s="1"/>
      <c r="AP302" s="1"/>
      <c r="AQ302" s="1"/>
      <c r="AR302" s="1"/>
      <c r="AS302" s="1"/>
      <c r="AT302" s="1"/>
      <c r="AU302" s="1"/>
      <c r="AV302" s="1"/>
      <c r="AW302" s="1" t="s">
        <v>5703</v>
      </c>
      <c r="AX302" s="3">
        <v>290.55</v>
      </c>
      <c r="AY302" s="1"/>
      <c r="AZ302" s="1"/>
      <c r="BA302" s="1"/>
      <c r="BB302" s="1"/>
      <c r="BE302" s="67">
        <f t="shared" si="1"/>
        <v>0</v>
      </c>
    </row>
    <row r="303">
      <c r="A303" s="1"/>
      <c r="B303" s="1"/>
      <c r="C303" s="1"/>
      <c r="D303" s="1"/>
      <c r="E303" s="1"/>
      <c r="F303" s="1"/>
      <c r="G303" s="1"/>
      <c r="H303" s="1"/>
      <c r="I303" s="1" t="s">
        <v>5704</v>
      </c>
      <c r="J303" s="3">
        <v>290.55</v>
      </c>
      <c r="K303" s="1"/>
      <c r="L303" s="1"/>
      <c r="M303" s="1"/>
      <c r="N303" s="1"/>
      <c r="O303" s="1"/>
      <c r="P303" s="1"/>
      <c r="Q303" s="1"/>
      <c r="R303" s="1"/>
      <c r="S303" s="1"/>
      <c r="T303" s="1"/>
      <c r="U303" s="1"/>
      <c r="V303" s="1"/>
      <c r="W303" s="1"/>
      <c r="X303" s="1"/>
      <c r="Y303" s="1" t="s">
        <v>5705</v>
      </c>
      <c r="Z303" s="3">
        <v>290.55</v>
      </c>
      <c r="AA303" s="1"/>
      <c r="AB303" s="1"/>
      <c r="AC303" s="1"/>
      <c r="AD303" s="1"/>
      <c r="AE303" s="1" t="s">
        <v>308</v>
      </c>
      <c r="AF303" s="3">
        <v>290.55</v>
      </c>
      <c r="AG303" s="1"/>
      <c r="AH303" s="1"/>
      <c r="AI303" s="1"/>
      <c r="AJ303" s="1"/>
      <c r="AK303" s="1"/>
      <c r="AL303" s="1"/>
      <c r="AM303" s="1" t="s">
        <v>5706</v>
      </c>
      <c r="AN303" s="3">
        <v>290.55</v>
      </c>
      <c r="AO303" s="1"/>
      <c r="AP303" s="1"/>
      <c r="AQ303" s="1"/>
      <c r="AR303" s="1"/>
      <c r="AS303" s="1"/>
      <c r="AT303" s="1"/>
      <c r="AU303" s="1"/>
      <c r="AV303" s="1"/>
      <c r="AW303" s="1" t="s">
        <v>5707</v>
      </c>
      <c r="AX303" s="3">
        <v>290.55</v>
      </c>
      <c r="AY303" s="1"/>
      <c r="AZ303" s="1"/>
      <c r="BA303" s="1"/>
      <c r="BB303" s="1"/>
      <c r="BE303" s="67">
        <f t="shared" si="1"/>
        <v>0</v>
      </c>
    </row>
    <row r="304">
      <c r="A304" s="1"/>
      <c r="B304" s="1"/>
      <c r="C304" s="1"/>
      <c r="D304" s="1"/>
      <c r="E304" s="1"/>
      <c r="F304" s="1"/>
      <c r="G304" s="1"/>
      <c r="H304" s="1"/>
      <c r="I304" s="1" t="s">
        <v>5708</v>
      </c>
      <c r="J304" s="3">
        <v>290.55</v>
      </c>
      <c r="K304" s="1"/>
      <c r="L304" s="1"/>
      <c r="M304" s="1"/>
      <c r="N304" s="1"/>
      <c r="O304" s="1"/>
      <c r="P304" s="1"/>
      <c r="Q304" s="1"/>
      <c r="R304" s="1"/>
      <c r="S304" s="1"/>
      <c r="T304" s="1"/>
      <c r="U304" s="1"/>
      <c r="V304" s="1"/>
      <c r="W304" s="1"/>
      <c r="X304" s="1"/>
      <c r="Y304" s="1" t="s">
        <v>5709</v>
      </c>
      <c r="Z304" s="3">
        <v>290.55</v>
      </c>
      <c r="AA304" s="1"/>
      <c r="AB304" s="1"/>
      <c r="AC304" s="1"/>
      <c r="AD304" s="1"/>
      <c r="AE304" s="1" t="s">
        <v>309</v>
      </c>
      <c r="AF304" s="3">
        <v>290.55</v>
      </c>
      <c r="AG304" s="1"/>
      <c r="AH304" s="1"/>
      <c r="AI304" s="1"/>
      <c r="AJ304" s="1"/>
      <c r="AK304" s="1"/>
      <c r="AL304" s="1"/>
      <c r="AM304" s="1" t="s">
        <v>5710</v>
      </c>
      <c r="AN304" s="3">
        <v>290.55</v>
      </c>
      <c r="AO304" s="1"/>
      <c r="AP304" s="1"/>
      <c r="AQ304" s="1"/>
      <c r="AR304" s="1"/>
      <c r="AS304" s="1"/>
      <c r="AT304" s="1"/>
      <c r="AU304" s="1"/>
      <c r="AV304" s="1"/>
      <c r="AW304" s="1" t="s">
        <v>5711</v>
      </c>
      <c r="AX304" s="3">
        <v>290.55</v>
      </c>
      <c r="AY304" s="1"/>
      <c r="AZ304" s="1"/>
      <c r="BA304" s="1"/>
      <c r="BB304" s="1"/>
      <c r="BE304" s="67">
        <f t="shared" si="1"/>
        <v>0</v>
      </c>
    </row>
    <row r="305">
      <c r="A305" s="1"/>
      <c r="B305" s="1"/>
      <c r="C305" s="1"/>
      <c r="D305" s="1"/>
      <c r="E305" s="1"/>
      <c r="F305" s="1"/>
      <c r="G305" s="1"/>
      <c r="H305" s="1"/>
      <c r="I305" s="1" t="s">
        <v>5712</v>
      </c>
      <c r="J305" s="3">
        <v>290.55</v>
      </c>
      <c r="K305" s="1"/>
      <c r="L305" s="1"/>
      <c r="M305" s="1"/>
      <c r="N305" s="1"/>
      <c r="O305" s="1"/>
      <c r="P305" s="1"/>
      <c r="Q305" s="1"/>
      <c r="R305" s="1"/>
      <c r="S305" s="1"/>
      <c r="T305" s="1"/>
      <c r="U305" s="1"/>
      <c r="V305" s="1"/>
      <c r="W305" s="1"/>
      <c r="X305" s="1"/>
      <c r="Y305" s="1" t="s">
        <v>5713</v>
      </c>
      <c r="Z305" s="3">
        <v>290.55</v>
      </c>
      <c r="AA305" s="1"/>
      <c r="AB305" s="1"/>
      <c r="AC305" s="1"/>
      <c r="AD305" s="1"/>
      <c r="AE305" s="1" t="s">
        <v>310</v>
      </c>
      <c r="AF305" s="3">
        <v>290.55</v>
      </c>
      <c r="AG305" s="1"/>
      <c r="AH305" s="1"/>
      <c r="AI305" s="1"/>
      <c r="AJ305" s="1"/>
      <c r="AK305" s="1"/>
      <c r="AL305" s="1"/>
      <c r="AM305" s="1" t="s">
        <v>5714</v>
      </c>
      <c r="AN305" s="3">
        <v>290.55</v>
      </c>
      <c r="AO305" s="1"/>
      <c r="AP305" s="1"/>
      <c r="AQ305" s="1"/>
      <c r="AR305" s="1"/>
      <c r="AS305" s="1"/>
      <c r="AT305" s="1"/>
      <c r="AU305" s="1"/>
      <c r="AV305" s="1"/>
      <c r="AW305" s="1" t="s">
        <v>5715</v>
      </c>
      <c r="AX305" s="3">
        <v>290.55</v>
      </c>
      <c r="AY305" s="1"/>
      <c r="AZ305" s="1"/>
      <c r="BA305" s="1"/>
      <c r="BB305" s="1"/>
      <c r="BE305" s="67">
        <f t="shared" si="1"/>
        <v>0</v>
      </c>
    </row>
    <row r="306">
      <c r="A306" s="1"/>
      <c r="B306" s="1"/>
      <c r="C306" s="1"/>
      <c r="D306" s="1"/>
      <c r="E306" s="1"/>
      <c r="F306" s="1"/>
      <c r="G306" s="1"/>
      <c r="H306" s="1"/>
      <c r="I306" s="1" t="s">
        <v>5716</v>
      </c>
      <c r="J306" s="3">
        <v>290.55</v>
      </c>
      <c r="K306" s="1"/>
      <c r="L306" s="1"/>
      <c r="M306" s="1"/>
      <c r="N306" s="1"/>
      <c r="O306" s="1"/>
      <c r="P306" s="1"/>
      <c r="Q306" s="1"/>
      <c r="R306" s="1"/>
      <c r="S306" s="1"/>
      <c r="T306" s="1"/>
      <c r="U306" s="1"/>
      <c r="V306" s="1"/>
      <c r="W306" s="1"/>
      <c r="X306" s="1"/>
      <c r="Y306" s="1" t="s">
        <v>5717</v>
      </c>
      <c r="Z306" s="3">
        <v>290.55</v>
      </c>
      <c r="AA306" s="1"/>
      <c r="AB306" s="1"/>
      <c r="AC306" s="1"/>
      <c r="AD306" s="1"/>
      <c r="AE306" s="1" t="s">
        <v>311</v>
      </c>
      <c r="AF306" s="3">
        <v>290.55</v>
      </c>
      <c r="AG306" s="1"/>
      <c r="AH306" s="1"/>
      <c r="AI306" s="1"/>
      <c r="AJ306" s="1"/>
      <c r="AK306" s="1"/>
      <c r="AL306" s="1"/>
      <c r="AM306" s="1" t="s">
        <v>5718</v>
      </c>
      <c r="AN306" s="3">
        <v>290.55</v>
      </c>
      <c r="AO306" s="1"/>
      <c r="AP306" s="1"/>
      <c r="AQ306" s="1"/>
      <c r="AR306" s="1"/>
      <c r="AS306" s="1"/>
      <c r="AT306" s="1"/>
      <c r="AU306" s="1"/>
      <c r="AV306" s="1"/>
      <c r="AW306" s="1" t="s">
        <v>5719</v>
      </c>
      <c r="AX306" s="3">
        <v>290.55</v>
      </c>
      <c r="AY306" s="1"/>
      <c r="AZ306" s="1"/>
      <c r="BA306" s="1"/>
      <c r="BB306" s="1"/>
      <c r="BE306" s="67">
        <f t="shared" si="1"/>
        <v>0</v>
      </c>
    </row>
    <row r="307">
      <c r="A307" s="1"/>
      <c r="B307" s="1"/>
      <c r="C307" s="1"/>
      <c r="D307" s="1"/>
      <c r="E307" s="1"/>
      <c r="F307" s="1"/>
      <c r="G307" s="1"/>
      <c r="H307" s="1"/>
      <c r="I307" s="1" t="s">
        <v>5720</v>
      </c>
      <c r="J307" s="3">
        <v>290.55</v>
      </c>
      <c r="K307" s="1"/>
      <c r="L307" s="1"/>
      <c r="M307" s="1"/>
      <c r="N307" s="1"/>
      <c r="O307" s="1"/>
      <c r="P307" s="1"/>
      <c r="Q307" s="1"/>
      <c r="R307" s="1"/>
      <c r="S307" s="1"/>
      <c r="T307" s="1"/>
      <c r="U307" s="1"/>
      <c r="V307" s="1"/>
      <c r="W307" s="1"/>
      <c r="X307" s="1"/>
      <c r="Y307" s="1" t="s">
        <v>5721</v>
      </c>
      <c r="Z307" s="3">
        <v>290.55</v>
      </c>
      <c r="AA307" s="1"/>
      <c r="AB307" s="1"/>
      <c r="AC307" s="1"/>
      <c r="AD307" s="1"/>
      <c r="AE307" s="1" t="s">
        <v>312</v>
      </c>
      <c r="AF307" s="3">
        <v>290.55</v>
      </c>
      <c r="AG307" s="1"/>
      <c r="AH307" s="1"/>
      <c r="AI307" s="1"/>
      <c r="AJ307" s="1"/>
      <c r="AK307" s="1"/>
      <c r="AL307" s="1"/>
      <c r="AM307" s="1" t="s">
        <v>5722</v>
      </c>
      <c r="AN307" s="3">
        <v>290.55</v>
      </c>
      <c r="AO307" s="1"/>
      <c r="AP307" s="1"/>
      <c r="AQ307" s="1"/>
      <c r="AR307" s="1"/>
      <c r="AS307" s="1"/>
      <c r="AT307" s="1"/>
      <c r="AU307" s="1"/>
      <c r="AV307" s="1"/>
      <c r="AW307" s="1" t="s">
        <v>5723</v>
      </c>
      <c r="AX307" s="3">
        <v>290.55</v>
      </c>
      <c r="AY307" s="1"/>
      <c r="AZ307" s="1"/>
      <c r="BA307" s="1"/>
      <c r="BB307" s="1"/>
      <c r="BE307" s="67">
        <f t="shared" si="1"/>
        <v>0</v>
      </c>
    </row>
    <row r="308">
      <c r="A308" s="1"/>
      <c r="B308" s="1"/>
      <c r="C308" s="1"/>
      <c r="D308" s="1"/>
      <c r="E308" s="1"/>
      <c r="F308" s="1"/>
      <c r="G308" s="1"/>
      <c r="H308" s="1"/>
      <c r="I308" s="1" t="s">
        <v>283</v>
      </c>
      <c r="J308" s="3">
        <v>290.55</v>
      </c>
      <c r="K308" s="1"/>
      <c r="L308" s="1"/>
      <c r="M308" s="1"/>
      <c r="N308" s="1"/>
      <c r="O308" s="1"/>
      <c r="P308" s="1"/>
      <c r="Q308" s="1"/>
      <c r="R308" s="1"/>
      <c r="S308" s="1"/>
      <c r="T308" s="1"/>
      <c r="U308" s="1"/>
      <c r="V308" s="1"/>
      <c r="W308" s="1"/>
      <c r="X308" s="1"/>
      <c r="Y308" s="1" t="s">
        <v>5724</v>
      </c>
      <c r="Z308" s="3">
        <v>290.55</v>
      </c>
      <c r="AA308" s="1"/>
      <c r="AB308" s="1"/>
      <c r="AC308" s="1"/>
      <c r="AD308" s="1"/>
      <c r="AE308" s="1" t="s">
        <v>313</v>
      </c>
      <c r="AF308" s="3">
        <v>290.55</v>
      </c>
      <c r="AG308" s="1"/>
      <c r="AH308" s="1"/>
      <c r="AI308" s="1"/>
      <c r="AJ308" s="1"/>
      <c r="AK308" s="1"/>
      <c r="AL308" s="1"/>
      <c r="AM308" s="1" t="s">
        <v>5725</v>
      </c>
      <c r="AN308" s="3">
        <v>290.55</v>
      </c>
      <c r="AO308" s="1"/>
      <c r="AP308" s="1"/>
      <c r="AQ308" s="1"/>
      <c r="AR308" s="1"/>
      <c r="AS308" s="1"/>
      <c r="AT308" s="1"/>
      <c r="AU308" s="1"/>
      <c r="AV308" s="1"/>
      <c r="AW308" s="1" t="s">
        <v>5726</v>
      </c>
      <c r="AX308" s="3">
        <v>290.55</v>
      </c>
      <c r="AY308" s="1"/>
      <c r="AZ308" s="1"/>
      <c r="BA308" s="1"/>
      <c r="BB308" s="1"/>
      <c r="BE308" s="67">
        <f t="shared" si="1"/>
        <v>0</v>
      </c>
    </row>
    <row r="309">
      <c r="A309" s="1"/>
      <c r="B309" s="1"/>
      <c r="C309" s="1"/>
      <c r="D309" s="1"/>
      <c r="E309" s="1"/>
      <c r="F309" s="1"/>
      <c r="G309" s="1"/>
      <c r="H309" s="1"/>
      <c r="I309" s="1" t="s">
        <v>5727</v>
      </c>
      <c r="J309" s="3">
        <v>290.55</v>
      </c>
      <c r="K309" s="1"/>
      <c r="L309" s="1"/>
      <c r="M309" s="1"/>
      <c r="N309" s="1"/>
      <c r="O309" s="1"/>
      <c r="P309" s="1"/>
      <c r="Q309" s="1"/>
      <c r="R309" s="1"/>
      <c r="S309" s="1"/>
      <c r="T309" s="1"/>
      <c r="U309" s="1"/>
      <c r="V309" s="1"/>
      <c r="W309" s="1"/>
      <c r="X309" s="1"/>
      <c r="Y309" s="1" t="s">
        <v>5728</v>
      </c>
      <c r="Z309" s="3">
        <v>290.55</v>
      </c>
      <c r="AA309" s="1"/>
      <c r="AB309" s="1"/>
      <c r="AC309" s="1"/>
      <c r="AD309" s="1"/>
      <c r="AE309" s="1" t="s">
        <v>314</v>
      </c>
      <c r="AF309" s="3">
        <v>290.55</v>
      </c>
      <c r="AG309" s="1"/>
      <c r="AH309" s="1"/>
      <c r="AI309" s="1"/>
      <c r="AJ309" s="1"/>
      <c r="AK309" s="1"/>
      <c r="AL309" s="1"/>
      <c r="AM309" s="1" t="s">
        <v>5729</v>
      </c>
      <c r="AN309" s="3">
        <v>290.55</v>
      </c>
      <c r="AO309" s="1"/>
      <c r="AP309" s="1"/>
      <c r="AQ309" s="1"/>
      <c r="AR309" s="1"/>
      <c r="AS309" s="1"/>
      <c r="AT309" s="1"/>
      <c r="AU309" s="1"/>
      <c r="AV309" s="1"/>
      <c r="AW309" s="1" t="s">
        <v>5730</v>
      </c>
      <c r="AX309" s="3">
        <v>290.55</v>
      </c>
      <c r="AY309" s="1"/>
      <c r="AZ309" s="1"/>
      <c r="BA309" s="1"/>
      <c r="BB309" s="1"/>
      <c r="BE309" s="67">
        <f t="shared" si="1"/>
        <v>0</v>
      </c>
    </row>
    <row r="310">
      <c r="A310" s="1"/>
      <c r="B310" s="1"/>
      <c r="C310" s="1"/>
      <c r="D310" s="1"/>
      <c r="E310" s="1"/>
      <c r="F310" s="1"/>
      <c r="G310" s="1"/>
      <c r="H310" s="1"/>
      <c r="I310" s="1" t="s">
        <v>5731</v>
      </c>
      <c r="J310" s="3">
        <v>290.55</v>
      </c>
      <c r="K310" s="1"/>
      <c r="L310" s="1"/>
      <c r="M310" s="1"/>
      <c r="N310" s="1"/>
      <c r="O310" s="1"/>
      <c r="P310" s="1"/>
      <c r="Q310" s="1"/>
      <c r="R310" s="1"/>
      <c r="S310" s="1"/>
      <c r="T310" s="1"/>
      <c r="U310" s="1"/>
      <c r="V310" s="1"/>
      <c r="W310" s="1"/>
      <c r="X310" s="1"/>
      <c r="Y310" s="1" t="s">
        <v>5732</v>
      </c>
      <c r="Z310" s="3">
        <v>290.55</v>
      </c>
      <c r="AA310" s="1"/>
      <c r="AB310" s="1"/>
      <c r="AC310" s="1"/>
      <c r="AD310" s="1"/>
      <c r="AE310" s="1" t="s">
        <v>315</v>
      </c>
      <c r="AF310" s="3">
        <v>290.55</v>
      </c>
      <c r="AG310" s="1"/>
      <c r="AH310" s="1"/>
      <c r="AI310" s="1"/>
      <c r="AJ310" s="1"/>
      <c r="AK310" s="1"/>
      <c r="AL310" s="1"/>
      <c r="AM310" s="1" t="s">
        <v>5733</v>
      </c>
      <c r="AN310" s="3">
        <v>290.55</v>
      </c>
      <c r="AO310" s="1"/>
      <c r="AP310" s="1"/>
      <c r="AQ310" s="1"/>
      <c r="AR310" s="1"/>
      <c r="AS310" s="1"/>
      <c r="AT310" s="1"/>
      <c r="AU310" s="1"/>
      <c r="AV310" s="1"/>
      <c r="AW310" s="1" t="s">
        <v>5734</v>
      </c>
      <c r="AX310" s="3">
        <v>290.55</v>
      </c>
      <c r="AY310" s="1"/>
      <c r="AZ310" s="1"/>
      <c r="BA310" s="1"/>
      <c r="BB310" s="1"/>
      <c r="BE310" s="67">
        <f t="shared" si="1"/>
        <v>0</v>
      </c>
    </row>
    <row r="311">
      <c r="A311" s="1"/>
      <c r="B311" s="1"/>
      <c r="C311" s="1"/>
      <c r="D311" s="1"/>
      <c r="E311" s="1"/>
      <c r="F311" s="1"/>
      <c r="G311" s="1"/>
      <c r="H311" s="1"/>
      <c r="I311" s="1" t="s">
        <v>5735</v>
      </c>
      <c r="J311" s="3">
        <v>290.55</v>
      </c>
      <c r="K311" s="1"/>
      <c r="L311" s="1"/>
      <c r="M311" s="1"/>
      <c r="N311" s="1"/>
      <c r="O311" s="1"/>
      <c r="P311" s="1"/>
      <c r="Q311" s="1"/>
      <c r="R311" s="1"/>
      <c r="S311" s="1"/>
      <c r="T311" s="1"/>
      <c r="U311" s="1"/>
      <c r="V311" s="1"/>
      <c r="W311" s="1"/>
      <c r="X311" s="1"/>
      <c r="Y311" s="1" t="s">
        <v>5736</v>
      </c>
      <c r="Z311" s="3">
        <v>290.55</v>
      </c>
      <c r="AA311" s="1"/>
      <c r="AB311" s="1"/>
      <c r="AC311" s="1"/>
      <c r="AD311" s="1"/>
      <c r="AE311" s="1" t="s">
        <v>316</v>
      </c>
      <c r="AF311" s="3">
        <v>290.55</v>
      </c>
      <c r="AG311" s="1"/>
      <c r="AH311" s="1"/>
      <c r="AI311" s="1"/>
      <c r="AJ311" s="1"/>
      <c r="AK311" s="1"/>
      <c r="AL311" s="1"/>
      <c r="AM311" s="1" t="s">
        <v>5737</v>
      </c>
      <c r="AN311" s="3">
        <v>290.55</v>
      </c>
      <c r="AO311" s="1"/>
      <c r="AP311" s="1"/>
      <c r="AQ311" s="1"/>
      <c r="AR311" s="1"/>
      <c r="AS311" s="1"/>
      <c r="AT311" s="1"/>
      <c r="AU311" s="1"/>
      <c r="AV311" s="1"/>
      <c r="AW311" s="1" t="s">
        <v>5738</v>
      </c>
      <c r="AX311" s="3">
        <v>290.55</v>
      </c>
      <c r="AY311" s="1"/>
      <c r="AZ311" s="1"/>
      <c r="BA311" s="1"/>
      <c r="BB311" s="1"/>
      <c r="BE311" s="67">
        <f t="shared" si="1"/>
        <v>0</v>
      </c>
    </row>
    <row r="312">
      <c r="A312" s="1"/>
      <c r="B312" s="1"/>
      <c r="C312" s="1"/>
      <c r="D312" s="1"/>
      <c r="E312" s="1"/>
      <c r="F312" s="1"/>
      <c r="G312" s="1"/>
      <c r="H312" s="1"/>
      <c r="I312" s="1" t="s">
        <v>5739</v>
      </c>
      <c r="J312" s="3">
        <v>290.55</v>
      </c>
      <c r="K312" s="1"/>
      <c r="L312" s="1"/>
      <c r="M312" s="1"/>
      <c r="N312" s="1"/>
      <c r="O312" s="1"/>
      <c r="P312" s="1"/>
      <c r="Q312" s="1"/>
      <c r="R312" s="1"/>
      <c r="S312" s="1"/>
      <c r="T312" s="1"/>
      <c r="U312" s="1"/>
      <c r="V312" s="1"/>
      <c r="W312" s="1"/>
      <c r="X312" s="1"/>
      <c r="Y312" s="1" t="s">
        <v>5740</v>
      </c>
      <c r="Z312" s="3">
        <v>290.55</v>
      </c>
      <c r="AA312" s="1"/>
      <c r="AB312" s="1"/>
      <c r="AC312" s="1"/>
      <c r="AD312" s="1"/>
      <c r="AE312" s="1" t="s">
        <v>317</v>
      </c>
      <c r="AF312" s="3">
        <v>290.55</v>
      </c>
      <c r="AG312" s="1"/>
      <c r="AH312" s="1"/>
      <c r="AI312" s="1"/>
      <c r="AJ312" s="1"/>
      <c r="AK312" s="1"/>
      <c r="AL312" s="1"/>
      <c r="AM312" s="1" t="s">
        <v>5741</v>
      </c>
      <c r="AN312" s="3">
        <v>290.55</v>
      </c>
      <c r="AO312" s="1"/>
      <c r="AP312" s="1"/>
      <c r="AQ312" s="1"/>
      <c r="AR312" s="1"/>
      <c r="AS312" s="1"/>
      <c r="AT312" s="1"/>
      <c r="AU312" s="1"/>
      <c r="AV312" s="1"/>
      <c r="AW312" s="1" t="s">
        <v>5742</v>
      </c>
      <c r="AX312" s="3">
        <v>290.55</v>
      </c>
      <c r="AY312" s="1"/>
      <c r="AZ312" s="1"/>
      <c r="BA312" s="1"/>
      <c r="BB312" s="1"/>
      <c r="BE312" s="67">
        <f t="shared" si="1"/>
        <v>0</v>
      </c>
    </row>
    <row r="313">
      <c r="A313" s="1"/>
      <c r="B313" s="1"/>
      <c r="C313" s="1"/>
      <c r="D313" s="1"/>
      <c r="E313" s="1"/>
      <c r="F313" s="1"/>
      <c r="G313" s="1"/>
      <c r="H313" s="1"/>
      <c r="I313" s="1" t="s">
        <v>5743</v>
      </c>
      <c r="J313" s="3">
        <v>290.55</v>
      </c>
      <c r="K313" s="1"/>
      <c r="L313" s="1"/>
      <c r="M313" s="1"/>
      <c r="N313" s="1"/>
      <c r="O313" s="1"/>
      <c r="P313" s="1"/>
      <c r="Q313" s="1"/>
      <c r="R313" s="1"/>
      <c r="S313" s="1"/>
      <c r="T313" s="1"/>
      <c r="U313" s="1"/>
      <c r="V313" s="1"/>
      <c r="W313" s="1"/>
      <c r="X313" s="1"/>
      <c r="Y313" s="1" t="s">
        <v>5744</v>
      </c>
      <c r="Z313" s="3">
        <v>290.55</v>
      </c>
      <c r="AA313" s="1"/>
      <c r="AB313" s="1"/>
      <c r="AC313" s="1"/>
      <c r="AD313" s="1"/>
      <c r="AE313" s="1" t="s">
        <v>318</v>
      </c>
      <c r="AF313" s="3">
        <v>290.55</v>
      </c>
      <c r="AG313" s="1"/>
      <c r="AH313" s="1"/>
      <c r="AI313" s="1"/>
      <c r="AJ313" s="1"/>
      <c r="AK313" s="1"/>
      <c r="AL313" s="1"/>
      <c r="AM313" s="1" t="s">
        <v>5745</v>
      </c>
      <c r="AN313" s="3">
        <v>290.55</v>
      </c>
      <c r="AO313" s="1"/>
      <c r="AP313" s="1"/>
      <c r="AQ313" s="1"/>
      <c r="AR313" s="1"/>
      <c r="AS313" s="1"/>
      <c r="AT313" s="1"/>
      <c r="AU313" s="1"/>
      <c r="AV313" s="1"/>
      <c r="AW313" s="1" t="s">
        <v>5746</v>
      </c>
      <c r="AX313" s="3">
        <v>290.55</v>
      </c>
      <c r="AY313" s="1"/>
      <c r="AZ313" s="1"/>
      <c r="BA313" s="1"/>
      <c r="BB313" s="1"/>
      <c r="BE313" s="67">
        <f t="shared" si="1"/>
        <v>0</v>
      </c>
    </row>
    <row r="314">
      <c r="A314" s="1"/>
      <c r="B314" s="1"/>
      <c r="C314" s="1"/>
      <c r="D314" s="1"/>
      <c r="E314" s="1"/>
      <c r="F314" s="1"/>
      <c r="G314" s="1"/>
      <c r="H314" s="1"/>
      <c r="I314" s="1" t="s">
        <v>5747</v>
      </c>
      <c r="J314" s="3">
        <v>290.55</v>
      </c>
      <c r="K314" s="1"/>
      <c r="L314" s="1"/>
      <c r="M314" s="1"/>
      <c r="N314" s="1"/>
      <c r="O314" s="1"/>
      <c r="P314" s="1"/>
      <c r="Q314" s="1"/>
      <c r="R314" s="1"/>
      <c r="S314" s="1"/>
      <c r="T314" s="1"/>
      <c r="U314" s="1"/>
      <c r="V314" s="1"/>
      <c r="W314" s="1"/>
      <c r="X314" s="1"/>
      <c r="Y314" s="1" t="s">
        <v>5748</v>
      </c>
      <c r="Z314" s="3">
        <v>290.55</v>
      </c>
      <c r="AA314" s="1"/>
      <c r="AB314" s="1"/>
      <c r="AC314" s="1"/>
      <c r="AD314" s="1"/>
      <c r="AE314" s="1" t="s">
        <v>319</v>
      </c>
      <c r="AF314" s="3">
        <v>290.55</v>
      </c>
      <c r="AG314" s="1"/>
      <c r="AH314" s="1"/>
      <c r="AI314" s="1"/>
      <c r="AJ314" s="1"/>
      <c r="AK314" s="1"/>
      <c r="AL314" s="1"/>
      <c r="AM314" s="1" t="s">
        <v>5749</v>
      </c>
      <c r="AN314" s="3">
        <v>290.55</v>
      </c>
      <c r="AO314" s="1"/>
      <c r="AP314" s="1"/>
      <c r="AQ314" s="1"/>
      <c r="AR314" s="1"/>
      <c r="AS314" s="1"/>
      <c r="AT314" s="1"/>
      <c r="AU314" s="1"/>
      <c r="AV314" s="1"/>
      <c r="AW314" s="1" t="s">
        <v>5750</v>
      </c>
      <c r="AX314" s="3">
        <v>290.55</v>
      </c>
      <c r="AY314" s="1"/>
      <c r="AZ314" s="1"/>
      <c r="BA314" s="1"/>
      <c r="BB314" s="1"/>
      <c r="BE314" s="67">
        <f t="shared" si="1"/>
        <v>0</v>
      </c>
    </row>
    <row r="315">
      <c r="A315" s="1"/>
      <c r="B315" s="1"/>
      <c r="C315" s="1"/>
      <c r="D315" s="1"/>
      <c r="E315" s="1"/>
      <c r="F315" s="1"/>
      <c r="G315" s="1"/>
      <c r="H315" s="1"/>
      <c r="I315" s="1" t="s">
        <v>4553</v>
      </c>
      <c r="J315" s="3">
        <v>290.55</v>
      </c>
      <c r="K315" s="1"/>
      <c r="L315" s="1"/>
      <c r="M315" s="1"/>
      <c r="N315" s="1"/>
      <c r="O315" s="1"/>
      <c r="P315" s="1"/>
      <c r="Q315" s="1"/>
      <c r="R315" s="1"/>
      <c r="S315" s="1"/>
      <c r="T315" s="1"/>
      <c r="U315" s="1"/>
      <c r="V315" s="1"/>
      <c r="W315" s="1"/>
      <c r="X315" s="1"/>
      <c r="Y315" s="1" t="s">
        <v>5751</v>
      </c>
      <c r="Z315" s="3">
        <v>290.55</v>
      </c>
      <c r="AA315" s="1"/>
      <c r="AB315" s="1"/>
      <c r="AC315" s="1"/>
      <c r="AD315" s="1"/>
      <c r="AE315" s="1" t="s">
        <v>320</v>
      </c>
      <c r="AF315" s="3">
        <v>290.55</v>
      </c>
      <c r="AG315" s="1"/>
      <c r="AH315" s="1"/>
      <c r="AI315" s="1"/>
      <c r="AJ315" s="1"/>
      <c r="AK315" s="1"/>
      <c r="AL315" s="1"/>
      <c r="AM315" s="1" t="s">
        <v>5752</v>
      </c>
      <c r="AN315" s="3">
        <v>290.55</v>
      </c>
      <c r="AO315" s="1"/>
      <c r="AP315" s="1"/>
      <c r="AQ315" s="1"/>
      <c r="AR315" s="1"/>
      <c r="AS315" s="1"/>
      <c r="AT315" s="1"/>
      <c r="AU315" s="1"/>
      <c r="AV315" s="1"/>
      <c r="AW315" s="1" t="s">
        <v>5753</v>
      </c>
      <c r="AX315" s="3">
        <v>290.55</v>
      </c>
      <c r="AY315" s="1"/>
      <c r="AZ315" s="1"/>
      <c r="BA315" s="1"/>
      <c r="BB315" s="1"/>
      <c r="BE315" s="67">
        <f t="shared" si="1"/>
        <v>0</v>
      </c>
    </row>
    <row r="316">
      <c r="A316" s="1"/>
      <c r="B316" s="1"/>
      <c r="C316" s="1"/>
      <c r="D316" s="1"/>
      <c r="E316" s="1"/>
      <c r="F316" s="1"/>
      <c r="G316" s="1"/>
      <c r="H316" s="1"/>
      <c r="I316" s="1" t="s">
        <v>5754</v>
      </c>
      <c r="J316" s="3">
        <v>290.55</v>
      </c>
      <c r="K316" s="1"/>
      <c r="L316" s="1"/>
      <c r="M316" s="1"/>
      <c r="N316" s="1"/>
      <c r="O316" s="1"/>
      <c r="P316" s="1"/>
      <c r="Q316" s="1"/>
      <c r="R316" s="1"/>
      <c r="S316" s="1"/>
      <c r="T316" s="1"/>
      <c r="U316" s="1"/>
      <c r="V316" s="1"/>
      <c r="W316" s="1"/>
      <c r="X316" s="1"/>
      <c r="Y316" s="1" t="s">
        <v>5755</v>
      </c>
      <c r="Z316" s="3">
        <v>290.55</v>
      </c>
      <c r="AA316" s="1"/>
      <c r="AB316" s="1"/>
      <c r="AC316" s="1"/>
      <c r="AD316" s="1"/>
      <c r="AE316" s="1" t="s">
        <v>321</v>
      </c>
      <c r="AF316" s="3">
        <v>290.55</v>
      </c>
      <c r="AG316" s="1"/>
      <c r="AH316" s="1"/>
      <c r="AI316" s="1"/>
      <c r="AJ316" s="1"/>
      <c r="AK316" s="1"/>
      <c r="AL316" s="1"/>
      <c r="AM316" s="1" t="s">
        <v>5756</v>
      </c>
      <c r="AN316" s="3">
        <v>290.55</v>
      </c>
      <c r="AO316" s="1"/>
      <c r="AP316" s="1"/>
      <c r="AQ316" s="1"/>
      <c r="AR316" s="1"/>
      <c r="AS316" s="1"/>
      <c r="AT316" s="1"/>
      <c r="AU316" s="1"/>
      <c r="AV316" s="1"/>
      <c r="AW316" s="1" t="s">
        <v>5757</v>
      </c>
      <c r="AX316" s="3">
        <v>290.55</v>
      </c>
      <c r="AY316" s="1"/>
      <c r="AZ316" s="1"/>
      <c r="BA316" s="1"/>
      <c r="BB316" s="1"/>
      <c r="BE316" s="67">
        <f t="shared" si="1"/>
        <v>0</v>
      </c>
    </row>
    <row r="317">
      <c r="A317" s="1"/>
      <c r="B317" s="1"/>
      <c r="C317" s="1"/>
      <c r="D317" s="1"/>
      <c r="E317" s="1"/>
      <c r="F317" s="1"/>
      <c r="G317" s="1"/>
      <c r="H317" s="1"/>
      <c r="I317" s="1" t="s">
        <v>5758</v>
      </c>
      <c r="J317" s="3">
        <v>290.55</v>
      </c>
      <c r="K317" s="1"/>
      <c r="L317" s="1"/>
      <c r="M317" s="1"/>
      <c r="N317" s="1"/>
      <c r="O317" s="1"/>
      <c r="P317" s="1"/>
      <c r="Q317" s="1"/>
      <c r="R317" s="1"/>
      <c r="S317" s="1"/>
      <c r="T317" s="1"/>
      <c r="U317" s="1"/>
      <c r="V317" s="1"/>
      <c r="W317" s="1"/>
      <c r="X317" s="1"/>
      <c r="Y317" s="1" t="s">
        <v>5759</v>
      </c>
      <c r="Z317" s="3">
        <v>290.55</v>
      </c>
      <c r="AA317" s="1"/>
      <c r="AB317" s="1"/>
      <c r="AC317" s="1"/>
      <c r="AD317" s="1"/>
      <c r="AE317" s="1" t="s">
        <v>322</v>
      </c>
      <c r="AF317" s="3">
        <v>290.55</v>
      </c>
      <c r="AG317" s="1"/>
      <c r="AH317" s="1"/>
      <c r="AI317" s="1"/>
      <c r="AJ317" s="1"/>
      <c r="AK317" s="1"/>
      <c r="AL317" s="1"/>
      <c r="AM317" s="1" t="s">
        <v>5760</v>
      </c>
      <c r="AN317" s="3">
        <v>290.55</v>
      </c>
      <c r="AO317" s="1"/>
      <c r="AP317" s="1"/>
      <c r="AQ317" s="1"/>
      <c r="AR317" s="1"/>
      <c r="AS317" s="1"/>
      <c r="AT317" s="1"/>
      <c r="AU317" s="1"/>
      <c r="AV317" s="1"/>
      <c r="AW317" s="1" t="s">
        <v>5761</v>
      </c>
      <c r="AX317" s="3">
        <v>290.55</v>
      </c>
      <c r="AY317" s="1"/>
      <c r="AZ317" s="1"/>
      <c r="BA317" s="1"/>
      <c r="BB317" s="1"/>
      <c r="BE317" s="67">
        <f t="shared" si="1"/>
        <v>0</v>
      </c>
    </row>
    <row r="318">
      <c r="A318" s="1"/>
      <c r="B318" s="1"/>
      <c r="C318" s="1"/>
      <c r="D318" s="1"/>
      <c r="E318" s="1"/>
      <c r="F318" s="1"/>
      <c r="G318" s="1"/>
      <c r="H318" s="1"/>
      <c r="I318" s="1" t="s">
        <v>4616</v>
      </c>
      <c r="J318" s="3">
        <v>290.55</v>
      </c>
      <c r="K318" s="1"/>
      <c r="L318" s="1"/>
      <c r="M318" s="1"/>
      <c r="N318" s="1"/>
      <c r="O318" s="1"/>
      <c r="P318" s="1"/>
      <c r="Q318" s="1"/>
      <c r="R318" s="1"/>
      <c r="S318" s="1"/>
      <c r="T318" s="1"/>
      <c r="U318" s="1"/>
      <c r="V318" s="1"/>
      <c r="W318" s="1"/>
      <c r="X318" s="1"/>
      <c r="Y318" s="1" t="s">
        <v>5762</v>
      </c>
      <c r="Z318" s="3">
        <v>290.55</v>
      </c>
      <c r="AA318" s="1"/>
      <c r="AB318" s="1"/>
      <c r="AC318" s="1"/>
      <c r="AD318" s="1"/>
      <c r="AE318" s="1" t="s">
        <v>323</v>
      </c>
      <c r="AF318" s="3">
        <v>290.55</v>
      </c>
      <c r="AG318" s="1"/>
      <c r="AH318" s="1"/>
      <c r="AI318" s="1"/>
      <c r="AJ318" s="1"/>
      <c r="AK318" s="1"/>
      <c r="AL318" s="1"/>
      <c r="AM318" s="1" t="s">
        <v>5763</v>
      </c>
      <c r="AN318" s="3">
        <v>290.55</v>
      </c>
      <c r="AO318" s="1"/>
      <c r="AP318" s="1"/>
      <c r="AQ318" s="1"/>
      <c r="AR318" s="1"/>
      <c r="AS318" s="1"/>
      <c r="AT318" s="1"/>
      <c r="AU318" s="1"/>
      <c r="AV318" s="1"/>
      <c r="AW318" s="1" t="s">
        <v>5764</v>
      </c>
      <c r="AX318" s="3">
        <v>290.55</v>
      </c>
      <c r="AY318" s="1"/>
      <c r="AZ318" s="1"/>
      <c r="BA318" s="1"/>
      <c r="BB318" s="1"/>
      <c r="BE318" s="67">
        <f t="shared" si="1"/>
        <v>0</v>
      </c>
    </row>
    <row r="319">
      <c r="A319" s="1"/>
      <c r="B319" s="1"/>
      <c r="C319" s="1"/>
      <c r="D319" s="1"/>
      <c r="E319" s="1"/>
      <c r="F319" s="1"/>
      <c r="G319" s="1"/>
      <c r="H319" s="1"/>
      <c r="I319" s="1" t="s">
        <v>5765</v>
      </c>
      <c r="J319" s="3">
        <v>290.55</v>
      </c>
      <c r="K319" s="1"/>
      <c r="L319" s="1"/>
      <c r="M319" s="1"/>
      <c r="N319" s="1"/>
      <c r="O319" s="1"/>
      <c r="P319" s="1"/>
      <c r="Q319" s="1"/>
      <c r="R319" s="1"/>
      <c r="S319" s="1"/>
      <c r="T319" s="1"/>
      <c r="U319" s="1"/>
      <c r="V319" s="1"/>
      <c r="W319" s="1"/>
      <c r="X319" s="1"/>
      <c r="Y319" s="1" t="s">
        <v>5766</v>
      </c>
      <c r="Z319" s="3">
        <v>290.55</v>
      </c>
      <c r="AA319" s="1"/>
      <c r="AB319" s="1"/>
      <c r="AC319" s="1"/>
      <c r="AD319" s="1"/>
      <c r="AE319" s="1" t="s">
        <v>324</v>
      </c>
      <c r="AF319" s="3">
        <v>290.55</v>
      </c>
      <c r="AG319" s="1"/>
      <c r="AH319" s="1"/>
      <c r="AI319" s="1"/>
      <c r="AJ319" s="1"/>
      <c r="AK319" s="1"/>
      <c r="AL319" s="1"/>
      <c r="AM319" s="1" t="s">
        <v>5767</v>
      </c>
      <c r="AN319" s="3">
        <v>290.55</v>
      </c>
      <c r="AO319" s="1"/>
      <c r="AP319" s="1"/>
      <c r="AQ319" s="1"/>
      <c r="AR319" s="1"/>
      <c r="AS319" s="1"/>
      <c r="AT319" s="1"/>
      <c r="AU319" s="1"/>
      <c r="AV319" s="1"/>
      <c r="AW319" s="1" t="s">
        <v>5768</v>
      </c>
      <c r="AX319" s="3">
        <v>290.55</v>
      </c>
      <c r="AY319" s="1"/>
      <c r="AZ319" s="1"/>
      <c r="BA319" s="1"/>
      <c r="BB319" s="1"/>
      <c r="BE319" s="67">
        <f t="shared" si="1"/>
        <v>0</v>
      </c>
    </row>
    <row r="320">
      <c r="A320" s="1"/>
      <c r="B320" s="1"/>
      <c r="C320" s="1"/>
      <c r="D320" s="1"/>
      <c r="E320" s="1"/>
      <c r="F320" s="1"/>
      <c r="G320" s="1"/>
      <c r="H320" s="1"/>
      <c r="I320" s="1" t="s">
        <v>5769</v>
      </c>
      <c r="J320" s="3">
        <v>290.55</v>
      </c>
      <c r="K320" s="1"/>
      <c r="L320" s="1"/>
      <c r="M320" s="1"/>
      <c r="N320" s="1"/>
      <c r="O320" s="1"/>
      <c r="P320" s="1"/>
      <c r="Q320" s="1"/>
      <c r="R320" s="1"/>
      <c r="S320" s="1"/>
      <c r="T320" s="1"/>
      <c r="U320" s="1"/>
      <c r="V320" s="1"/>
      <c r="W320" s="1"/>
      <c r="X320" s="1"/>
      <c r="Y320" s="1" t="s">
        <v>5770</v>
      </c>
      <c r="Z320" s="3">
        <v>290.55</v>
      </c>
      <c r="AA320" s="1"/>
      <c r="AB320" s="1"/>
      <c r="AC320" s="1"/>
      <c r="AD320" s="1"/>
      <c r="AE320" s="1" t="s">
        <v>325</v>
      </c>
      <c r="AF320" s="3">
        <v>290.55</v>
      </c>
      <c r="AG320" s="1"/>
      <c r="AH320" s="1"/>
      <c r="AI320" s="1"/>
      <c r="AJ320" s="1"/>
      <c r="AK320" s="1"/>
      <c r="AL320" s="1"/>
      <c r="AM320" s="1" t="s">
        <v>5771</v>
      </c>
      <c r="AN320" s="3">
        <v>290.55</v>
      </c>
      <c r="AO320" s="1"/>
      <c r="AP320" s="1"/>
      <c r="AQ320" s="1"/>
      <c r="AR320" s="1"/>
      <c r="AS320" s="1"/>
      <c r="AT320" s="1"/>
      <c r="AU320" s="1"/>
      <c r="AV320" s="1"/>
      <c r="AW320" s="1" t="s">
        <v>5772</v>
      </c>
      <c r="AX320" s="3">
        <v>290.55</v>
      </c>
      <c r="AY320" s="1"/>
      <c r="AZ320" s="1"/>
      <c r="BA320" s="1"/>
      <c r="BB320" s="1"/>
      <c r="BE320" s="67">
        <f t="shared" si="1"/>
        <v>0</v>
      </c>
    </row>
    <row r="321">
      <c r="A321" s="1"/>
      <c r="B321" s="1"/>
      <c r="C321" s="1"/>
      <c r="D321" s="1"/>
      <c r="E321" s="1"/>
      <c r="F321" s="1"/>
      <c r="G321" s="1"/>
      <c r="H321" s="1"/>
      <c r="I321" s="1" t="s">
        <v>5773</v>
      </c>
      <c r="J321" s="3">
        <v>290.55</v>
      </c>
      <c r="K321" s="1"/>
      <c r="L321" s="1"/>
      <c r="M321" s="1"/>
      <c r="N321" s="1"/>
      <c r="O321" s="1"/>
      <c r="P321" s="1"/>
      <c r="Q321" s="1"/>
      <c r="R321" s="1"/>
      <c r="S321" s="1"/>
      <c r="T321" s="1"/>
      <c r="U321" s="1"/>
      <c r="V321" s="1"/>
      <c r="W321" s="1"/>
      <c r="X321" s="1"/>
      <c r="Y321" s="1" t="s">
        <v>3882</v>
      </c>
      <c r="Z321" s="3">
        <v>290.55</v>
      </c>
      <c r="AA321" s="1"/>
      <c r="AB321" s="1"/>
      <c r="AC321" s="1"/>
      <c r="AD321" s="1"/>
      <c r="AE321" s="1" t="s">
        <v>326</v>
      </c>
      <c r="AF321" s="3">
        <v>290.55</v>
      </c>
      <c r="AG321" s="1"/>
      <c r="AH321" s="1"/>
      <c r="AI321" s="1"/>
      <c r="AJ321" s="1"/>
      <c r="AK321" s="1"/>
      <c r="AL321" s="1"/>
      <c r="AM321" s="1" t="s">
        <v>5774</v>
      </c>
      <c r="AN321" s="3">
        <v>290.55</v>
      </c>
      <c r="AO321" s="1"/>
      <c r="AP321" s="1"/>
      <c r="AQ321" s="1"/>
      <c r="AR321" s="1"/>
      <c r="AS321" s="1"/>
      <c r="AT321" s="1"/>
      <c r="AU321" s="1"/>
      <c r="AV321" s="1"/>
      <c r="AW321" s="1" t="s">
        <v>5775</v>
      </c>
      <c r="AX321" s="3">
        <v>290.55</v>
      </c>
      <c r="AY321" s="1"/>
      <c r="AZ321" s="1"/>
      <c r="BA321" s="1"/>
      <c r="BB321" s="1"/>
      <c r="BE321" s="67">
        <f t="shared" si="1"/>
        <v>0</v>
      </c>
    </row>
    <row r="322">
      <c r="A322" s="1"/>
      <c r="B322" s="1"/>
      <c r="C322" s="1"/>
      <c r="D322" s="1"/>
      <c r="E322" s="1"/>
      <c r="F322" s="1"/>
      <c r="G322" s="1"/>
      <c r="H322" s="1"/>
      <c r="I322" s="1" t="s">
        <v>5776</v>
      </c>
      <c r="J322" s="3">
        <v>290.55</v>
      </c>
      <c r="K322" s="1"/>
      <c r="L322" s="1"/>
      <c r="M322" s="1"/>
      <c r="N322" s="1"/>
      <c r="O322" s="1"/>
      <c r="P322" s="1"/>
      <c r="Q322" s="1"/>
      <c r="R322" s="1"/>
      <c r="S322" s="1"/>
      <c r="T322" s="1"/>
      <c r="U322" s="1"/>
      <c r="V322" s="1"/>
      <c r="W322" s="1"/>
      <c r="X322" s="1"/>
      <c r="Y322" s="1" t="s">
        <v>5777</v>
      </c>
      <c r="Z322" s="3">
        <v>290.55</v>
      </c>
      <c r="AA322" s="1"/>
      <c r="AB322" s="1"/>
      <c r="AC322" s="1"/>
      <c r="AD322" s="1"/>
      <c r="AE322" s="1" t="s">
        <v>327</v>
      </c>
      <c r="AF322" s="3">
        <v>290.55</v>
      </c>
      <c r="AG322" s="1"/>
      <c r="AH322" s="1"/>
      <c r="AI322" s="1"/>
      <c r="AJ322" s="1"/>
      <c r="AK322" s="1"/>
      <c r="AL322" s="1"/>
      <c r="AM322" s="1" t="s">
        <v>283</v>
      </c>
      <c r="AN322" s="3">
        <v>290.55</v>
      </c>
      <c r="AO322" s="1"/>
      <c r="AP322" s="1"/>
      <c r="AQ322" s="1"/>
      <c r="AR322" s="1"/>
      <c r="AS322" s="1"/>
      <c r="AT322" s="1"/>
      <c r="AU322" s="1"/>
      <c r="AV322" s="1"/>
      <c r="AW322" s="1" t="s">
        <v>5778</v>
      </c>
      <c r="AX322" s="3">
        <v>290.55</v>
      </c>
      <c r="AY322" s="1"/>
      <c r="AZ322" s="1"/>
      <c r="BA322" s="1"/>
      <c r="BB322" s="1"/>
      <c r="BE322" s="67">
        <f t="shared" si="1"/>
        <v>0</v>
      </c>
    </row>
    <row r="323">
      <c r="A323" s="1"/>
      <c r="B323" s="1"/>
      <c r="C323" s="1"/>
      <c r="D323" s="1"/>
      <c r="E323" s="1"/>
      <c r="F323" s="1"/>
      <c r="G323" s="1"/>
      <c r="H323" s="1"/>
      <c r="I323" s="1" t="s">
        <v>5779</v>
      </c>
      <c r="J323" s="3">
        <v>290.55</v>
      </c>
      <c r="K323" s="1"/>
      <c r="L323" s="1"/>
      <c r="M323" s="1"/>
      <c r="N323" s="1"/>
      <c r="O323" s="1"/>
      <c r="P323" s="1"/>
      <c r="Q323" s="1"/>
      <c r="R323" s="1"/>
      <c r="S323" s="1"/>
      <c r="T323" s="1"/>
      <c r="U323" s="1"/>
      <c r="V323" s="1"/>
      <c r="W323" s="1"/>
      <c r="X323" s="1"/>
      <c r="Y323" s="1" t="s">
        <v>5780</v>
      </c>
      <c r="Z323" s="3">
        <v>290.55</v>
      </c>
      <c r="AA323" s="1"/>
      <c r="AB323" s="1"/>
      <c r="AC323" s="1"/>
      <c r="AD323" s="1"/>
      <c r="AE323" s="1" t="s">
        <v>328</v>
      </c>
      <c r="AF323" s="3">
        <v>290.55</v>
      </c>
      <c r="AG323" s="1"/>
      <c r="AH323" s="1"/>
      <c r="AI323" s="1"/>
      <c r="AJ323" s="1"/>
      <c r="AK323" s="1"/>
      <c r="AL323" s="1"/>
      <c r="AM323" s="1" t="s">
        <v>5781</v>
      </c>
      <c r="AN323" s="3">
        <v>290.55</v>
      </c>
      <c r="AO323" s="1"/>
      <c r="AP323" s="1"/>
      <c r="AQ323" s="1"/>
      <c r="AR323" s="1"/>
      <c r="AS323" s="1"/>
      <c r="AT323" s="1"/>
      <c r="AU323" s="1"/>
      <c r="AV323" s="1"/>
      <c r="AW323" s="1" t="s">
        <v>5782</v>
      </c>
      <c r="AX323" s="3">
        <v>290.55</v>
      </c>
      <c r="AY323" s="1"/>
      <c r="AZ323" s="1"/>
      <c r="BA323" s="1"/>
      <c r="BB323" s="1"/>
      <c r="BE323" s="67">
        <f t="shared" si="1"/>
        <v>0</v>
      </c>
    </row>
    <row r="324">
      <c r="A324" s="1"/>
      <c r="B324" s="1"/>
      <c r="C324" s="1"/>
      <c r="D324" s="1"/>
      <c r="E324" s="1"/>
      <c r="F324" s="1"/>
      <c r="G324" s="1"/>
      <c r="H324" s="1"/>
      <c r="I324" s="1" t="s">
        <v>5783</v>
      </c>
      <c r="J324" s="3">
        <v>290.55</v>
      </c>
      <c r="K324" s="1"/>
      <c r="L324" s="1"/>
      <c r="M324" s="1"/>
      <c r="N324" s="1"/>
      <c r="O324" s="1"/>
      <c r="P324" s="1"/>
      <c r="Q324" s="1"/>
      <c r="R324" s="1"/>
      <c r="S324" s="1"/>
      <c r="T324" s="1"/>
      <c r="U324" s="1"/>
      <c r="V324" s="1"/>
      <c r="W324" s="1"/>
      <c r="X324" s="1"/>
      <c r="Y324" s="1" t="s">
        <v>5784</v>
      </c>
      <c r="Z324" s="3">
        <v>290.55</v>
      </c>
      <c r="AA324" s="1"/>
      <c r="AB324" s="1"/>
      <c r="AC324" s="1"/>
      <c r="AD324" s="1"/>
      <c r="AE324" s="1" t="s">
        <v>329</v>
      </c>
      <c r="AF324" s="3">
        <v>290.55</v>
      </c>
      <c r="AG324" s="1"/>
      <c r="AH324" s="1"/>
      <c r="AI324" s="1"/>
      <c r="AJ324" s="1"/>
      <c r="AK324" s="1"/>
      <c r="AL324" s="1"/>
      <c r="AM324" s="1" t="s">
        <v>5785</v>
      </c>
      <c r="AN324" s="3">
        <v>290.55</v>
      </c>
      <c r="AO324" s="1"/>
      <c r="AP324" s="1"/>
      <c r="AQ324" s="1"/>
      <c r="AR324" s="1"/>
      <c r="AS324" s="1"/>
      <c r="AT324" s="1"/>
      <c r="AU324" s="1"/>
      <c r="AV324" s="1"/>
      <c r="AW324" s="1" t="s">
        <v>5786</v>
      </c>
      <c r="AX324" s="3">
        <v>290.55</v>
      </c>
      <c r="AY324" s="1"/>
      <c r="AZ324" s="1"/>
      <c r="BA324" s="1"/>
      <c r="BB324" s="1"/>
      <c r="BE324" s="67">
        <f t="shared" si="1"/>
        <v>0</v>
      </c>
    </row>
    <row r="325">
      <c r="A325" s="1"/>
      <c r="B325" s="1"/>
      <c r="C325" s="1"/>
      <c r="D325" s="1"/>
      <c r="E325" s="1"/>
      <c r="F325" s="1"/>
      <c r="G325" s="1"/>
      <c r="H325" s="1"/>
      <c r="I325" s="1" t="s">
        <v>5787</v>
      </c>
      <c r="J325" s="3">
        <v>290.55</v>
      </c>
      <c r="K325" s="1"/>
      <c r="L325" s="1"/>
      <c r="M325" s="1"/>
      <c r="N325" s="1"/>
      <c r="O325" s="1"/>
      <c r="P325" s="1"/>
      <c r="Q325" s="1"/>
      <c r="R325" s="1"/>
      <c r="S325" s="1"/>
      <c r="T325" s="1"/>
      <c r="U325" s="1"/>
      <c r="V325" s="1"/>
      <c r="W325" s="1"/>
      <c r="X325" s="1"/>
      <c r="Y325" s="1" t="s">
        <v>5788</v>
      </c>
      <c r="Z325" s="3">
        <v>290.55</v>
      </c>
      <c r="AA325" s="1"/>
      <c r="AB325" s="1"/>
      <c r="AC325" s="1"/>
      <c r="AD325" s="1"/>
      <c r="AE325" s="1" t="s">
        <v>330</v>
      </c>
      <c r="AF325" s="3">
        <v>290.55</v>
      </c>
      <c r="AG325" s="1"/>
      <c r="AH325" s="1"/>
      <c r="AI325" s="1"/>
      <c r="AJ325" s="1"/>
      <c r="AK325" s="1"/>
      <c r="AL325" s="1"/>
      <c r="AM325" s="1" t="s">
        <v>5789</v>
      </c>
      <c r="AN325" s="3">
        <v>290.55</v>
      </c>
      <c r="AO325" s="1"/>
      <c r="AP325" s="1"/>
      <c r="AQ325" s="1"/>
      <c r="AR325" s="1"/>
      <c r="AS325" s="1"/>
      <c r="AT325" s="1"/>
      <c r="AU325" s="1"/>
      <c r="AV325" s="1"/>
      <c r="AW325" s="1" t="s">
        <v>5790</v>
      </c>
      <c r="AX325" s="3">
        <v>290.55</v>
      </c>
      <c r="AY325" s="1"/>
      <c r="AZ325" s="1"/>
      <c r="BA325" s="1"/>
      <c r="BB325" s="1"/>
      <c r="BE325" s="67">
        <f t="shared" si="1"/>
        <v>0</v>
      </c>
    </row>
    <row r="326">
      <c r="A326" s="1"/>
      <c r="B326" s="1"/>
      <c r="C326" s="1"/>
      <c r="D326" s="1"/>
      <c r="E326" s="1"/>
      <c r="F326" s="1"/>
      <c r="G326" s="1"/>
      <c r="H326" s="1"/>
      <c r="I326" s="1" t="s">
        <v>4061</v>
      </c>
      <c r="J326" s="3">
        <v>290.55</v>
      </c>
      <c r="K326" s="1"/>
      <c r="L326" s="1"/>
      <c r="M326" s="1"/>
      <c r="N326" s="1"/>
      <c r="O326" s="1"/>
      <c r="P326" s="1"/>
      <c r="Q326" s="1"/>
      <c r="R326" s="1"/>
      <c r="S326" s="1"/>
      <c r="T326" s="1"/>
      <c r="U326" s="1"/>
      <c r="V326" s="1"/>
      <c r="W326" s="1"/>
      <c r="X326" s="1"/>
      <c r="Y326" s="1" t="s">
        <v>5791</v>
      </c>
      <c r="Z326" s="3">
        <v>290.55</v>
      </c>
      <c r="AA326" s="1"/>
      <c r="AB326" s="1"/>
      <c r="AC326" s="1"/>
      <c r="AD326" s="1"/>
      <c r="AE326" s="1" t="s">
        <v>331</v>
      </c>
      <c r="AF326" s="3">
        <v>290.55</v>
      </c>
      <c r="AG326" s="1"/>
      <c r="AH326" s="1"/>
      <c r="AI326" s="1"/>
      <c r="AJ326" s="1"/>
      <c r="AK326" s="1"/>
      <c r="AL326" s="1"/>
      <c r="AM326" s="1" t="s">
        <v>5792</v>
      </c>
      <c r="AN326" s="3">
        <v>290.55</v>
      </c>
      <c r="AO326" s="1"/>
      <c r="AP326" s="1"/>
      <c r="AQ326" s="1"/>
      <c r="AR326" s="1"/>
      <c r="AS326" s="1"/>
      <c r="AT326" s="1"/>
      <c r="AU326" s="1"/>
      <c r="AV326" s="1"/>
      <c r="AW326" s="1" t="s">
        <v>5793</v>
      </c>
      <c r="AX326" s="3">
        <v>290.55</v>
      </c>
      <c r="AY326" s="1"/>
      <c r="AZ326" s="1"/>
      <c r="BA326" s="1"/>
      <c r="BB326" s="1"/>
      <c r="BE326" s="67">
        <f t="shared" si="1"/>
        <v>0</v>
      </c>
    </row>
    <row r="327">
      <c r="A327" s="1"/>
      <c r="B327" s="1"/>
      <c r="C327" s="1"/>
      <c r="D327" s="1"/>
      <c r="E327" s="1"/>
      <c r="F327" s="1"/>
      <c r="G327" s="1"/>
      <c r="H327" s="1"/>
      <c r="I327" s="1" t="s">
        <v>5794</v>
      </c>
      <c r="J327" s="3">
        <v>290.55</v>
      </c>
      <c r="K327" s="1"/>
      <c r="L327" s="1"/>
      <c r="M327" s="1"/>
      <c r="N327" s="1"/>
      <c r="O327" s="1"/>
      <c r="P327" s="1"/>
      <c r="Q327" s="1"/>
      <c r="R327" s="1"/>
      <c r="S327" s="1"/>
      <c r="T327" s="1"/>
      <c r="U327" s="1"/>
      <c r="V327" s="1"/>
      <c r="W327" s="1"/>
      <c r="X327" s="1"/>
      <c r="Y327" s="1" t="s">
        <v>5795</v>
      </c>
      <c r="Z327" s="3">
        <v>290.55</v>
      </c>
      <c r="AA327" s="1"/>
      <c r="AB327" s="1"/>
      <c r="AC327" s="1"/>
      <c r="AD327" s="1"/>
      <c r="AE327" s="1" t="s">
        <v>332</v>
      </c>
      <c r="AF327" s="3">
        <v>290.55</v>
      </c>
      <c r="AG327" s="1"/>
      <c r="AH327" s="1"/>
      <c r="AI327" s="1"/>
      <c r="AJ327" s="1"/>
      <c r="AK327" s="1"/>
      <c r="AL327" s="1"/>
      <c r="AM327" s="1" t="s">
        <v>1529</v>
      </c>
      <c r="AN327" s="3">
        <v>371.26</v>
      </c>
      <c r="AO327" s="1"/>
      <c r="AP327" s="1"/>
      <c r="AQ327" s="1"/>
      <c r="AR327" s="1"/>
      <c r="AS327" s="1"/>
      <c r="AT327" s="1"/>
      <c r="AU327" s="1"/>
      <c r="AV327" s="1"/>
      <c r="AW327" s="1" t="s">
        <v>5796</v>
      </c>
      <c r="AX327" s="3">
        <v>290.55</v>
      </c>
      <c r="AY327" s="1"/>
      <c r="AZ327" s="1"/>
      <c r="BA327" s="1"/>
      <c r="BB327" s="1"/>
      <c r="BE327" s="67">
        <f t="shared" si="1"/>
        <v>0</v>
      </c>
    </row>
    <row r="328">
      <c r="A328" s="1"/>
      <c r="B328" s="1"/>
      <c r="C328" s="1"/>
      <c r="D328" s="1"/>
      <c r="E328" s="1"/>
      <c r="F328" s="1"/>
      <c r="G328" s="1"/>
      <c r="H328" s="1"/>
      <c r="I328" s="1" t="s">
        <v>5797</v>
      </c>
      <c r="J328" s="3">
        <v>290.55</v>
      </c>
      <c r="K328" s="1"/>
      <c r="L328" s="1"/>
      <c r="M328" s="1"/>
      <c r="N328" s="1"/>
      <c r="O328" s="1"/>
      <c r="P328" s="1"/>
      <c r="Q328" s="1"/>
      <c r="R328" s="1"/>
      <c r="S328" s="1"/>
      <c r="T328" s="1"/>
      <c r="U328" s="1"/>
      <c r="V328" s="1"/>
      <c r="W328" s="1"/>
      <c r="X328" s="1"/>
      <c r="Y328" s="1" t="s">
        <v>5798</v>
      </c>
      <c r="Z328" s="3">
        <v>290.55</v>
      </c>
      <c r="AA328" s="1"/>
      <c r="AB328" s="1"/>
      <c r="AC328" s="1"/>
      <c r="AD328" s="1"/>
      <c r="AE328" s="1" t="s">
        <v>333</v>
      </c>
      <c r="AF328" s="3">
        <v>290.55</v>
      </c>
      <c r="AG328" s="1"/>
      <c r="AH328" s="1"/>
      <c r="AI328" s="1"/>
      <c r="AJ328" s="1"/>
      <c r="AK328" s="1"/>
      <c r="AL328" s="1"/>
      <c r="AM328" s="1" t="s">
        <v>5799</v>
      </c>
      <c r="AN328" s="3">
        <v>290.55</v>
      </c>
      <c r="AO328" s="1"/>
      <c r="AP328" s="1"/>
      <c r="AQ328" s="1"/>
      <c r="AR328" s="1"/>
      <c r="AS328" s="1"/>
      <c r="AT328" s="1"/>
      <c r="AU328" s="1"/>
      <c r="AV328" s="1"/>
      <c r="AW328" s="1" t="s">
        <v>5800</v>
      </c>
      <c r="AX328" s="3">
        <v>290.55</v>
      </c>
      <c r="AY328" s="1"/>
      <c r="AZ328" s="1"/>
      <c r="BA328" s="1"/>
      <c r="BB328" s="1"/>
      <c r="BE328" s="67">
        <f t="shared" si="1"/>
        <v>0</v>
      </c>
    </row>
    <row r="329">
      <c r="A329" s="1"/>
      <c r="B329" s="1"/>
      <c r="C329" s="1"/>
      <c r="D329" s="1"/>
      <c r="E329" s="1"/>
      <c r="F329" s="1"/>
      <c r="G329" s="1"/>
      <c r="H329" s="1"/>
      <c r="I329" s="1" t="s">
        <v>5801</v>
      </c>
      <c r="J329" s="3">
        <v>290.55</v>
      </c>
      <c r="K329" s="1"/>
      <c r="L329" s="1"/>
      <c r="M329" s="1"/>
      <c r="N329" s="1"/>
      <c r="O329" s="1"/>
      <c r="P329" s="1"/>
      <c r="Q329" s="1"/>
      <c r="R329" s="1"/>
      <c r="S329" s="1"/>
      <c r="T329" s="1"/>
      <c r="U329" s="1"/>
      <c r="V329" s="1"/>
      <c r="W329" s="1"/>
      <c r="X329" s="1"/>
      <c r="Y329" s="1" t="s">
        <v>5802</v>
      </c>
      <c r="Z329" s="3">
        <v>290.55</v>
      </c>
      <c r="AA329" s="1"/>
      <c r="AB329" s="1"/>
      <c r="AC329" s="1"/>
      <c r="AD329" s="1"/>
      <c r="AE329" s="1" t="s">
        <v>334</v>
      </c>
      <c r="AF329" s="3">
        <v>290.55</v>
      </c>
      <c r="AG329" s="1"/>
      <c r="AH329" s="1"/>
      <c r="AI329" s="1"/>
      <c r="AJ329" s="1"/>
      <c r="AK329" s="1"/>
      <c r="AL329" s="1"/>
      <c r="AM329" s="1" t="s">
        <v>5803</v>
      </c>
      <c r="AN329" s="3">
        <v>290.55</v>
      </c>
      <c r="AO329" s="1"/>
      <c r="AP329" s="1"/>
      <c r="AQ329" s="1"/>
      <c r="AR329" s="1"/>
      <c r="AS329" s="1"/>
      <c r="AT329" s="1"/>
      <c r="AU329" s="1"/>
      <c r="AV329" s="1"/>
      <c r="AW329" s="1" t="s">
        <v>5804</v>
      </c>
      <c r="AX329" s="3">
        <v>290.55</v>
      </c>
      <c r="AY329" s="1"/>
      <c r="AZ329" s="1"/>
      <c r="BA329" s="1"/>
      <c r="BB329" s="1"/>
      <c r="BE329" s="67">
        <f t="shared" si="1"/>
        <v>0</v>
      </c>
    </row>
    <row r="330">
      <c r="A330" s="1"/>
      <c r="B330" s="1"/>
      <c r="C330" s="1"/>
      <c r="D330" s="1"/>
      <c r="E330" s="1"/>
      <c r="F330" s="1"/>
      <c r="G330" s="1"/>
      <c r="H330" s="1"/>
      <c r="I330" s="1" t="s">
        <v>5805</v>
      </c>
      <c r="J330" s="3">
        <v>290.55</v>
      </c>
      <c r="K330" s="1"/>
      <c r="L330" s="1"/>
      <c r="M330" s="1"/>
      <c r="N330" s="1"/>
      <c r="O330" s="1"/>
      <c r="P330" s="1"/>
      <c r="Q330" s="1"/>
      <c r="R330" s="1"/>
      <c r="S330" s="1"/>
      <c r="T330" s="1"/>
      <c r="U330" s="1"/>
      <c r="V330" s="1"/>
      <c r="W330" s="1"/>
      <c r="X330" s="1"/>
      <c r="Y330" s="1" t="s">
        <v>5806</v>
      </c>
      <c r="Z330" s="3">
        <v>290.55</v>
      </c>
      <c r="AA330" s="1"/>
      <c r="AB330" s="1"/>
      <c r="AC330" s="1"/>
      <c r="AD330" s="1"/>
      <c r="AE330" s="1" t="s">
        <v>335</v>
      </c>
      <c r="AF330" s="3">
        <v>290.55</v>
      </c>
      <c r="AG330" s="1"/>
      <c r="AH330" s="1"/>
      <c r="AI330" s="1"/>
      <c r="AJ330" s="1"/>
      <c r="AK330" s="1"/>
      <c r="AL330" s="1"/>
      <c r="AM330" s="1" t="s">
        <v>5807</v>
      </c>
      <c r="AN330" s="3">
        <v>290.55</v>
      </c>
      <c r="AO330" s="1"/>
      <c r="AP330" s="1"/>
      <c r="AQ330" s="1"/>
      <c r="AR330" s="1"/>
      <c r="AS330" s="1"/>
      <c r="AT330" s="1"/>
      <c r="AU330" s="1"/>
      <c r="AV330" s="1"/>
      <c r="AW330" s="1" t="s">
        <v>5808</v>
      </c>
      <c r="AX330" s="3">
        <v>290.55</v>
      </c>
      <c r="AY330" s="1"/>
      <c r="AZ330" s="1"/>
      <c r="BA330" s="1"/>
      <c r="BB330" s="1"/>
      <c r="BE330" s="67">
        <f t="shared" si="1"/>
        <v>0</v>
      </c>
    </row>
    <row r="331">
      <c r="A331" s="1"/>
      <c r="B331" s="1"/>
      <c r="C331" s="1"/>
      <c r="D331" s="1"/>
      <c r="E331" s="1"/>
      <c r="F331" s="1"/>
      <c r="G331" s="1"/>
      <c r="H331" s="1"/>
      <c r="I331" s="1" t="s">
        <v>5809</v>
      </c>
      <c r="J331" s="3">
        <v>290.55</v>
      </c>
      <c r="K331" s="1"/>
      <c r="L331" s="1"/>
      <c r="M331" s="1"/>
      <c r="N331" s="1"/>
      <c r="O331" s="1"/>
      <c r="P331" s="1"/>
      <c r="Q331" s="1"/>
      <c r="R331" s="1"/>
      <c r="S331" s="1"/>
      <c r="T331" s="1"/>
      <c r="U331" s="1"/>
      <c r="V331" s="1"/>
      <c r="W331" s="1"/>
      <c r="X331" s="1"/>
      <c r="Y331" s="1" t="s">
        <v>5810</v>
      </c>
      <c r="Z331" s="3">
        <v>290.55</v>
      </c>
      <c r="AA331" s="1"/>
      <c r="AB331" s="1"/>
      <c r="AC331" s="1"/>
      <c r="AD331" s="1"/>
      <c r="AE331" s="1" t="s">
        <v>336</v>
      </c>
      <c r="AF331" s="3">
        <v>290.55</v>
      </c>
      <c r="AG331" s="1"/>
      <c r="AH331" s="1"/>
      <c r="AI331" s="1"/>
      <c r="AJ331" s="1"/>
      <c r="AK331" s="1"/>
      <c r="AL331" s="1"/>
      <c r="AM331" s="1" t="s">
        <v>5811</v>
      </c>
      <c r="AN331" s="3">
        <v>290.55</v>
      </c>
      <c r="AO331" s="1"/>
      <c r="AP331" s="1"/>
      <c r="AQ331" s="1"/>
      <c r="AR331" s="1"/>
      <c r="AS331" s="1"/>
      <c r="AT331" s="1"/>
      <c r="AU331" s="1"/>
      <c r="AV331" s="1"/>
      <c r="AW331" s="1" t="s">
        <v>5812</v>
      </c>
      <c r="AX331" s="3">
        <v>290.55</v>
      </c>
      <c r="AY331" s="1"/>
      <c r="AZ331" s="1"/>
      <c r="BA331" s="1"/>
      <c r="BB331" s="1"/>
      <c r="BE331" s="67">
        <f t="shared" si="1"/>
        <v>0</v>
      </c>
    </row>
    <row r="332">
      <c r="A332" s="1"/>
      <c r="B332" s="1"/>
      <c r="C332" s="1"/>
      <c r="D332" s="1"/>
      <c r="E332" s="1"/>
      <c r="F332" s="1"/>
      <c r="G332" s="1"/>
      <c r="H332" s="1"/>
      <c r="I332" s="1" t="s">
        <v>5813</v>
      </c>
      <c r="J332" s="3">
        <v>290.55</v>
      </c>
      <c r="K332" s="1"/>
      <c r="L332" s="1"/>
      <c r="M332" s="1"/>
      <c r="N332" s="1"/>
      <c r="O332" s="1"/>
      <c r="P332" s="1"/>
      <c r="Q332" s="1"/>
      <c r="R332" s="1"/>
      <c r="S332" s="1"/>
      <c r="T332" s="1"/>
      <c r="U332" s="1"/>
      <c r="V332" s="1"/>
      <c r="W332" s="1"/>
      <c r="X332" s="1"/>
      <c r="Y332" s="1" t="s">
        <v>5814</v>
      </c>
      <c r="Z332" s="3">
        <v>290.55</v>
      </c>
      <c r="AA332" s="1"/>
      <c r="AB332" s="1"/>
      <c r="AC332" s="1"/>
      <c r="AD332" s="1"/>
      <c r="AE332" s="1" t="s">
        <v>337</v>
      </c>
      <c r="AF332" s="3">
        <v>290.55</v>
      </c>
      <c r="AG332" s="1"/>
      <c r="AH332" s="1"/>
      <c r="AI332" s="1"/>
      <c r="AJ332" s="1"/>
      <c r="AK332" s="1"/>
      <c r="AL332" s="1"/>
      <c r="AM332" s="1" t="s">
        <v>5815</v>
      </c>
      <c r="AN332" s="3">
        <v>290.55</v>
      </c>
      <c r="AO332" s="1"/>
      <c r="AP332" s="1"/>
      <c r="AQ332" s="1"/>
      <c r="AR332" s="1"/>
      <c r="AS332" s="1"/>
      <c r="AT332" s="1"/>
      <c r="AU332" s="1"/>
      <c r="AV332" s="1"/>
      <c r="AW332" s="1" t="s">
        <v>5816</v>
      </c>
      <c r="AX332" s="3">
        <v>290.55</v>
      </c>
      <c r="AY332" s="1"/>
      <c r="AZ332" s="1"/>
      <c r="BA332" s="1"/>
      <c r="BB332" s="1"/>
      <c r="BE332" s="67">
        <f t="shared" si="1"/>
        <v>0</v>
      </c>
    </row>
    <row r="333">
      <c r="A333" s="1"/>
      <c r="B333" s="1"/>
      <c r="C333" s="1"/>
      <c r="D333" s="1"/>
      <c r="E333" s="1"/>
      <c r="F333" s="1"/>
      <c r="G333" s="1"/>
      <c r="H333" s="1"/>
      <c r="I333" s="1" t="s">
        <v>5817</v>
      </c>
      <c r="J333" s="3">
        <v>290.55</v>
      </c>
      <c r="K333" s="1"/>
      <c r="L333" s="1"/>
      <c r="M333" s="1"/>
      <c r="N333" s="1"/>
      <c r="O333" s="1"/>
      <c r="P333" s="1"/>
      <c r="Q333" s="1"/>
      <c r="R333" s="1"/>
      <c r="S333" s="1"/>
      <c r="T333" s="1"/>
      <c r="U333" s="1"/>
      <c r="V333" s="1"/>
      <c r="W333" s="1"/>
      <c r="X333" s="1"/>
      <c r="Y333" s="1" t="s">
        <v>5818</v>
      </c>
      <c r="Z333" s="3">
        <v>290.55</v>
      </c>
      <c r="AA333" s="1"/>
      <c r="AB333" s="1"/>
      <c r="AC333" s="1"/>
      <c r="AD333" s="1"/>
      <c r="AE333" s="1" t="s">
        <v>338</v>
      </c>
      <c r="AF333" s="3">
        <v>290.55</v>
      </c>
      <c r="AG333" s="1"/>
      <c r="AH333" s="1"/>
      <c r="AI333" s="1"/>
      <c r="AJ333" s="1"/>
      <c r="AK333" s="1"/>
      <c r="AL333" s="1"/>
      <c r="AM333" s="1" t="s">
        <v>5819</v>
      </c>
      <c r="AN333" s="3">
        <v>290.55</v>
      </c>
      <c r="AO333" s="1"/>
      <c r="AP333" s="1"/>
      <c r="AQ333" s="1"/>
      <c r="AR333" s="1"/>
      <c r="AS333" s="1"/>
      <c r="AT333" s="1"/>
      <c r="AU333" s="1"/>
      <c r="AV333" s="1"/>
      <c r="AW333" s="1" t="s">
        <v>5820</v>
      </c>
      <c r="AX333" s="3">
        <v>290.55</v>
      </c>
      <c r="AY333" s="1"/>
      <c r="AZ333" s="1"/>
      <c r="BA333" s="1"/>
      <c r="BB333" s="1"/>
      <c r="BE333" s="67">
        <f t="shared" si="1"/>
        <v>0</v>
      </c>
    </row>
    <row r="334">
      <c r="A334" s="1"/>
      <c r="B334" s="1"/>
      <c r="C334" s="1"/>
      <c r="D334" s="1"/>
      <c r="E334" s="1"/>
      <c r="F334" s="1"/>
      <c r="G334" s="1"/>
      <c r="H334" s="1"/>
      <c r="I334" s="1" t="s">
        <v>5821</v>
      </c>
      <c r="J334" s="3">
        <v>290.55</v>
      </c>
      <c r="K334" s="1"/>
      <c r="L334" s="1"/>
      <c r="M334" s="1"/>
      <c r="N334" s="1"/>
      <c r="O334" s="1"/>
      <c r="P334" s="1"/>
      <c r="Q334" s="1"/>
      <c r="R334" s="1"/>
      <c r="S334" s="1"/>
      <c r="T334" s="1"/>
      <c r="U334" s="1"/>
      <c r="V334" s="1"/>
      <c r="W334" s="1"/>
      <c r="X334" s="1"/>
      <c r="Y334" s="1" t="s">
        <v>5822</v>
      </c>
      <c r="Z334" s="3">
        <v>290.55</v>
      </c>
      <c r="AA334" s="1"/>
      <c r="AB334" s="1"/>
      <c r="AC334" s="1"/>
      <c r="AD334" s="1"/>
      <c r="AE334" s="1" t="s">
        <v>339</v>
      </c>
      <c r="AF334" s="3">
        <v>290.55</v>
      </c>
      <c r="AG334" s="1"/>
      <c r="AH334" s="1"/>
      <c r="AI334" s="1"/>
      <c r="AJ334" s="1"/>
      <c r="AK334" s="1"/>
      <c r="AL334" s="1"/>
      <c r="AM334" s="1" t="s">
        <v>5823</v>
      </c>
      <c r="AN334" s="3">
        <v>290.55</v>
      </c>
      <c r="AO334" s="1"/>
      <c r="AP334" s="1"/>
      <c r="AQ334" s="1"/>
      <c r="AR334" s="1"/>
      <c r="AS334" s="1"/>
      <c r="AT334" s="1"/>
      <c r="AU334" s="1"/>
      <c r="AV334" s="1"/>
      <c r="AW334" s="1" t="s">
        <v>5824</v>
      </c>
      <c r="AX334" s="3">
        <v>290.55</v>
      </c>
      <c r="AY334" s="1"/>
      <c r="AZ334" s="1"/>
      <c r="BA334" s="1"/>
      <c r="BB334" s="1"/>
      <c r="BE334" s="67">
        <f t="shared" si="1"/>
        <v>0</v>
      </c>
    </row>
    <row r="335">
      <c r="A335" s="1"/>
      <c r="B335" s="1"/>
      <c r="C335" s="1"/>
      <c r="D335" s="1"/>
      <c r="E335" s="1"/>
      <c r="F335" s="1"/>
      <c r="G335" s="1"/>
      <c r="H335" s="1"/>
      <c r="I335" s="1" t="s">
        <v>4122</v>
      </c>
      <c r="J335" s="3">
        <v>290.55</v>
      </c>
      <c r="K335" s="1"/>
      <c r="L335" s="1"/>
      <c r="M335" s="1"/>
      <c r="N335" s="1"/>
      <c r="O335" s="1"/>
      <c r="P335" s="1"/>
      <c r="Q335" s="1"/>
      <c r="R335" s="1"/>
      <c r="S335" s="1"/>
      <c r="T335" s="1"/>
      <c r="U335" s="1"/>
      <c r="V335" s="1"/>
      <c r="W335" s="1"/>
      <c r="X335" s="1"/>
      <c r="Y335" s="1" t="s">
        <v>5825</v>
      </c>
      <c r="Z335" s="3">
        <v>290.55</v>
      </c>
      <c r="AA335" s="1"/>
      <c r="AB335" s="1"/>
      <c r="AC335" s="1"/>
      <c r="AD335" s="1"/>
      <c r="AE335" s="1" t="s">
        <v>340</v>
      </c>
      <c r="AF335" s="3">
        <v>290.55</v>
      </c>
      <c r="AG335" s="1"/>
      <c r="AH335" s="1"/>
      <c r="AI335" s="1"/>
      <c r="AJ335" s="1"/>
      <c r="AK335" s="1"/>
      <c r="AL335" s="1"/>
      <c r="AM335" s="1" t="s">
        <v>5826</v>
      </c>
      <c r="AN335" s="3">
        <v>290.55</v>
      </c>
      <c r="AO335" s="1"/>
      <c r="AP335" s="1"/>
      <c r="AQ335" s="1"/>
      <c r="AR335" s="1"/>
      <c r="AS335" s="1"/>
      <c r="AT335" s="1"/>
      <c r="AU335" s="1"/>
      <c r="AV335" s="1"/>
      <c r="AW335" s="1" t="s">
        <v>5827</v>
      </c>
      <c r="AX335" s="3">
        <v>290.55</v>
      </c>
      <c r="AY335" s="1"/>
      <c r="AZ335" s="1"/>
      <c r="BA335" s="1"/>
      <c r="BB335" s="1"/>
      <c r="BE335" s="67">
        <f t="shared" si="1"/>
        <v>0</v>
      </c>
    </row>
    <row r="336">
      <c r="A336" s="1"/>
      <c r="B336" s="1"/>
      <c r="C336" s="1"/>
      <c r="D336" s="1"/>
      <c r="E336" s="1"/>
      <c r="F336" s="1"/>
      <c r="G336" s="1"/>
      <c r="H336" s="1"/>
      <c r="I336" s="1" t="s">
        <v>5828</v>
      </c>
      <c r="J336" s="3">
        <v>290.55</v>
      </c>
      <c r="K336" s="1"/>
      <c r="L336" s="1"/>
      <c r="M336" s="1"/>
      <c r="N336" s="1"/>
      <c r="O336" s="1"/>
      <c r="P336" s="1"/>
      <c r="Q336" s="1"/>
      <c r="R336" s="1"/>
      <c r="S336" s="1"/>
      <c r="T336" s="1"/>
      <c r="U336" s="1"/>
      <c r="V336" s="1"/>
      <c r="W336" s="1"/>
      <c r="X336" s="1"/>
      <c r="Y336" s="1" t="s">
        <v>5829</v>
      </c>
      <c r="Z336" s="3">
        <v>290.55</v>
      </c>
      <c r="AA336" s="1"/>
      <c r="AB336" s="1"/>
      <c r="AC336" s="1"/>
      <c r="AD336" s="1"/>
      <c r="AE336" s="1" t="s">
        <v>341</v>
      </c>
      <c r="AF336" s="3">
        <v>290.55</v>
      </c>
      <c r="AG336" s="1"/>
      <c r="AH336" s="1"/>
      <c r="AI336" s="1"/>
      <c r="AJ336" s="1"/>
      <c r="AK336" s="1"/>
      <c r="AL336" s="1"/>
      <c r="AM336" s="1" t="s">
        <v>5830</v>
      </c>
      <c r="AN336" s="3">
        <v>290.55</v>
      </c>
      <c r="AO336" s="1"/>
      <c r="AP336" s="1"/>
      <c r="AQ336" s="1"/>
      <c r="AR336" s="1"/>
      <c r="AS336" s="1"/>
      <c r="AT336" s="1"/>
      <c r="AU336" s="1"/>
      <c r="AV336" s="1"/>
      <c r="AW336" s="1" t="s">
        <v>5831</v>
      </c>
      <c r="AX336" s="3">
        <v>290.55</v>
      </c>
      <c r="AY336" s="1"/>
      <c r="AZ336" s="1"/>
      <c r="BA336" s="1"/>
      <c r="BB336" s="1"/>
      <c r="BE336" s="67">
        <f t="shared" si="1"/>
        <v>0</v>
      </c>
    </row>
    <row r="337">
      <c r="A337" s="1"/>
      <c r="B337" s="1"/>
      <c r="C337" s="1"/>
      <c r="D337" s="1"/>
      <c r="E337" s="1"/>
      <c r="F337" s="1"/>
      <c r="G337" s="1"/>
      <c r="H337" s="1"/>
      <c r="I337" s="1" t="s">
        <v>5832</v>
      </c>
      <c r="J337" s="3">
        <v>371.26</v>
      </c>
      <c r="K337" s="1"/>
      <c r="L337" s="1"/>
      <c r="M337" s="1"/>
      <c r="N337" s="1"/>
      <c r="O337" s="1"/>
      <c r="P337" s="1"/>
      <c r="Q337" s="1"/>
      <c r="R337" s="1"/>
      <c r="S337" s="1"/>
      <c r="T337" s="1"/>
      <c r="U337" s="1"/>
      <c r="V337" s="1"/>
      <c r="W337" s="1"/>
      <c r="X337" s="1"/>
      <c r="Y337" s="1" t="s">
        <v>5833</v>
      </c>
      <c r="Z337" s="3">
        <v>290.55</v>
      </c>
      <c r="AA337" s="1"/>
      <c r="AB337" s="1"/>
      <c r="AC337" s="1"/>
      <c r="AD337" s="1"/>
      <c r="AE337" s="1" t="s">
        <v>49</v>
      </c>
      <c r="AF337" s="3">
        <v>290.55</v>
      </c>
      <c r="AG337" s="1"/>
      <c r="AH337" s="1"/>
      <c r="AI337" s="1"/>
      <c r="AJ337" s="1"/>
      <c r="AK337" s="1"/>
      <c r="AL337" s="1"/>
      <c r="AM337" s="1" t="s">
        <v>5834</v>
      </c>
      <c r="AN337" s="3">
        <v>290.55</v>
      </c>
      <c r="AO337" s="1"/>
      <c r="AP337" s="1"/>
      <c r="AQ337" s="1"/>
      <c r="AR337" s="1"/>
      <c r="AS337" s="1"/>
      <c r="AT337" s="1"/>
      <c r="AU337" s="1"/>
      <c r="AV337" s="1"/>
      <c r="AW337" s="1" t="s">
        <v>5835</v>
      </c>
      <c r="AX337" s="3">
        <v>290.55</v>
      </c>
      <c r="AY337" s="1"/>
      <c r="AZ337" s="1"/>
      <c r="BA337" s="1"/>
      <c r="BB337" s="1"/>
      <c r="BE337" s="67">
        <f t="shared" si="1"/>
        <v>0</v>
      </c>
    </row>
    <row r="338">
      <c r="A338" s="1"/>
      <c r="B338" s="1"/>
      <c r="C338" s="1"/>
      <c r="D338" s="1"/>
      <c r="E338" s="1"/>
      <c r="F338" s="1"/>
      <c r="G338" s="1"/>
      <c r="H338" s="1"/>
      <c r="I338" s="1" t="s">
        <v>5836</v>
      </c>
      <c r="J338" s="3">
        <v>290.55</v>
      </c>
      <c r="K338" s="1"/>
      <c r="L338" s="1"/>
      <c r="M338" s="1"/>
      <c r="N338" s="1"/>
      <c r="O338" s="1"/>
      <c r="P338" s="1"/>
      <c r="Q338" s="1"/>
      <c r="R338" s="1"/>
      <c r="S338" s="1"/>
      <c r="T338" s="1"/>
      <c r="U338" s="1"/>
      <c r="V338" s="1"/>
      <c r="W338" s="1"/>
      <c r="X338" s="1"/>
      <c r="Y338" s="1" t="s">
        <v>5837</v>
      </c>
      <c r="Z338" s="3">
        <v>290.55</v>
      </c>
      <c r="AA338" s="1"/>
      <c r="AB338" s="1"/>
      <c r="AC338" s="1"/>
      <c r="AD338" s="1"/>
      <c r="AE338" s="1" t="s">
        <v>342</v>
      </c>
      <c r="AF338" s="3">
        <v>290.55</v>
      </c>
      <c r="AG338" s="1"/>
      <c r="AH338" s="1"/>
      <c r="AI338" s="1"/>
      <c r="AJ338" s="1"/>
      <c r="AK338" s="1"/>
      <c r="AL338" s="1"/>
      <c r="AM338" s="1" t="s">
        <v>5838</v>
      </c>
      <c r="AN338" s="3">
        <v>290.55</v>
      </c>
      <c r="AO338" s="1"/>
      <c r="AP338" s="1"/>
      <c r="AQ338" s="1"/>
      <c r="AR338" s="1"/>
      <c r="AS338" s="1"/>
      <c r="AT338" s="1"/>
      <c r="AU338" s="1"/>
      <c r="AV338" s="1"/>
      <c r="AW338" s="1" t="s">
        <v>5839</v>
      </c>
      <c r="AX338" s="3">
        <v>290.55</v>
      </c>
      <c r="AY338" s="1"/>
      <c r="AZ338" s="1"/>
      <c r="BA338" s="1"/>
      <c r="BB338" s="1"/>
      <c r="BE338" s="67">
        <f t="shared" si="1"/>
        <v>0</v>
      </c>
    </row>
    <row r="339">
      <c r="A339" s="1"/>
      <c r="B339" s="1"/>
      <c r="C339" s="1"/>
      <c r="D339" s="1"/>
      <c r="E339" s="1"/>
      <c r="F339" s="1"/>
      <c r="G339" s="1"/>
      <c r="H339" s="1"/>
      <c r="I339" s="1" t="s">
        <v>5840</v>
      </c>
      <c r="J339" s="3">
        <v>290.55</v>
      </c>
      <c r="K339" s="1"/>
      <c r="L339" s="1"/>
      <c r="M339" s="1"/>
      <c r="N339" s="1"/>
      <c r="O339" s="1"/>
      <c r="P339" s="1"/>
      <c r="Q339" s="1"/>
      <c r="R339" s="1"/>
      <c r="S339" s="1"/>
      <c r="T339" s="1"/>
      <c r="U339" s="1"/>
      <c r="V339" s="1"/>
      <c r="W339" s="1"/>
      <c r="X339" s="1"/>
      <c r="Y339" s="1" t="s">
        <v>5841</v>
      </c>
      <c r="Z339" s="3">
        <v>290.55</v>
      </c>
      <c r="AA339" s="1"/>
      <c r="AB339" s="1"/>
      <c r="AC339" s="1"/>
      <c r="AD339" s="1"/>
      <c r="AE339" s="1" t="s">
        <v>343</v>
      </c>
      <c r="AF339" s="3">
        <v>290.55</v>
      </c>
      <c r="AG339" s="1"/>
      <c r="AH339" s="1"/>
      <c r="AI339" s="1"/>
      <c r="AJ339" s="1"/>
      <c r="AK339" s="1"/>
      <c r="AL339" s="1"/>
      <c r="AM339" s="1" t="s">
        <v>5842</v>
      </c>
      <c r="AN339" s="3">
        <v>290.55</v>
      </c>
      <c r="AO339" s="1"/>
      <c r="AP339" s="1"/>
      <c r="AQ339" s="1"/>
      <c r="AR339" s="1"/>
      <c r="AS339" s="1"/>
      <c r="AT339" s="1"/>
      <c r="AU339" s="1"/>
      <c r="AV339" s="1"/>
      <c r="AW339" s="1" t="s">
        <v>5843</v>
      </c>
      <c r="AX339" s="3">
        <v>290.55</v>
      </c>
      <c r="AY339" s="1"/>
      <c r="AZ339" s="1"/>
      <c r="BA339" s="1"/>
      <c r="BB339" s="1"/>
      <c r="BE339" s="67">
        <f t="shared" si="1"/>
        <v>0</v>
      </c>
    </row>
    <row r="340">
      <c r="A340" s="1"/>
      <c r="B340" s="1"/>
      <c r="C340" s="1"/>
      <c r="D340" s="1"/>
      <c r="E340" s="1"/>
      <c r="F340" s="1"/>
      <c r="G340" s="1"/>
      <c r="H340" s="1"/>
      <c r="I340" s="1" t="s">
        <v>5844</v>
      </c>
      <c r="J340" s="3">
        <v>290.55</v>
      </c>
      <c r="K340" s="1"/>
      <c r="L340" s="1"/>
      <c r="M340" s="1"/>
      <c r="N340" s="1"/>
      <c r="O340" s="1"/>
      <c r="P340" s="1"/>
      <c r="Q340" s="1"/>
      <c r="R340" s="1"/>
      <c r="S340" s="1"/>
      <c r="T340" s="1"/>
      <c r="U340" s="1"/>
      <c r="V340" s="1"/>
      <c r="W340" s="1"/>
      <c r="X340" s="1"/>
      <c r="Y340" s="1" t="s">
        <v>5845</v>
      </c>
      <c r="Z340" s="3">
        <v>290.55</v>
      </c>
      <c r="AA340" s="1"/>
      <c r="AB340" s="1"/>
      <c r="AC340" s="1"/>
      <c r="AD340" s="1"/>
      <c r="AE340" s="1" t="s">
        <v>344</v>
      </c>
      <c r="AF340" s="3">
        <v>290.55</v>
      </c>
      <c r="AG340" s="1"/>
      <c r="AH340" s="1"/>
      <c r="AI340" s="1"/>
      <c r="AJ340" s="1"/>
      <c r="AK340" s="1"/>
      <c r="AL340" s="1"/>
      <c r="AM340" s="1" t="s">
        <v>5846</v>
      </c>
      <c r="AN340" s="3">
        <v>290.55</v>
      </c>
      <c r="AO340" s="1"/>
      <c r="AP340" s="1"/>
      <c r="AQ340" s="1"/>
      <c r="AR340" s="1"/>
      <c r="AS340" s="1"/>
      <c r="AT340" s="1"/>
      <c r="AU340" s="1"/>
      <c r="AV340" s="1"/>
      <c r="AW340" s="1" t="s">
        <v>5847</v>
      </c>
      <c r="AX340" s="3">
        <v>290.55</v>
      </c>
      <c r="AY340" s="1"/>
      <c r="AZ340" s="1"/>
      <c r="BA340" s="1"/>
      <c r="BB340" s="1"/>
      <c r="BE340" s="67">
        <f t="shared" si="1"/>
        <v>0</v>
      </c>
    </row>
    <row r="341">
      <c r="A341" s="1"/>
      <c r="B341" s="1"/>
      <c r="C341" s="1"/>
      <c r="D341" s="1"/>
      <c r="E341" s="1"/>
      <c r="F341" s="1"/>
      <c r="G341" s="1"/>
      <c r="H341" s="1"/>
      <c r="I341" s="1" t="s">
        <v>5848</v>
      </c>
      <c r="J341" s="3">
        <v>290.55</v>
      </c>
      <c r="K341" s="1"/>
      <c r="L341" s="1"/>
      <c r="M341" s="1"/>
      <c r="N341" s="1"/>
      <c r="O341" s="1"/>
      <c r="P341" s="1"/>
      <c r="Q341" s="1"/>
      <c r="R341" s="1"/>
      <c r="S341" s="1"/>
      <c r="T341" s="1"/>
      <c r="U341" s="1"/>
      <c r="V341" s="1"/>
      <c r="W341" s="1"/>
      <c r="X341" s="1"/>
      <c r="Y341" s="1" t="s">
        <v>5849</v>
      </c>
      <c r="Z341" s="3">
        <v>290.55</v>
      </c>
      <c r="AA341" s="1"/>
      <c r="AB341" s="1"/>
      <c r="AC341" s="1"/>
      <c r="AD341" s="1"/>
      <c r="AE341" s="1" t="s">
        <v>345</v>
      </c>
      <c r="AF341" s="3">
        <v>290.55</v>
      </c>
      <c r="AG341" s="1"/>
      <c r="AH341" s="1"/>
      <c r="AI341" s="1"/>
      <c r="AJ341" s="1"/>
      <c r="AK341" s="1"/>
      <c r="AL341" s="1"/>
      <c r="AM341" s="1" t="s">
        <v>5850</v>
      </c>
      <c r="AN341" s="3">
        <v>290.55</v>
      </c>
      <c r="AO341" s="1"/>
      <c r="AP341" s="1"/>
      <c r="AQ341" s="1"/>
      <c r="AR341" s="1"/>
      <c r="AS341" s="1"/>
      <c r="AT341" s="1"/>
      <c r="AU341" s="1"/>
      <c r="AV341" s="1"/>
      <c r="AW341" s="1" t="s">
        <v>5851</v>
      </c>
      <c r="AX341" s="3">
        <v>290.55</v>
      </c>
      <c r="AY341" s="1"/>
      <c r="AZ341" s="1"/>
      <c r="BA341" s="1"/>
      <c r="BB341" s="1"/>
      <c r="BE341" s="67">
        <f t="shared" si="1"/>
        <v>0</v>
      </c>
    </row>
    <row r="342">
      <c r="A342" s="1"/>
      <c r="B342" s="1"/>
      <c r="C342" s="1"/>
      <c r="D342" s="1"/>
      <c r="E342" s="1"/>
      <c r="F342" s="1"/>
      <c r="G342" s="1"/>
      <c r="H342" s="1"/>
      <c r="I342" s="1" t="s">
        <v>332</v>
      </c>
      <c r="J342" s="3">
        <v>290.55</v>
      </c>
      <c r="K342" s="1"/>
      <c r="L342" s="1"/>
      <c r="M342" s="1"/>
      <c r="N342" s="1"/>
      <c r="O342" s="1"/>
      <c r="P342" s="1"/>
      <c r="Q342" s="1"/>
      <c r="R342" s="1"/>
      <c r="S342" s="1"/>
      <c r="T342" s="1"/>
      <c r="U342" s="1"/>
      <c r="V342" s="1"/>
      <c r="W342" s="1"/>
      <c r="X342" s="1"/>
      <c r="Y342" s="1" t="s">
        <v>5852</v>
      </c>
      <c r="Z342" s="3">
        <v>290.55</v>
      </c>
      <c r="AA342" s="1"/>
      <c r="AB342" s="1"/>
      <c r="AC342" s="1"/>
      <c r="AD342" s="1"/>
      <c r="AE342" s="1" t="s">
        <v>346</v>
      </c>
      <c r="AF342" s="3">
        <v>290.55</v>
      </c>
      <c r="AG342" s="1"/>
      <c r="AH342" s="1"/>
      <c r="AI342" s="1"/>
      <c r="AJ342" s="1"/>
      <c r="AK342" s="1"/>
      <c r="AL342" s="1"/>
      <c r="AM342" s="1" t="s">
        <v>5853</v>
      </c>
      <c r="AN342" s="3">
        <v>290.55</v>
      </c>
      <c r="AO342" s="1"/>
      <c r="AP342" s="1"/>
      <c r="AQ342" s="1"/>
      <c r="AR342" s="1"/>
      <c r="AS342" s="1"/>
      <c r="AT342" s="1"/>
      <c r="AU342" s="1"/>
      <c r="AV342" s="1"/>
      <c r="AW342" s="1" t="s">
        <v>5854</v>
      </c>
      <c r="AX342" s="3">
        <v>290.55</v>
      </c>
      <c r="AY342" s="1"/>
      <c r="AZ342" s="1"/>
      <c r="BA342" s="1"/>
      <c r="BB342" s="1"/>
      <c r="BE342" s="67">
        <f t="shared" si="1"/>
        <v>0</v>
      </c>
    </row>
    <row r="343">
      <c r="A343" s="1"/>
      <c r="B343" s="1"/>
      <c r="C343" s="1"/>
      <c r="D343" s="1"/>
      <c r="E343" s="1"/>
      <c r="F343" s="1"/>
      <c r="G343" s="1"/>
      <c r="H343" s="1"/>
      <c r="I343" s="1" t="s">
        <v>4721</v>
      </c>
      <c r="J343" s="3">
        <v>290.55</v>
      </c>
      <c r="K343" s="1"/>
      <c r="L343" s="1"/>
      <c r="M343" s="1"/>
      <c r="N343" s="1"/>
      <c r="O343" s="1"/>
      <c r="P343" s="1"/>
      <c r="Q343" s="1"/>
      <c r="R343" s="1"/>
      <c r="S343" s="1"/>
      <c r="T343" s="1"/>
      <c r="U343" s="1"/>
      <c r="V343" s="1"/>
      <c r="W343" s="1"/>
      <c r="X343" s="1"/>
      <c r="Y343" s="1" t="s">
        <v>5855</v>
      </c>
      <c r="Z343" s="3">
        <v>290.55</v>
      </c>
      <c r="AA343" s="1"/>
      <c r="AB343" s="1"/>
      <c r="AC343" s="1"/>
      <c r="AD343" s="1"/>
      <c r="AE343" s="1" t="s">
        <v>347</v>
      </c>
      <c r="AF343" s="3">
        <v>290.55</v>
      </c>
      <c r="AG343" s="1"/>
      <c r="AH343" s="1"/>
      <c r="AI343" s="1"/>
      <c r="AJ343" s="1"/>
      <c r="AK343" s="1"/>
      <c r="AL343" s="1"/>
      <c r="AM343" s="1" t="s">
        <v>5856</v>
      </c>
      <c r="AN343" s="3">
        <v>290.55</v>
      </c>
      <c r="AO343" s="1"/>
      <c r="AP343" s="1"/>
      <c r="AQ343" s="1"/>
      <c r="AR343" s="1"/>
      <c r="AS343" s="1"/>
      <c r="AT343" s="1"/>
      <c r="AU343" s="1"/>
      <c r="AV343" s="1"/>
      <c r="AW343" s="1" t="s">
        <v>5857</v>
      </c>
      <c r="AX343" s="3">
        <v>290.55</v>
      </c>
      <c r="AY343" s="1"/>
      <c r="AZ343" s="1"/>
      <c r="BA343" s="1"/>
      <c r="BB343" s="1"/>
      <c r="BE343" s="67">
        <f t="shared" si="1"/>
        <v>0</v>
      </c>
    </row>
    <row r="344">
      <c r="A344" s="1"/>
      <c r="B344" s="1"/>
      <c r="C344" s="1"/>
      <c r="D344" s="1"/>
      <c r="E344" s="1"/>
      <c r="F344" s="1"/>
      <c r="G344" s="1"/>
      <c r="H344" s="1"/>
      <c r="I344" s="1" t="s">
        <v>5858</v>
      </c>
      <c r="J344" s="3">
        <v>290.55</v>
      </c>
      <c r="K344" s="1"/>
      <c r="L344" s="1"/>
      <c r="M344" s="1"/>
      <c r="N344" s="1"/>
      <c r="O344" s="1"/>
      <c r="P344" s="1"/>
      <c r="Q344" s="1"/>
      <c r="R344" s="1"/>
      <c r="S344" s="1"/>
      <c r="T344" s="1"/>
      <c r="U344" s="1"/>
      <c r="V344" s="1"/>
      <c r="W344" s="1"/>
      <c r="X344" s="1"/>
      <c r="Y344" s="1" t="s">
        <v>5859</v>
      </c>
      <c r="Z344" s="3">
        <v>290.55</v>
      </c>
      <c r="AA344" s="1"/>
      <c r="AB344" s="1"/>
      <c r="AC344" s="1"/>
      <c r="AD344" s="1"/>
      <c r="AE344" s="1" t="s">
        <v>348</v>
      </c>
      <c r="AF344" s="3">
        <v>290.55</v>
      </c>
      <c r="AG344" s="1"/>
      <c r="AH344" s="1"/>
      <c r="AI344" s="1"/>
      <c r="AJ344" s="1"/>
      <c r="AK344" s="1"/>
      <c r="AL344" s="1"/>
      <c r="AM344" s="1" t="s">
        <v>5860</v>
      </c>
      <c r="AN344" s="3">
        <v>290.55</v>
      </c>
      <c r="AO344" s="1"/>
      <c r="AP344" s="1"/>
      <c r="AQ344" s="1"/>
      <c r="AR344" s="1"/>
      <c r="AS344" s="1"/>
      <c r="AT344" s="1"/>
      <c r="AU344" s="1"/>
      <c r="AV344" s="1"/>
      <c r="AW344" s="1" t="s">
        <v>5861</v>
      </c>
      <c r="AX344" s="3">
        <v>290.55</v>
      </c>
      <c r="AY344" s="1"/>
      <c r="AZ344" s="1"/>
      <c r="BA344" s="1"/>
      <c r="BB344" s="1"/>
      <c r="BE344" s="67">
        <f t="shared" si="1"/>
        <v>0</v>
      </c>
    </row>
    <row r="345">
      <c r="A345" s="1"/>
      <c r="B345" s="1"/>
      <c r="C345" s="1"/>
      <c r="D345" s="1"/>
      <c r="E345" s="1"/>
      <c r="F345" s="1"/>
      <c r="G345" s="1"/>
      <c r="H345" s="1"/>
      <c r="I345" s="1" t="s">
        <v>5862</v>
      </c>
      <c r="J345" s="3">
        <v>290.55</v>
      </c>
      <c r="K345" s="1"/>
      <c r="L345" s="1"/>
      <c r="M345" s="1"/>
      <c r="N345" s="1"/>
      <c r="O345" s="1"/>
      <c r="P345" s="1"/>
      <c r="Q345" s="1"/>
      <c r="R345" s="1"/>
      <c r="S345" s="1"/>
      <c r="T345" s="1"/>
      <c r="U345" s="1"/>
      <c r="V345" s="1"/>
      <c r="W345" s="1"/>
      <c r="X345" s="1"/>
      <c r="Y345" s="1" t="s">
        <v>5863</v>
      </c>
      <c r="Z345" s="3">
        <v>290.55</v>
      </c>
      <c r="AA345" s="1"/>
      <c r="AB345" s="1"/>
      <c r="AC345" s="1"/>
      <c r="AD345" s="1"/>
      <c r="AE345" s="1" t="s">
        <v>349</v>
      </c>
      <c r="AF345" s="3">
        <v>290.55</v>
      </c>
      <c r="AG345" s="1"/>
      <c r="AH345" s="1"/>
      <c r="AI345" s="1"/>
      <c r="AJ345" s="1"/>
      <c r="AK345" s="1"/>
      <c r="AL345" s="1"/>
      <c r="AM345" s="1" t="s">
        <v>5864</v>
      </c>
      <c r="AN345" s="3">
        <v>290.55</v>
      </c>
      <c r="AO345" s="1"/>
      <c r="AP345" s="1"/>
      <c r="AQ345" s="1"/>
      <c r="AR345" s="1"/>
      <c r="AS345" s="1"/>
      <c r="AT345" s="1"/>
      <c r="AU345" s="1"/>
      <c r="AV345" s="1"/>
      <c r="AW345" s="1" t="s">
        <v>5865</v>
      </c>
      <c r="AX345" s="3">
        <v>290.55</v>
      </c>
      <c r="AY345" s="1"/>
      <c r="AZ345" s="1"/>
      <c r="BA345" s="1"/>
      <c r="BB345" s="1"/>
      <c r="BE345" s="67">
        <f t="shared" si="1"/>
        <v>0</v>
      </c>
    </row>
    <row r="346">
      <c r="A346" s="1"/>
      <c r="B346" s="1"/>
      <c r="C346" s="1"/>
      <c r="D346" s="1"/>
      <c r="E346" s="1"/>
      <c r="F346" s="1"/>
      <c r="G346" s="1"/>
      <c r="H346" s="1"/>
      <c r="I346" s="1" t="s">
        <v>4086</v>
      </c>
      <c r="J346" s="3">
        <v>290.55</v>
      </c>
      <c r="K346" s="1"/>
      <c r="L346" s="1"/>
      <c r="M346" s="1"/>
      <c r="N346" s="1"/>
      <c r="O346" s="1"/>
      <c r="P346" s="1"/>
      <c r="Q346" s="1"/>
      <c r="R346" s="1"/>
      <c r="S346" s="1"/>
      <c r="T346" s="1"/>
      <c r="U346" s="1"/>
      <c r="V346" s="1"/>
      <c r="W346" s="1"/>
      <c r="X346" s="1"/>
      <c r="Y346" s="1" t="s">
        <v>5866</v>
      </c>
      <c r="Z346" s="3">
        <v>290.55</v>
      </c>
      <c r="AA346" s="1"/>
      <c r="AB346" s="1"/>
      <c r="AC346" s="1"/>
      <c r="AD346" s="1"/>
      <c r="AE346" s="1" t="s">
        <v>350</v>
      </c>
      <c r="AF346" s="3">
        <v>290.55</v>
      </c>
      <c r="AG346" s="1"/>
      <c r="AH346" s="1"/>
      <c r="AI346" s="1"/>
      <c r="AJ346" s="1"/>
      <c r="AK346" s="1"/>
      <c r="AL346" s="1"/>
      <c r="AM346" s="1" t="s">
        <v>5867</v>
      </c>
      <c r="AN346" s="3">
        <v>290.55</v>
      </c>
      <c r="AO346" s="1"/>
      <c r="AP346" s="1"/>
      <c r="AQ346" s="1"/>
      <c r="AR346" s="1"/>
      <c r="AS346" s="1"/>
      <c r="AT346" s="1"/>
      <c r="AU346" s="1"/>
      <c r="AV346" s="1"/>
      <c r="AW346" s="1" t="s">
        <v>5868</v>
      </c>
      <c r="AX346" s="3">
        <v>290.55</v>
      </c>
      <c r="AY346" s="1"/>
      <c r="AZ346" s="1"/>
      <c r="BA346" s="1"/>
      <c r="BB346" s="1"/>
      <c r="BE346" s="67">
        <f t="shared" si="1"/>
        <v>0</v>
      </c>
    </row>
    <row r="347">
      <c r="A347" s="1"/>
      <c r="B347" s="1"/>
      <c r="C347" s="1"/>
      <c r="D347" s="1"/>
      <c r="E347" s="1"/>
      <c r="F347" s="1"/>
      <c r="G347" s="1"/>
      <c r="H347" s="1"/>
      <c r="I347" s="1" t="s">
        <v>5869</v>
      </c>
      <c r="J347" s="3">
        <v>290.55</v>
      </c>
      <c r="K347" s="1"/>
      <c r="L347" s="1"/>
      <c r="M347" s="1"/>
      <c r="N347" s="1"/>
      <c r="O347" s="1"/>
      <c r="P347" s="1"/>
      <c r="Q347" s="1"/>
      <c r="R347" s="1"/>
      <c r="S347" s="1"/>
      <c r="T347" s="1"/>
      <c r="U347" s="1"/>
      <c r="V347" s="1"/>
      <c r="W347" s="1"/>
      <c r="X347" s="1"/>
      <c r="Y347" s="1" t="s">
        <v>5870</v>
      </c>
      <c r="Z347" s="3">
        <v>290.55</v>
      </c>
      <c r="AA347" s="1"/>
      <c r="AB347" s="1"/>
      <c r="AC347" s="1"/>
      <c r="AD347" s="1"/>
      <c r="AE347" s="1" t="s">
        <v>351</v>
      </c>
      <c r="AF347" s="3">
        <v>290.55</v>
      </c>
      <c r="AG347" s="1"/>
      <c r="AH347" s="1"/>
      <c r="AI347" s="1"/>
      <c r="AJ347" s="1"/>
      <c r="AK347" s="1"/>
      <c r="AL347" s="1"/>
      <c r="AM347" s="1" t="s">
        <v>5871</v>
      </c>
      <c r="AN347" s="3">
        <v>290.55</v>
      </c>
      <c r="AO347" s="1"/>
      <c r="AP347" s="1"/>
      <c r="AQ347" s="1"/>
      <c r="AR347" s="1"/>
      <c r="AS347" s="1"/>
      <c r="AT347" s="1"/>
      <c r="AU347" s="1"/>
      <c r="AV347" s="1"/>
      <c r="AW347" s="1" t="s">
        <v>1684</v>
      </c>
      <c r="AX347" s="3">
        <v>290.55</v>
      </c>
      <c r="AY347" s="1"/>
      <c r="AZ347" s="1"/>
      <c r="BA347" s="1"/>
      <c r="BB347" s="1"/>
      <c r="BE347" s="67">
        <f t="shared" si="1"/>
        <v>0</v>
      </c>
    </row>
    <row r="348">
      <c r="A348" s="1"/>
      <c r="B348" s="1"/>
      <c r="C348" s="1"/>
      <c r="D348" s="1"/>
      <c r="E348" s="1"/>
      <c r="F348" s="1"/>
      <c r="G348" s="1"/>
      <c r="H348" s="1"/>
      <c r="I348" s="1" t="s">
        <v>2068</v>
      </c>
      <c r="J348" s="3">
        <v>290.55</v>
      </c>
      <c r="K348" s="1"/>
      <c r="L348" s="1"/>
      <c r="M348" s="1"/>
      <c r="N348" s="1"/>
      <c r="O348" s="1"/>
      <c r="P348" s="1"/>
      <c r="Q348" s="1"/>
      <c r="R348" s="1"/>
      <c r="S348" s="1"/>
      <c r="T348" s="1"/>
      <c r="U348" s="1"/>
      <c r="V348" s="1"/>
      <c r="W348" s="1"/>
      <c r="X348" s="1"/>
      <c r="Y348" s="1" t="s">
        <v>5872</v>
      </c>
      <c r="Z348" s="3">
        <v>290.55</v>
      </c>
      <c r="AA348" s="1"/>
      <c r="AB348" s="1"/>
      <c r="AC348" s="1"/>
      <c r="AD348" s="1"/>
      <c r="AE348" s="1" t="s">
        <v>353</v>
      </c>
      <c r="AF348" s="3">
        <v>290.55</v>
      </c>
      <c r="AG348" s="1"/>
      <c r="AH348" s="1"/>
      <c r="AI348" s="1"/>
      <c r="AJ348" s="1"/>
      <c r="AK348" s="1"/>
      <c r="AL348" s="1"/>
      <c r="AM348" s="1" t="s">
        <v>5873</v>
      </c>
      <c r="AN348" s="3">
        <v>290.55</v>
      </c>
      <c r="AO348" s="1"/>
      <c r="AP348" s="1"/>
      <c r="AQ348" s="1"/>
      <c r="AR348" s="1"/>
      <c r="AS348" s="1"/>
      <c r="AT348" s="1"/>
      <c r="AU348" s="1"/>
      <c r="AV348" s="1"/>
      <c r="AW348" s="1" t="s">
        <v>5874</v>
      </c>
      <c r="AX348" s="3">
        <v>290.55</v>
      </c>
      <c r="AY348" s="1"/>
      <c r="AZ348" s="1"/>
      <c r="BA348" s="1"/>
      <c r="BB348" s="1"/>
      <c r="BE348" s="67">
        <f t="shared" si="1"/>
        <v>0</v>
      </c>
    </row>
    <row r="349">
      <c r="A349" s="1"/>
      <c r="B349" s="1"/>
      <c r="C349" s="1"/>
      <c r="D349" s="1"/>
      <c r="E349" s="1"/>
      <c r="F349" s="1"/>
      <c r="G349" s="1"/>
      <c r="H349" s="1"/>
      <c r="I349" s="1" t="s">
        <v>5875</v>
      </c>
      <c r="J349" s="3">
        <v>290.55</v>
      </c>
      <c r="K349" s="1"/>
      <c r="L349" s="1"/>
      <c r="M349" s="1"/>
      <c r="N349" s="1"/>
      <c r="O349" s="1"/>
      <c r="P349" s="1"/>
      <c r="Q349" s="1"/>
      <c r="R349" s="1"/>
      <c r="S349" s="1"/>
      <c r="T349" s="1"/>
      <c r="U349" s="1"/>
      <c r="V349" s="1"/>
      <c r="W349" s="1"/>
      <c r="X349" s="1"/>
      <c r="Y349" s="1" t="s">
        <v>5876</v>
      </c>
      <c r="Z349" s="3">
        <v>290.55</v>
      </c>
      <c r="AA349" s="1"/>
      <c r="AB349" s="1"/>
      <c r="AC349" s="1"/>
      <c r="AD349" s="1"/>
      <c r="AE349" s="1" t="s">
        <v>354</v>
      </c>
      <c r="AF349" s="3">
        <v>290.55</v>
      </c>
      <c r="AG349" s="1"/>
      <c r="AH349" s="1"/>
      <c r="AI349" s="1"/>
      <c r="AJ349" s="1"/>
      <c r="AK349" s="1"/>
      <c r="AL349" s="1"/>
      <c r="AM349" s="1" t="s">
        <v>5877</v>
      </c>
      <c r="AN349" s="3">
        <v>290.55</v>
      </c>
      <c r="AO349" s="1"/>
      <c r="AP349" s="1"/>
      <c r="AQ349" s="1"/>
      <c r="AR349" s="1"/>
      <c r="AS349" s="1"/>
      <c r="AT349" s="1"/>
      <c r="AU349" s="1"/>
      <c r="AV349" s="1"/>
      <c r="AW349" s="1" t="s">
        <v>5878</v>
      </c>
      <c r="AX349" s="3">
        <v>290.55</v>
      </c>
      <c r="AY349" s="1"/>
      <c r="AZ349" s="1"/>
      <c r="BA349" s="1"/>
      <c r="BB349" s="1"/>
      <c r="BE349" s="67">
        <f t="shared" si="1"/>
        <v>0</v>
      </c>
    </row>
    <row r="350">
      <c r="A350" s="1"/>
      <c r="B350" s="1"/>
      <c r="C350" s="1"/>
      <c r="D350" s="1"/>
      <c r="E350" s="1"/>
      <c r="F350" s="1"/>
      <c r="G350" s="1"/>
      <c r="H350" s="1"/>
      <c r="I350" s="1" t="s">
        <v>5879</v>
      </c>
      <c r="J350" s="3">
        <v>290.55</v>
      </c>
      <c r="K350" s="1"/>
      <c r="L350" s="1"/>
      <c r="M350" s="1"/>
      <c r="N350" s="1"/>
      <c r="O350" s="1"/>
      <c r="P350" s="1"/>
      <c r="Q350" s="1"/>
      <c r="R350" s="1"/>
      <c r="S350" s="1"/>
      <c r="T350" s="1"/>
      <c r="U350" s="1"/>
      <c r="V350" s="1"/>
      <c r="W350" s="1"/>
      <c r="X350" s="1"/>
      <c r="Y350" s="1" t="s">
        <v>5880</v>
      </c>
      <c r="Z350" s="3">
        <v>290.55</v>
      </c>
      <c r="AA350" s="1"/>
      <c r="AB350" s="1"/>
      <c r="AC350" s="1"/>
      <c r="AD350" s="1"/>
      <c r="AE350" s="1" t="s">
        <v>352</v>
      </c>
      <c r="AF350" s="3">
        <v>290.55</v>
      </c>
      <c r="AG350" s="1"/>
      <c r="AH350" s="1"/>
      <c r="AI350" s="1"/>
      <c r="AJ350" s="1"/>
      <c r="AK350" s="1"/>
      <c r="AL350" s="1"/>
      <c r="AM350" s="1" t="s">
        <v>5881</v>
      </c>
      <c r="AN350" s="3">
        <v>290.55</v>
      </c>
      <c r="AO350" s="1"/>
      <c r="AP350" s="1"/>
      <c r="AQ350" s="1"/>
      <c r="AR350" s="1"/>
      <c r="AS350" s="1"/>
      <c r="AT350" s="1"/>
      <c r="AU350" s="1"/>
      <c r="AV350" s="1"/>
      <c r="AW350" s="1" t="s">
        <v>5882</v>
      </c>
      <c r="AX350" s="3">
        <v>290.55</v>
      </c>
      <c r="AY350" s="1"/>
      <c r="AZ350" s="1"/>
      <c r="BA350" s="1"/>
      <c r="BB350" s="1"/>
      <c r="BE350" s="67">
        <f t="shared" si="1"/>
        <v>0</v>
      </c>
    </row>
    <row r="351">
      <c r="A351" s="1"/>
      <c r="B351" s="1"/>
      <c r="C351" s="1"/>
      <c r="D351" s="1"/>
      <c r="E351" s="1"/>
      <c r="F351" s="1"/>
      <c r="G351" s="1"/>
      <c r="H351" s="1"/>
      <c r="I351" s="1" t="s">
        <v>5883</v>
      </c>
      <c r="J351" s="3">
        <v>290.55</v>
      </c>
      <c r="K351" s="1"/>
      <c r="L351" s="1"/>
      <c r="M351" s="1"/>
      <c r="N351" s="1"/>
      <c r="O351" s="1"/>
      <c r="P351" s="1"/>
      <c r="Q351" s="1"/>
      <c r="R351" s="1"/>
      <c r="S351" s="1"/>
      <c r="T351" s="1"/>
      <c r="U351" s="1"/>
      <c r="V351" s="1"/>
      <c r="W351" s="1"/>
      <c r="X351" s="1"/>
      <c r="Y351" s="1" t="s">
        <v>166</v>
      </c>
      <c r="Z351" s="3">
        <v>290.55</v>
      </c>
      <c r="AA351" s="1"/>
      <c r="AB351" s="1"/>
      <c r="AC351" s="1"/>
      <c r="AD351" s="1"/>
      <c r="AE351" s="1" t="s">
        <v>355</v>
      </c>
      <c r="AF351" s="3">
        <v>290.55</v>
      </c>
      <c r="AG351" s="1"/>
      <c r="AH351" s="1"/>
      <c r="AI351" s="1"/>
      <c r="AJ351" s="1"/>
      <c r="AK351" s="1"/>
      <c r="AL351" s="1"/>
      <c r="AM351" s="1" t="s">
        <v>5884</v>
      </c>
      <c r="AN351" s="3">
        <v>290.55</v>
      </c>
      <c r="AO351" s="1"/>
      <c r="AP351" s="1"/>
      <c r="AQ351" s="1"/>
      <c r="AR351" s="1"/>
      <c r="AS351" s="1"/>
      <c r="AT351" s="1"/>
      <c r="AU351" s="1"/>
      <c r="AV351" s="1"/>
      <c r="AW351" s="1" t="s">
        <v>5885</v>
      </c>
      <c r="AX351" s="3">
        <v>290.55</v>
      </c>
      <c r="AY351" s="1"/>
      <c r="AZ351" s="1"/>
      <c r="BA351" s="1"/>
      <c r="BB351" s="1"/>
      <c r="BE351" s="67">
        <f t="shared" si="1"/>
        <v>0</v>
      </c>
    </row>
    <row r="352">
      <c r="A352" s="1"/>
      <c r="B352" s="1"/>
      <c r="C352" s="1"/>
      <c r="D352" s="1"/>
      <c r="E352" s="1"/>
      <c r="F352" s="1"/>
      <c r="G352" s="1"/>
      <c r="H352" s="1"/>
      <c r="I352" s="1" t="s">
        <v>5886</v>
      </c>
      <c r="J352" s="3">
        <v>290.55</v>
      </c>
      <c r="K352" s="1"/>
      <c r="L352" s="1"/>
      <c r="M352" s="1"/>
      <c r="N352" s="1"/>
      <c r="O352" s="1"/>
      <c r="P352" s="1"/>
      <c r="Q352" s="1"/>
      <c r="R352" s="1"/>
      <c r="S352" s="1"/>
      <c r="T352" s="1"/>
      <c r="U352" s="1"/>
      <c r="V352" s="1"/>
      <c r="W352" s="1"/>
      <c r="X352" s="1"/>
      <c r="Y352" s="1" t="s">
        <v>5887</v>
      </c>
      <c r="Z352" s="3">
        <v>290.55</v>
      </c>
      <c r="AA352" s="1"/>
      <c r="AB352" s="1"/>
      <c r="AC352" s="1"/>
      <c r="AD352" s="1"/>
      <c r="AE352" s="1" t="s">
        <v>356</v>
      </c>
      <c r="AF352" s="3">
        <v>290.55</v>
      </c>
      <c r="AG352" s="1"/>
      <c r="AH352" s="1"/>
      <c r="AI352" s="1"/>
      <c r="AJ352" s="1"/>
      <c r="AK352" s="1"/>
      <c r="AL352" s="1"/>
      <c r="AM352" s="1" t="s">
        <v>5888</v>
      </c>
      <c r="AN352" s="3">
        <v>290.55</v>
      </c>
      <c r="AO352" s="1"/>
      <c r="AP352" s="1"/>
      <c r="AQ352" s="1"/>
      <c r="AR352" s="1"/>
      <c r="AS352" s="1"/>
      <c r="AT352" s="1"/>
      <c r="AU352" s="1"/>
      <c r="AV352" s="1"/>
      <c r="AW352" s="1" t="s">
        <v>5889</v>
      </c>
      <c r="AX352" s="3">
        <v>290.55</v>
      </c>
      <c r="AY352" s="1"/>
      <c r="AZ352" s="1"/>
      <c r="BA352" s="1"/>
      <c r="BB352" s="1"/>
      <c r="BE352" s="67">
        <f t="shared" si="1"/>
        <v>0</v>
      </c>
    </row>
    <row r="353">
      <c r="A353" s="1"/>
      <c r="B353" s="1"/>
      <c r="C353" s="1"/>
      <c r="D353" s="1"/>
      <c r="E353" s="1"/>
      <c r="F353" s="1"/>
      <c r="G353" s="1"/>
      <c r="H353" s="1"/>
      <c r="I353" s="1" t="s">
        <v>5890</v>
      </c>
      <c r="J353" s="3">
        <v>290.55</v>
      </c>
      <c r="K353" s="1"/>
      <c r="L353" s="1"/>
      <c r="M353" s="1"/>
      <c r="N353" s="1"/>
      <c r="O353" s="1"/>
      <c r="P353" s="1"/>
      <c r="Q353" s="1"/>
      <c r="R353" s="1"/>
      <c r="S353" s="1"/>
      <c r="T353" s="1"/>
      <c r="U353" s="1"/>
      <c r="V353" s="1"/>
      <c r="W353" s="1"/>
      <c r="X353" s="1"/>
      <c r="Y353" s="1" t="s">
        <v>5891</v>
      </c>
      <c r="Z353" s="3">
        <v>290.55</v>
      </c>
      <c r="AA353" s="1"/>
      <c r="AB353" s="1"/>
      <c r="AC353" s="1"/>
      <c r="AD353" s="1"/>
      <c r="AE353" s="1" t="s">
        <v>357</v>
      </c>
      <c r="AF353" s="3">
        <v>290.55</v>
      </c>
      <c r="AG353" s="1"/>
      <c r="AH353" s="1"/>
      <c r="AI353" s="1"/>
      <c r="AJ353" s="1"/>
      <c r="AK353" s="1"/>
      <c r="AL353" s="1"/>
      <c r="AM353" s="1" t="s">
        <v>5892</v>
      </c>
      <c r="AN353" s="3">
        <v>290.55</v>
      </c>
      <c r="AO353" s="1"/>
      <c r="AP353" s="1"/>
      <c r="AQ353" s="1"/>
      <c r="AR353" s="1"/>
      <c r="AS353" s="1"/>
      <c r="AT353" s="1"/>
      <c r="AU353" s="1"/>
      <c r="AV353" s="1"/>
      <c r="AW353" s="1" t="s">
        <v>5893</v>
      </c>
      <c r="AX353" s="3">
        <v>290.55</v>
      </c>
      <c r="AY353" s="1"/>
      <c r="AZ353" s="1"/>
      <c r="BA353" s="1"/>
      <c r="BB353" s="1"/>
      <c r="BE353" s="67">
        <f t="shared" si="1"/>
        <v>0</v>
      </c>
    </row>
    <row r="354">
      <c r="A354" s="1"/>
      <c r="B354" s="1"/>
      <c r="C354" s="1"/>
      <c r="D354" s="1"/>
      <c r="E354" s="1"/>
      <c r="F354" s="1"/>
      <c r="G354" s="1"/>
      <c r="H354" s="1"/>
      <c r="I354" s="1" t="s">
        <v>3253</v>
      </c>
      <c r="J354" s="3">
        <v>290.55</v>
      </c>
      <c r="K354" s="1"/>
      <c r="L354" s="1"/>
      <c r="M354" s="1"/>
      <c r="N354" s="1"/>
      <c r="O354" s="1"/>
      <c r="P354" s="1"/>
      <c r="Q354" s="1"/>
      <c r="R354" s="1"/>
      <c r="S354" s="1"/>
      <c r="T354" s="1"/>
      <c r="U354" s="1"/>
      <c r="V354" s="1"/>
      <c r="W354" s="1"/>
      <c r="X354" s="1"/>
      <c r="Y354" s="1" t="s">
        <v>5894</v>
      </c>
      <c r="Z354" s="3">
        <v>290.55</v>
      </c>
      <c r="AA354" s="1"/>
      <c r="AB354" s="1"/>
      <c r="AC354" s="1"/>
      <c r="AD354" s="1"/>
      <c r="AE354" s="1" t="s">
        <v>358</v>
      </c>
      <c r="AF354" s="3">
        <v>290.55</v>
      </c>
      <c r="AG354" s="1"/>
      <c r="AH354" s="1"/>
      <c r="AI354" s="1"/>
      <c r="AJ354" s="1"/>
      <c r="AK354" s="1"/>
      <c r="AL354" s="1"/>
      <c r="AM354" s="1" t="s">
        <v>5895</v>
      </c>
      <c r="AN354" s="3">
        <v>290.55</v>
      </c>
      <c r="AO354" s="1"/>
      <c r="AP354" s="1"/>
      <c r="AQ354" s="1"/>
      <c r="AR354" s="1"/>
      <c r="AS354" s="1"/>
      <c r="AT354" s="1"/>
      <c r="AU354" s="1"/>
      <c r="AV354" s="1"/>
      <c r="AW354" s="1" t="s">
        <v>5896</v>
      </c>
      <c r="AX354" s="3">
        <v>290.55</v>
      </c>
      <c r="AY354" s="1"/>
      <c r="AZ354" s="1"/>
      <c r="BA354" s="1"/>
      <c r="BB354" s="1"/>
      <c r="BE354" s="67">
        <f t="shared" si="1"/>
        <v>0</v>
      </c>
    </row>
    <row r="355">
      <c r="A355" s="1"/>
      <c r="B355" s="1"/>
      <c r="C355" s="1"/>
      <c r="D355" s="1"/>
      <c r="E355" s="1"/>
      <c r="F355" s="1"/>
      <c r="G355" s="1"/>
      <c r="H355" s="1"/>
      <c r="I355" s="1" t="s">
        <v>5897</v>
      </c>
      <c r="J355" s="3">
        <v>290.55</v>
      </c>
      <c r="K355" s="1"/>
      <c r="L355" s="1"/>
      <c r="M355" s="1"/>
      <c r="N355" s="1"/>
      <c r="O355" s="1"/>
      <c r="P355" s="1"/>
      <c r="Q355" s="1"/>
      <c r="R355" s="1"/>
      <c r="S355" s="1"/>
      <c r="T355" s="1"/>
      <c r="U355" s="1"/>
      <c r="V355" s="1"/>
      <c r="W355" s="1"/>
      <c r="X355" s="1"/>
      <c r="Y355" s="1" t="s">
        <v>5898</v>
      </c>
      <c r="Z355" s="3">
        <v>290.55</v>
      </c>
      <c r="AA355" s="1"/>
      <c r="AB355" s="1"/>
      <c r="AC355" s="1"/>
      <c r="AD355" s="1"/>
      <c r="AE355" s="1" t="s">
        <v>359</v>
      </c>
      <c r="AF355" s="3">
        <v>290.55</v>
      </c>
      <c r="AG355" s="1"/>
      <c r="AH355" s="1"/>
      <c r="AI355" s="1"/>
      <c r="AJ355" s="1"/>
      <c r="AK355" s="1"/>
      <c r="AL355" s="1"/>
      <c r="AM355" s="1" t="s">
        <v>5899</v>
      </c>
      <c r="AN355" s="3">
        <v>290.55</v>
      </c>
      <c r="AO355" s="1"/>
      <c r="AP355" s="1"/>
      <c r="AQ355" s="1"/>
      <c r="AR355" s="1"/>
      <c r="AS355" s="1"/>
      <c r="AT355" s="1"/>
      <c r="AU355" s="1"/>
      <c r="AV355" s="1"/>
      <c r="AW355" s="1" t="s">
        <v>5900</v>
      </c>
      <c r="AX355" s="3">
        <v>290.55</v>
      </c>
      <c r="AY355" s="1"/>
      <c r="AZ355" s="1"/>
      <c r="BA355" s="1"/>
      <c r="BB355" s="1"/>
      <c r="BE355" s="67">
        <f t="shared" si="1"/>
        <v>0</v>
      </c>
    </row>
    <row r="356">
      <c r="A356" s="1"/>
      <c r="B356" s="1"/>
      <c r="C356" s="1"/>
      <c r="D356" s="1"/>
      <c r="E356" s="1"/>
      <c r="F356" s="1"/>
      <c r="G356" s="1"/>
      <c r="H356" s="1"/>
      <c r="I356" s="1" t="s">
        <v>5901</v>
      </c>
      <c r="J356" s="3">
        <v>290.55</v>
      </c>
      <c r="K356" s="1"/>
      <c r="L356" s="1"/>
      <c r="M356" s="1"/>
      <c r="N356" s="1"/>
      <c r="O356" s="1"/>
      <c r="P356" s="1"/>
      <c r="Q356" s="1"/>
      <c r="R356" s="1"/>
      <c r="S356" s="1"/>
      <c r="T356" s="1"/>
      <c r="U356" s="1"/>
      <c r="V356" s="1"/>
      <c r="W356" s="1"/>
      <c r="X356" s="1"/>
      <c r="Y356" s="1" t="s">
        <v>5902</v>
      </c>
      <c r="Z356" s="3">
        <v>290.55</v>
      </c>
      <c r="AA356" s="1"/>
      <c r="AB356" s="1"/>
      <c r="AC356" s="1"/>
      <c r="AD356" s="1"/>
      <c r="AE356" s="1" t="s">
        <v>360</v>
      </c>
      <c r="AF356" s="3">
        <v>290.55</v>
      </c>
      <c r="AG356" s="1"/>
      <c r="AH356" s="1"/>
      <c r="AI356" s="1"/>
      <c r="AJ356" s="1"/>
      <c r="AK356" s="1"/>
      <c r="AL356" s="1"/>
      <c r="AM356" s="1" t="s">
        <v>5903</v>
      </c>
      <c r="AN356" s="3">
        <v>290.55</v>
      </c>
      <c r="AO356" s="1"/>
      <c r="AP356" s="1"/>
      <c r="AQ356" s="1"/>
      <c r="AR356" s="1"/>
      <c r="AS356" s="1"/>
      <c r="AT356" s="1"/>
      <c r="AU356" s="1"/>
      <c r="AV356" s="1"/>
      <c r="AW356" s="1" t="s">
        <v>5904</v>
      </c>
      <c r="AX356" s="3">
        <v>290.55</v>
      </c>
      <c r="AY356" s="1"/>
      <c r="AZ356" s="1"/>
      <c r="BA356" s="1"/>
      <c r="BB356" s="1"/>
      <c r="BE356" s="67">
        <f t="shared" si="1"/>
        <v>0</v>
      </c>
    </row>
    <row r="357">
      <c r="A357" s="1"/>
      <c r="B357" s="1"/>
      <c r="C357" s="1"/>
      <c r="D357" s="1"/>
      <c r="E357" s="1"/>
      <c r="F357" s="1"/>
      <c r="G357" s="1"/>
      <c r="H357" s="1"/>
      <c r="I357" s="1" t="s">
        <v>5905</v>
      </c>
      <c r="J357" s="3">
        <v>290.55</v>
      </c>
      <c r="K357" s="1"/>
      <c r="L357" s="1"/>
      <c r="M357" s="1"/>
      <c r="N357" s="1"/>
      <c r="O357" s="1"/>
      <c r="P357" s="1"/>
      <c r="Q357" s="1"/>
      <c r="R357" s="1"/>
      <c r="S357" s="1"/>
      <c r="T357" s="1"/>
      <c r="U357" s="1"/>
      <c r="V357" s="1"/>
      <c r="W357" s="1"/>
      <c r="X357" s="1"/>
      <c r="Y357" s="1" t="s">
        <v>5906</v>
      </c>
      <c r="Z357" s="3">
        <v>290.55</v>
      </c>
      <c r="AA357" s="1"/>
      <c r="AB357" s="1"/>
      <c r="AC357" s="1"/>
      <c r="AD357" s="1"/>
      <c r="AE357" s="1" t="s">
        <v>361</v>
      </c>
      <c r="AF357" s="3">
        <v>290.55</v>
      </c>
      <c r="AG357" s="1"/>
      <c r="AH357" s="1"/>
      <c r="AI357" s="1"/>
      <c r="AJ357" s="1"/>
      <c r="AK357" s="1"/>
      <c r="AL357" s="1"/>
      <c r="AM357" s="1" t="s">
        <v>5907</v>
      </c>
      <c r="AN357" s="3">
        <v>290.55</v>
      </c>
      <c r="AO357" s="1"/>
      <c r="AP357" s="1"/>
      <c r="AQ357" s="1"/>
      <c r="AR357" s="1"/>
      <c r="AS357" s="1"/>
      <c r="AT357" s="1"/>
      <c r="AU357" s="1"/>
      <c r="AV357" s="1"/>
      <c r="AW357" s="1" t="s">
        <v>4774</v>
      </c>
      <c r="AX357" s="3">
        <v>290.55</v>
      </c>
      <c r="AY357" s="1"/>
      <c r="AZ357" s="1"/>
      <c r="BA357" s="1"/>
      <c r="BB357" s="1"/>
      <c r="BE357" s="67">
        <f t="shared" si="1"/>
        <v>0</v>
      </c>
    </row>
    <row r="358">
      <c r="A358" s="1"/>
      <c r="B358" s="1"/>
      <c r="C358" s="1"/>
      <c r="D358" s="1"/>
      <c r="E358" s="1"/>
      <c r="F358" s="1"/>
      <c r="G358" s="1"/>
      <c r="H358" s="1"/>
      <c r="I358" s="1" t="s">
        <v>5908</v>
      </c>
      <c r="J358" s="3">
        <v>290.55</v>
      </c>
      <c r="K358" s="1"/>
      <c r="L358" s="1"/>
      <c r="M358" s="1"/>
      <c r="N358" s="1"/>
      <c r="O358" s="1"/>
      <c r="P358" s="1"/>
      <c r="Q358" s="1"/>
      <c r="R358" s="1"/>
      <c r="S358" s="1"/>
      <c r="T358" s="1"/>
      <c r="U358" s="1"/>
      <c r="V358" s="1"/>
      <c r="W358" s="1"/>
      <c r="X358" s="1"/>
      <c r="Y358" s="1" t="s">
        <v>5909</v>
      </c>
      <c r="Z358" s="3">
        <v>290.55</v>
      </c>
      <c r="AA358" s="1"/>
      <c r="AB358" s="1"/>
      <c r="AC358" s="1"/>
      <c r="AD358" s="1"/>
      <c r="AE358" s="1" t="s">
        <v>362</v>
      </c>
      <c r="AF358" s="3">
        <v>290.55</v>
      </c>
      <c r="AG358" s="1"/>
      <c r="AH358" s="1"/>
      <c r="AI358" s="1"/>
      <c r="AJ358" s="1"/>
      <c r="AK358" s="1"/>
      <c r="AL358" s="1"/>
      <c r="AM358" s="1" t="s">
        <v>5910</v>
      </c>
      <c r="AN358" s="3">
        <v>290.55</v>
      </c>
      <c r="AO358" s="1"/>
      <c r="AP358" s="1"/>
      <c r="AQ358" s="1"/>
      <c r="AR358" s="1"/>
      <c r="AS358" s="1"/>
      <c r="AT358" s="1"/>
      <c r="AU358" s="1"/>
      <c r="AV358" s="1"/>
      <c r="AW358" s="1" t="s">
        <v>5911</v>
      </c>
      <c r="AX358" s="3">
        <v>290.55</v>
      </c>
      <c r="AY358" s="1"/>
      <c r="AZ358" s="1"/>
      <c r="BA358" s="1"/>
      <c r="BB358" s="1"/>
      <c r="BE358" s="67">
        <f t="shared" si="1"/>
        <v>0</v>
      </c>
    </row>
    <row r="359">
      <c r="A359" s="1"/>
      <c r="B359" s="1"/>
      <c r="C359" s="1"/>
      <c r="D359" s="1"/>
      <c r="E359" s="1"/>
      <c r="F359" s="1"/>
      <c r="G359" s="1"/>
      <c r="H359" s="1"/>
      <c r="I359" s="1" t="s">
        <v>5912</v>
      </c>
      <c r="J359" s="3">
        <v>290.55</v>
      </c>
      <c r="K359" s="1"/>
      <c r="L359" s="1"/>
      <c r="M359" s="1"/>
      <c r="N359" s="1"/>
      <c r="O359" s="1"/>
      <c r="P359" s="1"/>
      <c r="Q359" s="1"/>
      <c r="R359" s="1"/>
      <c r="S359" s="1"/>
      <c r="T359" s="1"/>
      <c r="U359" s="1"/>
      <c r="V359" s="1"/>
      <c r="W359" s="1"/>
      <c r="X359" s="1"/>
      <c r="Y359" s="1" t="s">
        <v>5913</v>
      </c>
      <c r="Z359" s="3">
        <v>290.55</v>
      </c>
      <c r="AA359" s="1"/>
      <c r="AB359" s="1"/>
      <c r="AC359" s="1"/>
      <c r="AD359" s="1"/>
      <c r="AE359" s="1" t="s">
        <v>363</v>
      </c>
      <c r="AF359" s="3">
        <v>290.55</v>
      </c>
      <c r="AG359" s="1"/>
      <c r="AH359" s="1"/>
      <c r="AI359" s="1"/>
      <c r="AJ359" s="1"/>
      <c r="AK359" s="1"/>
      <c r="AL359" s="1"/>
      <c r="AM359" s="1" t="s">
        <v>5914</v>
      </c>
      <c r="AN359" s="3">
        <v>290.55</v>
      </c>
      <c r="AO359" s="1"/>
      <c r="AP359" s="1"/>
      <c r="AQ359" s="1"/>
      <c r="AR359" s="1"/>
      <c r="AS359" s="1"/>
      <c r="AT359" s="1"/>
      <c r="AU359" s="1"/>
      <c r="AV359" s="1"/>
      <c r="AW359" s="1" t="s">
        <v>5915</v>
      </c>
      <c r="AX359" s="3">
        <v>290.55</v>
      </c>
      <c r="AY359" s="1"/>
      <c r="AZ359" s="1"/>
      <c r="BA359" s="1"/>
      <c r="BB359" s="1"/>
      <c r="BE359" s="67">
        <f t="shared" si="1"/>
        <v>0</v>
      </c>
    </row>
    <row r="360">
      <c r="A360" s="1"/>
      <c r="B360" s="1"/>
      <c r="C360" s="1"/>
      <c r="D360" s="1"/>
      <c r="E360" s="1"/>
      <c r="F360" s="1"/>
      <c r="G360" s="1"/>
      <c r="H360" s="1"/>
      <c r="I360" s="1" t="s">
        <v>5916</v>
      </c>
      <c r="J360" s="3">
        <v>290.55</v>
      </c>
      <c r="K360" s="1"/>
      <c r="L360" s="1"/>
      <c r="M360" s="1"/>
      <c r="N360" s="1"/>
      <c r="O360" s="1"/>
      <c r="P360" s="1"/>
      <c r="Q360" s="1"/>
      <c r="R360" s="1"/>
      <c r="S360" s="1"/>
      <c r="T360" s="1"/>
      <c r="U360" s="1"/>
      <c r="V360" s="1"/>
      <c r="W360" s="1"/>
      <c r="X360" s="1"/>
      <c r="Y360" s="1" t="s">
        <v>5917</v>
      </c>
      <c r="Z360" s="3">
        <v>290.55</v>
      </c>
      <c r="AA360" s="1"/>
      <c r="AB360" s="1"/>
      <c r="AC360" s="1"/>
      <c r="AD360" s="1"/>
      <c r="AE360" s="1" t="s">
        <v>364</v>
      </c>
      <c r="AF360" s="3">
        <v>290.55</v>
      </c>
      <c r="AG360" s="1"/>
      <c r="AH360" s="1"/>
      <c r="AI360" s="1"/>
      <c r="AJ360" s="1"/>
      <c r="AK360" s="1"/>
      <c r="AL360" s="1"/>
      <c r="AM360" s="1" t="s">
        <v>5918</v>
      </c>
      <c r="AN360" s="3">
        <v>290.55</v>
      </c>
      <c r="AO360" s="1"/>
      <c r="AP360" s="1"/>
      <c r="AQ360" s="1"/>
      <c r="AR360" s="1"/>
      <c r="AS360" s="1"/>
      <c r="AT360" s="1"/>
      <c r="AU360" s="1"/>
      <c r="AV360" s="1"/>
      <c r="AW360" s="1" t="s">
        <v>5919</v>
      </c>
      <c r="AX360" s="3">
        <v>290.55</v>
      </c>
      <c r="AY360" s="1"/>
      <c r="AZ360" s="1"/>
      <c r="BA360" s="1"/>
      <c r="BB360" s="1"/>
      <c r="BE360" s="67">
        <f t="shared" si="1"/>
        <v>0</v>
      </c>
    </row>
    <row r="361">
      <c r="A361" s="1"/>
      <c r="B361" s="1"/>
      <c r="C361" s="1"/>
      <c r="D361" s="1"/>
      <c r="E361" s="1"/>
      <c r="F361" s="1"/>
      <c r="G361" s="1"/>
      <c r="H361" s="1"/>
      <c r="I361" s="1" t="s">
        <v>5920</v>
      </c>
      <c r="J361" s="3">
        <v>290.55</v>
      </c>
      <c r="K361" s="1"/>
      <c r="L361" s="1"/>
      <c r="M361" s="1"/>
      <c r="N361" s="1"/>
      <c r="O361" s="1"/>
      <c r="P361" s="1"/>
      <c r="Q361" s="1"/>
      <c r="R361" s="1"/>
      <c r="S361" s="1"/>
      <c r="T361" s="1"/>
      <c r="U361" s="1"/>
      <c r="V361" s="1"/>
      <c r="W361" s="1"/>
      <c r="X361" s="1"/>
      <c r="Y361" s="1" t="s">
        <v>5921</v>
      </c>
      <c r="Z361" s="3">
        <v>290.55</v>
      </c>
      <c r="AA361" s="1"/>
      <c r="AB361" s="1"/>
      <c r="AC361" s="1"/>
      <c r="AD361" s="1"/>
      <c r="AE361" s="1" t="s">
        <v>365</v>
      </c>
      <c r="AF361" s="3">
        <v>290.55</v>
      </c>
      <c r="AG361" s="1"/>
      <c r="AH361" s="1"/>
      <c r="AI361" s="1"/>
      <c r="AJ361" s="1"/>
      <c r="AK361" s="1"/>
      <c r="AL361" s="1"/>
      <c r="AM361" s="1" t="s">
        <v>5922</v>
      </c>
      <c r="AN361" s="3">
        <v>290.55</v>
      </c>
      <c r="AO361" s="1"/>
      <c r="AP361" s="1"/>
      <c r="AQ361" s="1"/>
      <c r="AR361" s="1"/>
      <c r="AS361" s="1"/>
      <c r="AT361" s="1"/>
      <c r="AU361" s="1"/>
      <c r="AV361" s="1"/>
      <c r="AW361" s="1" t="s">
        <v>5923</v>
      </c>
      <c r="AX361" s="3">
        <v>290.55</v>
      </c>
      <c r="AY361" s="1"/>
      <c r="AZ361" s="1"/>
      <c r="BA361" s="1"/>
      <c r="BB361" s="1"/>
      <c r="BE361" s="67">
        <f t="shared" si="1"/>
        <v>0</v>
      </c>
    </row>
    <row r="362">
      <c r="A362" s="1"/>
      <c r="B362" s="1"/>
      <c r="C362" s="1"/>
      <c r="D362" s="1"/>
      <c r="E362" s="1"/>
      <c r="F362" s="1"/>
      <c r="G362" s="1"/>
      <c r="H362" s="1"/>
      <c r="I362" s="1" t="s">
        <v>5924</v>
      </c>
      <c r="J362" s="3">
        <v>290.55</v>
      </c>
      <c r="K362" s="1"/>
      <c r="L362" s="1"/>
      <c r="M362" s="1"/>
      <c r="N362" s="1"/>
      <c r="O362" s="1"/>
      <c r="P362" s="1"/>
      <c r="Q362" s="1"/>
      <c r="R362" s="1"/>
      <c r="S362" s="1"/>
      <c r="T362" s="1"/>
      <c r="U362" s="1"/>
      <c r="V362" s="1"/>
      <c r="W362" s="1"/>
      <c r="X362" s="1"/>
      <c r="Y362" s="1" t="s">
        <v>5925</v>
      </c>
      <c r="Z362" s="3">
        <v>290.55</v>
      </c>
      <c r="AA362" s="1"/>
      <c r="AB362" s="1"/>
      <c r="AC362" s="1"/>
      <c r="AD362" s="1"/>
      <c r="AE362" s="1" t="s">
        <v>366</v>
      </c>
      <c r="AF362" s="3">
        <v>290.55</v>
      </c>
      <c r="AG362" s="1"/>
      <c r="AH362" s="1"/>
      <c r="AI362" s="1"/>
      <c r="AJ362" s="1"/>
      <c r="AK362" s="1"/>
      <c r="AL362" s="1"/>
      <c r="AM362" s="1" t="s">
        <v>5926</v>
      </c>
      <c r="AN362" s="3">
        <v>290.55</v>
      </c>
      <c r="AO362" s="1"/>
      <c r="AP362" s="1"/>
      <c r="AQ362" s="1"/>
      <c r="AR362" s="1"/>
      <c r="AS362" s="1"/>
      <c r="AT362" s="1"/>
      <c r="AU362" s="1"/>
      <c r="AV362" s="1"/>
      <c r="AW362" s="1" t="s">
        <v>5927</v>
      </c>
      <c r="AX362" s="3">
        <v>290.55</v>
      </c>
      <c r="AY362" s="1"/>
      <c r="AZ362" s="1"/>
      <c r="BA362" s="1"/>
      <c r="BB362" s="1"/>
      <c r="BE362" s="67">
        <f t="shared" si="1"/>
        <v>0</v>
      </c>
    </row>
    <row r="363">
      <c r="A363" s="1"/>
      <c r="B363" s="1"/>
      <c r="C363" s="1"/>
      <c r="D363" s="1"/>
      <c r="E363" s="1"/>
      <c r="F363" s="1"/>
      <c r="G363" s="1"/>
      <c r="H363" s="1"/>
      <c r="I363" s="1" t="s">
        <v>5928</v>
      </c>
      <c r="J363" s="3">
        <v>290.55</v>
      </c>
      <c r="K363" s="1"/>
      <c r="L363" s="1"/>
      <c r="M363" s="1"/>
      <c r="N363" s="1"/>
      <c r="O363" s="1"/>
      <c r="P363" s="1"/>
      <c r="Q363" s="1"/>
      <c r="R363" s="1"/>
      <c r="S363" s="1"/>
      <c r="T363" s="1"/>
      <c r="U363" s="1"/>
      <c r="V363" s="1"/>
      <c r="W363" s="1"/>
      <c r="X363" s="1"/>
      <c r="Y363" s="1" t="s">
        <v>5929</v>
      </c>
      <c r="Z363" s="3">
        <v>290.55</v>
      </c>
      <c r="AA363" s="1"/>
      <c r="AB363" s="1"/>
      <c r="AC363" s="1"/>
      <c r="AD363" s="1"/>
      <c r="AE363" s="1" t="s">
        <v>367</v>
      </c>
      <c r="AF363" s="3">
        <v>290.55</v>
      </c>
      <c r="AG363" s="1"/>
      <c r="AH363" s="1"/>
      <c r="AI363" s="1"/>
      <c r="AJ363" s="1"/>
      <c r="AK363" s="1"/>
      <c r="AL363" s="1"/>
      <c r="AM363" s="1" t="s">
        <v>5930</v>
      </c>
      <c r="AN363" s="3">
        <v>290.55</v>
      </c>
      <c r="AO363" s="1"/>
      <c r="AP363" s="1"/>
      <c r="AQ363" s="1"/>
      <c r="AR363" s="1"/>
      <c r="AS363" s="1"/>
      <c r="AT363" s="1"/>
      <c r="AU363" s="1"/>
      <c r="AV363" s="1"/>
      <c r="AW363" s="1" t="s">
        <v>5931</v>
      </c>
      <c r="AX363" s="3">
        <v>290.55</v>
      </c>
      <c r="AY363" s="1"/>
      <c r="AZ363" s="1"/>
      <c r="BA363" s="1"/>
      <c r="BB363" s="1"/>
      <c r="BE363" s="67">
        <f t="shared" si="1"/>
        <v>0</v>
      </c>
    </row>
    <row r="364">
      <c r="A364" s="1"/>
      <c r="B364" s="1"/>
      <c r="C364" s="1"/>
      <c r="D364" s="1"/>
      <c r="E364" s="1"/>
      <c r="F364" s="1"/>
      <c r="G364" s="1"/>
      <c r="H364" s="1"/>
      <c r="I364" s="1" t="s">
        <v>5932</v>
      </c>
      <c r="J364" s="3">
        <v>290.55</v>
      </c>
      <c r="K364" s="1"/>
      <c r="L364" s="1"/>
      <c r="M364" s="1"/>
      <c r="N364" s="1"/>
      <c r="O364" s="1"/>
      <c r="P364" s="1"/>
      <c r="Q364" s="1"/>
      <c r="R364" s="1"/>
      <c r="S364" s="1"/>
      <c r="T364" s="1"/>
      <c r="U364" s="1"/>
      <c r="V364" s="1"/>
      <c r="W364" s="1"/>
      <c r="X364" s="1"/>
      <c r="Y364" s="1" t="s">
        <v>5933</v>
      </c>
      <c r="Z364" s="3">
        <v>290.55</v>
      </c>
      <c r="AA364" s="1"/>
      <c r="AB364" s="1"/>
      <c r="AC364" s="1"/>
      <c r="AD364" s="1"/>
      <c r="AE364" s="1" t="s">
        <v>368</v>
      </c>
      <c r="AF364" s="3">
        <v>290.55</v>
      </c>
      <c r="AG364" s="1"/>
      <c r="AH364" s="1"/>
      <c r="AI364" s="1"/>
      <c r="AJ364" s="1"/>
      <c r="AK364" s="1"/>
      <c r="AL364" s="1"/>
      <c r="AM364" s="1" t="s">
        <v>5934</v>
      </c>
      <c r="AN364" s="3">
        <v>290.55</v>
      </c>
      <c r="AO364" s="1"/>
      <c r="AP364" s="1"/>
      <c r="AQ364" s="1"/>
      <c r="AR364" s="1"/>
      <c r="AS364" s="1"/>
      <c r="AT364" s="1"/>
      <c r="AU364" s="1"/>
      <c r="AV364" s="1"/>
      <c r="AW364" s="1" t="s">
        <v>5935</v>
      </c>
      <c r="AX364" s="3">
        <v>290.55</v>
      </c>
      <c r="AY364" s="1"/>
      <c r="AZ364" s="1"/>
      <c r="BA364" s="1"/>
      <c r="BB364" s="1"/>
      <c r="BE364" s="67">
        <f t="shared" si="1"/>
        <v>0</v>
      </c>
    </row>
    <row r="365">
      <c r="A365" s="1"/>
      <c r="B365" s="1"/>
      <c r="C365" s="1"/>
      <c r="D365" s="1"/>
      <c r="E365" s="1"/>
      <c r="F365" s="1"/>
      <c r="G365" s="1"/>
      <c r="H365" s="1"/>
      <c r="I365" s="1" t="s">
        <v>5936</v>
      </c>
      <c r="J365" s="3">
        <v>290.55</v>
      </c>
      <c r="K365" s="1"/>
      <c r="L365" s="1"/>
      <c r="M365" s="1"/>
      <c r="N365" s="1"/>
      <c r="O365" s="1"/>
      <c r="P365" s="1"/>
      <c r="Q365" s="1"/>
      <c r="R365" s="1"/>
      <c r="S365" s="1"/>
      <c r="T365" s="1"/>
      <c r="U365" s="1"/>
      <c r="V365" s="1"/>
      <c r="W365" s="1"/>
      <c r="X365" s="1"/>
      <c r="Y365" s="1" t="s">
        <v>5937</v>
      </c>
      <c r="Z365" s="3">
        <v>290.55</v>
      </c>
      <c r="AA365" s="1"/>
      <c r="AB365" s="1"/>
      <c r="AC365" s="1"/>
      <c r="AD365" s="1"/>
      <c r="AE365" s="1" t="s">
        <v>369</v>
      </c>
      <c r="AF365" s="3">
        <v>290.55</v>
      </c>
      <c r="AG365" s="1"/>
      <c r="AH365" s="1"/>
      <c r="AI365" s="1"/>
      <c r="AJ365" s="1"/>
      <c r="AK365" s="1"/>
      <c r="AL365" s="1"/>
      <c r="AM365" s="1" t="s">
        <v>5938</v>
      </c>
      <c r="AN365" s="3">
        <v>290.55</v>
      </c>
      <c r="AO365" s="1"/>
      <c r="AP365" s="1"/>
      <c r="AQ365" s="1"/>
      <c r="AR365" s="1"/>
      <c r="AS365" s="1"/>
      <c r="AT365" s="1"/>
      <c r="AU365" s="1"/>
      <c r="AV365" s="1"/>
      <c r="AW365" s="1" t="s">
        <v>5939</v>
      </c>
      <c r="AX365" s="3">
        <v>290.55</v>
      </c>
      <c r="AY365" s="1"/>
      <c r="AZ365" s="1"/>
      <c r="BA365" s="1"/>
      <c r="BB365" s="1"/>
      <c r="BE365" s="67">
        <f t="shared" si="1"/>
        <v>0</v>
      </c>
    </row>
    <row r="366">
      <c r="A366" s="1"/>
      <c r="B366" s="1"/>
      <c r="C366" s="1"/>
      <c r="D366" s="1"/>
      <c r="E366" s="1"/>
      <c r="F366" s="1"/>
      <c r="G366" s="1"/>
      <c r="H366" s="1"/>
      <c r="I366" s="1" t="s">
        <v>5940</v>
      </c>
      <c r="J366" s="3">
        <v>290.55</v>
      </c>
      <c r="K366" s="1"/>
      <c r="L366" s="1"/>
      <c r="M366" s="1"/>
      <c r="N366" s="1"/>
      <c r="O366" s="1"/>
      <c r="P366" s="1"/>
      <c r="Q366" s="1"/>
      <c r="R366" s="1"/>
      <c r="S366" s="1"/>
      <c r="T366" s="1"/>
      <c r="U366" s="1"/>
      <c r="V366" s="1"/>
      <c r="W366" s="1"/>
      <c r="X366" s="1"/>
      <c r="Y366" s="1" t="s">
        <v>5941</v>
      </c>
      <c r="Z366" s="3">
        <v>290.55</v>
      </c>
      <c r="AA366" s="1"/>
      <c r="AB366" s="1"/>
      <c r="AC366" s="1"/>
      <c r="AD366" s="1"/>
      <c r="AE366" s="1" t="s">
        <v>370</v>
      </c>
      <c r="AF366" s="3">
        <v>290.55</v>
      </c>
      <c r="AG366" s="1"/>
      <c r="AH366" s="1"/>
      <c r="AI366" s="1"/>
      <c r="AJ366" s="1"/>
      <c r="AK366" s="1"/>
      <c r="AL366" s="1"/>
      <c r="AM366" s="1" t="s">
        <v>5942</v>
      </c>
      <c r="AN366" s="3">
        <v>290.55</v>
      </c>
      <c r="AO366" s="1"/>
      <c r="AP366" s="1"/>
      <c r="AQ366" s="1"/>
      <c r="AR366" s="1"/>
      <c r="AS366" s="1"/>
      <c r="AT366" s="1"/>
      <c r="AU366" s="1"/>
      <c r="AV366" s="1"/>
      <c r="AW366" s="1" t="s">
        <v>5943</v>
      </c>
      <c r="AX366" s="3">
        <v>290.55</v>
      </c>
      <c r="AY366" s="1"/>
      <c r="AZ366" s="1"/>
      <c r="BA366" s="1"/>
      <c r="BB366" s="1"/>
      <c r="BE366" s="67">
        <f t="shared" si="1"/>
        <v>0</v>
      </c>
    </row>
    <row r="367">
      <c r="A367" s="1"/>
      <c r="B367" s="1"/>
      <c r="C367" s="1"/>
      <c r="D367" s="1"/>
      <c r="E367" s="1"/>
      <c r="F367" s="1"/>
      <c r="G367" s="1"/>
      <c r="H367" s="1"/>
      <c r="I367" s="1" t="s">
        <v>5944</v>
      </c>
      <c r="J367" s="3">
        <v>290.55</v>
      </c>
      <c r="K367" s="1"/>
      <c r="L367" s="1"/>
      <c r="M367" s="1"/>
      <c r="N367" s="1"/>
      <c r="O367" s="1"/>
      <c r="P367" s="1"/>
      <c r="Q367" s="1"/>
      <c r="R367" s="1"/>
      <c r="S367" s="1"/>
      <c r="T367" s="1"/>
      <c r="U367" s="1"/>
      <c r="V367" s="1"/>
      <c r="W367" s="1"/>
      <c r="X367" s="1"/>
      <c r="Y367" s="1" t="s">
        <v>5945</v>
      </c>
      <c r="Z367" s="3">
        <v>290.55</v>
      </c>
      <c r="AA367" s="1"/>
      <c r="AB367" s="1"/>
      <c r="AC367" s="1"/>
      <c r="AD367" s="1"/>
      <c r="AE367" s="1" t="s">
        <v>371</v>
      </c>
      <c r="AF367" s="3">
        <v>290.55</v>
      </c>
      <c r="AG367" s="1"/>
      <c r="AH367" s="1"/>
      <c r="AI367" s="1"/>
      <c r="AJ367" s="1"/>
      <c r="AK367" s="1"/>
      <c r="AL367" s="1"/>
      <c r="AM367" s="1" t="s">
        <v>4152</v>
      </c>
      <c r="AN367" s="3">
        <v>290.55</v>
      </c>
      <c r="AO367" s="1"/>
      <c r="AP367" s="1"/>
      <c r="AQ367" s="1"/>
      <c r="AR367" s="1"/>
      <c r="AS367" s="1"/>
      <c r="AT367" s="1"/>
      <c r="AU367" s="1"/>
      <c r="AV367" s="1"/>
      <c r="AW367" s="1" t="s">
        <v>5946</v>
      </c>
      <c r="AX367" s="3">
        <v>290.55</v>
      </c>
      <c r="AY367" s="1"/>
      <c r="AZ367" s="1"/>
      <c r="BA367" s="1"/>
      <c r="BB367" s="1"/>
      <c r="BE367" s="67">
        <f t="shared" si="1"/>
        <v>0</v>
      </c>
    </row>
    <row r="368">
      <c r="A368" s="1"/>
      <c r="B368" s="1"/>
      <c r="C368" s="1"/>
      <c r="D368" s="1"/>
      <c r="E368" s="1"/>
      <c r="F368" s="1"/>
      <c r="G368" s="1"/>
      <c r="H368" s="1"/>
      <c r="I368" s="1" t="s">
        <v>5947</v>
      </c>
      <c r="J368" s="3">
        <v>290.55</v>
      </c>
      <c r="K368" s="1"/>
      <c r="L368" s="1"/>
      <c r="M368" s="1"/>
      <c r="N368" s="1"/>
      <c r="O368" s="1"/>
      <c r="P368" s="1"/>
      <c r="Q368" s="1"/>
      <c r="R368" s="1"/>
      <c r="S368" s="1"/>
      <c r="T368" s="1"/>
      <c r="U368" s="1"/>
      <c r="V368" s="1"/>
      <c r="W368" s="1"/>
      <c r="X368" s="1"/>
      <c r="Y368" s="1" t="s">
        <v>5948</v>
      </c>
      <c r="Z368" s="3">
        <v>290.55</v>
      </c>
      <c r="AA368" s="1"/>
      <c r="AB368" s="1"/>
      <c r="AC368" s="1"/>
      <c r="AD368" s="1"/>
      <c r="AE368" s="1" t="s">
        <v>372</v>
      </c>
      <c r="AF368" s="3">
        <v>290.55</v>
      </c>
      <c r="AG368" s="1"/>
      <c r="AH368" s="1"/>
      <c r="AI368" s="1"/>
      <c r="AJ368" s="1"/>
      <c r="AK368" s="1"/>
      <c r="AL368" s="1"/>
      <c r="AM368" s="1" t="s">
        <v>5949</v>
      </c>
      <c r="AN368" s="3">
        <v>290.55</v>
      </c>
      <c r="AO368" s="1"/>
      <c r="AP368" s="1"/>
      <c r="AQ368" s="1"/>
      <c r="AR368" s="1"/>
      <c r="AS368" s="1"/>
      <c r="AT368" s="1"/>
      <c r="AU368" s="1"/>
      <c r="AV368" s="1"/>
      <c r="AW368" s="1" t="s">
        <v>5950</v>
      </c>
      <c r="AX368" s="3">
        <v>290.55</v>
      </c>
      <c r="AY368" s="1"/>
      <c r="AZ368" s="1"/>
      <c r="BA368" s="1"/>
      <c r="BB368" s="1"/>
      <c r="BE368" s="67">
        <f t="shared" si="1"/>
        <v>0</v>
      </c>
    </row>
    <row r="369">
      <c r="A369" s="1"/>
      <c r="B369" s="1"/>
      <c r="C369" s="1"/>
      <c r="D369" s="1"/>
      <c r="E369" s="1"/>
      <c r="F369" s="1"/>
      <c r="G369" s="1"/>
      <c r="H369" s="1"/>
      <c r="I369" s="1" t="s">
        <v>5951</v>
      </c>
      <c r="J369" s="3">
        <v>290.55</v>
      </c>
      <c r="K369" s="1"/>
      <c r="L369" s="1"/>
      <c r="M369" s="1"/>
      <c r="N369" s="1"/>
      <c r="O369" s="1"/>
      <c r="P369" s="1"/>
      <c r="Q369" s="1"/>
      <c r="R369" s="1"/>
      <c r="S369" s="1"/>
      <c r="T369" s="1"/>
      <c r="U369" s="1"/>
      <c r="V369" s="1"/>
      <c r="W369" s="1"/>
      <c r="X369" s="1"/>
      <c r="Y369" s="1" t="s">
        <v>5952</v>
      </c>
      <c r="Z369" s="3">
        <v>290.55</v>
      </c>
      <c r="AA369" s="1"/>
      <c r="AB369" s="1"/>
      <c r="AC369" s="1"/>
      <c r="AD369" s="1"/>
      <c r="AE369" s="1" t="s">
        <v>373</v>
      </c>
      <c r="AF369" s="3">
        <v>290.55</v>
      </c>
      <c r="AG369" s="1"/>
      <c r="AH369" s="1"/>
      <c r="AI369" s="1"/>
      <c r="AJ369" s="1"/>
      <c r="AK369" s="1"/>
      <c r="AL369" s="1"/>
      <c r="AM369" s="1" t="s">
        <v>5953</v>
      </c>
      <c r="AN369" s="3">
        <v>290.55</v>
      </c>
      <c r="AO369" s="1"/>
      <c r="AP369" s="1"/>
      <c r="AQ369" s="1"/>
      <c r="AR369" s="1"/>
      <c r="AS369" s="1"/>
      <c r="AT369" s="1"/>
      <c r="AU369" s="1"/>
      <c r="AV369" s="1"/>
      <c r="AW369" s="1" t="s">
        <v>5954</v>
      </c>
      <c r="AX369" s="3">
        <v>290.55</v>
      </c>
      <c r="AY369" s="1"/>
      <c r="AZ369" s="1"/>
      <c r="BA369" s="1"/>
      <c r="BB369" s="1"/>
      <c r="BE369" s="67">
        <f t="shared" si="1"/>
        <v>0</v>
      </c>
    </row>
    <row r="370">
      <c r="A370" s="1"/>
      <c r="B370" s="1"/>
      <c r="C370" s="1"/>
      <c r="D370" s="1"/>
      <c r="E370" s="1"/>
      <c r="F370" s="1"/>
      <c r="G370" s="1"/>
      <c r="H370" s="1"/>
      <c r="I370" s="1" t="s">
        <v>5955</v>
      </c>
      <c r="J370" s="3">
        <v>290.55</v>
      </c>
      <c r="K370" s="1"/>
      <c r="L370" s="1"/>
      <c r="M370" s="1"/>
      <c r="N370" s="1"/>
      <c r="O370" s="1"/>
      <c r="P370" s="1"/>
      <c r="Q370" s="1"/>
      <c r="R370" s="1"/>
      <c r="S370" s="1"/>
      <c r="T370" s="1"/>
      <c r="U370" s="1"/>
      <c r="V370" s="1"/>
      <c r="W370" s="1"/>
      <c r="X370" s="1"/>
      <c r="Y370" s="1" t="s">
        <v>5956</v>
      </c>
      <c r="Z370" s="3">
        <v>290.55</v>
      </c>
      <c r="AA370" s="1"/>
      <c r="AB370" s="1"/>
      <c r="AC370" s="1"/>
      <c r="AD370" s="1"/>
      <c r="AE370" s="1" t="s">
        <v>374</v>
      </c>
      <c r="AF370" s="3">
        <v>290.55</v>
      </c>
      <c r="AG370" s="1"/>
      <c r="AH370" s="1"/>
      <c r="AI370" s="1"/>
      <c r="AJ370" s="1"/>
      <c r="AK370" s="1"/>
      <c r="AL370" s="1"/>
      <c r="AM370" s="1" t="s">
        <v>5957</v>
      </c>
      <c r="AN370" s="3">
        <v>290.55</v>
      </c>
      <c r="AO370" s="1"/>
      <c r="AP370" s="1"/>
      <c r="AQ370" s="1"/>
      <c r="AR370" s="1"/>
      <c r="AS370" s="1"/>
      <c r="AT370" s="1"/>
      <c r="AU370" s="1"/>
      <c r="AV370" s="1"/>
      <c r="AW370" s="1" t="s">
        <v>5958</v>
      </c>
      <c r="AX370" s="3">
        <v>290.55</v>
      </c>
      <c r="AY370" s="1"/>
      <c r="AZ370" s="1"/>
      <c r="BA370" s="1"/>
      <c r="BB370" s="1"/>
      <c r="BE370" s="67">
        <f t="shared" si="1"/>
        <v>0</v>
      </c>
    </row>
    <row r="371">
      <c r="A371" s="1"/>
      <c r="B371" s="1"/>
      <c r="C371" s="1"/>
      <c r="D371" s="1"/>
      <c r="E371" s="1"/>
      <c r="F371" s="1"/>
      <c r="G371" s="1"/>
      <c r="H371" s="1"/>
      <c r="I371" s="1" t="s">
        <v>5959</v>
      </c>
      <c r="J371" s="3">
        <v>290.55</v>
      </c>
      <c r="K371" s="1"/>
      <c r="L371" s="1"/>
      <c r="M371" s="1"/>
      <c r="N371" s="1"/>
      <c r="O371" s="1"/>
      <c r="P371" s="1"/>
      <c r="Q371" s="1"/>
      <c r="R371" s="1"/>
      <c r="S371" s="1"/>
      <c r="T371" s="1"/>
      <c r="U371" s="1"/>
      <c r="V371" s="1"/>
      <c r="W371" s="1"/>
      <c r="X371" s="1"/>
      <c r="Y371" s="1" t="s">
        <v>5960</v>
      </c>
      <c r="Z371" s="3">
        <v>290.55</v>
      </c>
      <c r="AA371" s="1"/>
      <c r="AB371" s="1"/>
      <c r="AC371" s="1"/>
      <c r="AD371" s="1"/>
      <c r="AE371" s="1" t="s">
        <v>375</v>
      </c>
      <c r="AF371" s="3">
        <v>290.55</v>
      </c>
      <c r="AG371" s="1"/>
      <c r="AH371" s="1"/>
      <c r="AI371" s="1"/>
      <c r="AJ371" s="1"/>
      <c r="AK371" s="1"/>
      <c r="AL371" s="1"/>
      <c r="AM371" s="1" t="s">
        <v>5961</v>
      </c>
      <c r="AN371" s="3">
        <v>290.55</v>
      </c>
      <c r="AO371" s="1"/>
      <c r="AP371" s="1"/>
      <c r="AQ371" s="1"/>
      <c r="AR371" s="1"/>
      <c r="AS371" s="1"/>
      <c r="AT371" s="1"/>
      <c r="AU371" s="1"/>
      <c r="AV371" s="1"/>
      <c r="AW371" s="1" t="s">
        <v>5962</v>
      </c>
      <c r="AX371" s="3">
        <v>290.55</v>
      </c>
      <c r="AY371" s="1"/>
      <c r="AZ371" s="1"/>
      <c r="BA371" s="1"/>
      <c r="BB371" s="1"/>
      <c r="BE371" s="67">
        <f t="shared" si="1"/>
        <v>0</v>
      </c>
    </row>
    <row r="372">
      <c r="A372" s="1"/>
      <c r="B372" s="1"/>
      <c r="C372" s="1"/>
      <c r="D372" s="1"/>
      <c r="E372" s="1"/>
      <c r="F372" s="1"/>
      <c r="G372" s="1"/>
      <c r="H372" s="1"/>
      <c r="I372" s="1" t="s">
        <v>5963</v>
      </c>
      <c r="J372" s="3">
        <v>290.55</v>
      </c>
      <c r="K372" s="1"/>
      <c r="L372" s="1"/>
      <c r="M372" s="1"/>
      <c r="N372" s="1"/>
      <c r="O372" s="1"/>
      <c r="P372" s="1"/>
      <c r="Q372" s="1"/>
      <c r="R372" s="1"/>
      <c r="S372" s="1"/>
      <c r="T372" s="1"/>
      <c r="U372" s="1"/>
      <c r="V372" s="1"/>
      <c r="W372" s="1"/>
      <c r="X372" s="1"/>
      <c r="Y372" s="1" t="s">
        <v>5964</v>
      </c>
      <c r="Z372" s="3">
        <v>290.55</v>
      </c>
      <c r="AA372" s="1"/>
      <c r="AB372" s="1"/>
      <c r="AC372" s="1"/>
      <c r="AD372" s="1"/>
      <c r="AE372" s="1" t="s">
        <v>376</v>
      </c>
      <c r="AF372" s="3">
        <v>290.55</v>
      </c>
      <c r="AG372" s="1"/>
      <c r="AH372" s="1"/>
      <c r="AI372" s="1"/>
      <c r="AJ372" s="1"/>
      <c r="AK372" s="1"/>
      <c r="AL372" s="1"/>
      <c r="AM372" s="1" t="s">
        <v>5965</v>
      </c>
      <c r="AN372" s="3">
        <v>290.55</v>
      </c>
      <c r="AO372" s="1"/>
      <c r="AP372" s="1"/>
      <c r="AQ372" s="1"/>
      <c r="AR372" s="1"/>
      <c r="AS372" s="1"/>
      <c r="AT372" s="1"/>
      <c r="AU372" s="1"/>
      <c r="AV372" s="1"/>
      <c r="AW372" s="1" t="s">
        <v>5966</v>
      </c>
      <c r="AX372" s="3">
        <v>290.55</v>
      </c>
      <c r="AY372" s="1"/>
      <c r="AZ372" s="1"/>
      <c r="BA372" s="1"/>
      <c r="BB372" s="1"/>
      <c r="BE372" s="67">
        <f t="shared" si="1"/>
        <v>0</v>
      </c>
    </row>
    <row r="373">
      <c r="A373" s="1"/>
      <c r="B373" s="1"/>
      <c r="C373" s="1"/>
      <c r="D373" s="1"/>
      <c r="E373" s="1"/>
      <c r="F373" s="1"/>
      <c r="G373" s="1"/>
      <c r="H373" s="1"/>
      <c r="I373" s="1" t="s">
        <v>5967</v>
      </c>
      <c r="J373" s="3">
        <v>290.55</v>
      </c>
      <c r="K373" s="1"/>
      <c r="L373" s="1"/>
      <c r="M373" s="1"/>
      <c r="N373" s="1"/>
      <c r="O373" s="1"/>
      <c r="P373" s="1"/>
      <c r="Q373" s="1"/>
      <c r="R373" s="1"/>
      <c r="S373" s="1"/>
      <c r="T373" s="1"/>
      <c r="U373" s="1"/>
      <c r="V373" s="1"/>
      <c r="W373" s="1"/>
      <c r="X373" s="1"/>
      <c r="Y373" s="1" t="s">
        <v>5968</v>
      </c>
      <c r="Z373" s="3">
        <v>290.55</v>
      </c>
      <c r="AA373" s="1"/>
      <c r="AB373" s="1"/>
      <c r="AC373" s="1"/>
      <c r="AD373" s="1"/>
      <c r="AE373" s="1" t="s">
        <v>377</v>
      </c>
      <c r="AF373" s="3">
        <v>290.55</v>
      </c>
      <c r="AG373" s="1"/>
      <c r="AH373" s="1"/>
      <c r="AI373" s="1"/>
      <c r="AJ373" s="1"/>
      <c r="AK373" s="1"/>
      <c r="AL373" s="1"/>
      <c r="AM373" s="1" t="s">
        <v>5969</v>
      </c>
      <c r="AN373" s="3">
        <v>290.55</v>
      </c>
      <c r="AO373" s="1"/>
      <c r="AP373" s="1"/>
      <c r="AQ373" s="1"/>
      <c r="AR373" s="1"/>
      <c r="AS373" s="1"/>
      <c r="AT373" s="1"/>
      <c r="AU373" s="1"/>
      <c r="AV373" s="1"/>
      <c r="AW373" s="1" t="s">
        <v>5970</v>
      </c>
      <c r="AX373" s="3">
        <v>290.55</v>
      </c>
      <c r="AY373" s="1"/>
      <c r="AZ373" s="1"/>
      <c r="BA373" s="1"/>
      <c r="BB373" s="1"/>
      <c r="BE373" s="67">
        <f t="shared" si="1"/>
        <v>0</v>
      </c>
    </row>
    <row r="374">
      <c r="A374" s="1"/>
      <c r="B374" s="1"/>
      <c r="C374" s="1"/>
      <c r="D374" s="1"/>
      <c r="E374" s="1"/>
      <c r="F374" s="1"/>
      <c r="G374" s="1"/>
      <c r="H374" s="1"/>
      <c r="I374" s="1" t="s">
        <v>5971</v>
      </c>
      <c r="J374" s="3">
        <v>290.55</v>
      </c>
      <c r="K374" s="1"/>
      <c r="L374" s="1"/>
      <c r="M374" s="1"/>
      <c r="N374" s="1"/>
      <c r="O374" s="1"/>
      <c r="P374" s="1"/>
      <c r="Q374" s="1"/>
      <c r="R374" s="1"/>
      <c r="S374" s="1"/>
      <c r="T374" s="1"/>
      <c r="U374" s="1"/>
      <c r="V374" s="1"/>
      <c r="W374" s="1"/>
      <c r="X374" s="1"/>
      <c r="Y374" s="1" t="s">
        <v>5972</v>
      </c>
      <c r="Z374" s="3">
        <v>290.55</v>
      </c>
      <c r="AA374" s="1"/>
      <c r="AB374" s="1"/>
      <c r="AC374" s="1"/>
      <c r="AD374" s="1"/>
      <c r="AE374" s="1" t="s">
        <v>378</v>
      </c>
      <c r="AF374" s="3">
        <v>290.55</v>
      </c>
      <c r="AG374" s="1"/>
      <c r="AH374" s="1"/>
      <c r="AI374" s="1"/>
      <c r="AJ374" s="1"/>
      <c r="AK374" s="1"/>
      <c r="AL374" s="1"/>
      <c r="AM374" s="1" t="s">
        <v>5973</v>
      </c>
      <c r="AN374" s="3">
        <v>290.55</v>
      </c>
      <c r="AO374" s="1"/>
      <c r="AP374" s="1"/>
      <c r="AQ374" s="1"/>
      <c r="AR374" s="1"/>
      <c r="AS374" s="1"/>
      <c r="AT374" s="1"/>
      <c r="AU374" s="1"/>
      <c r="AV374" s="1"/>
      <c r="AW374" s="1" t="s">
        <v>5974</v>
      </c>
      <c r="AX374" s="3">
        <v>290.55</v>
      </c>
      <c r="AY374" s="1"/>
      <c r="AZ374" s="1"/>
      <c r="BA374" s="1"/>
      <c r="BB374" s="1"/>
      <c r="BE374" s="67">
        <f t="shared" si="1"/>
        <v>0</v>
      </c>
    </row>
    <row r="375">
      <c r="A375" s="1"/>
      <c r="B375" s="1"/>
      <c r="C375" s="1"/>
      <c r="D375" s="1"/>
      <c r="E375" s="1"/>
      <c r="F375" s="1"/>
      <c r="G375" s="1"/>
      <c r="H375" s="1"/>
      <c r="I375" s="1" t="s">
        <v>5975</v>
      </c>
      <c r="J375" s="3">
        <v>290.55</v>
      </c>
      <c r="K375" s="1"/>
      <c r="L375" s="1"/>
      <c r="M375" s="1"/>
      <c r="N375" s="1"/>
      <c r="O375" s="1"/>
      <c r="P375" s="1"/>
      <c r="Q375" s="1"/>
      <c r="R375" s="1"/>
      <c r="S375" s="1"/>
      <c r="T375" s="1"/>
      <c r="U375" s="1"/>
      <c r="V375" s="1"/>
      <c r="W375" s="1"/>
      <c r="X375" s="1"/>
      <c r="Y375" s="1" t="s">
        <v>5976</v>
      </c>
      <c r="Z375" s="3">
        <v>290.55</v>
      </c>
      <c r="AA375" s="1"/>
      <c r="AB375" s="1"/>
      <c r="AC375" s="1"/>
      <c r="AD375" s="1"/>
      <c r="AE375" s="1" t="s">
        <v>379</v>
      </c>
      <c r="AF375" s="3">
        <v>290.55</v>
      </c>
      <c r="AG375" s="1"/>
      <c r="AH375" s="1"/>
      <c r="AI375" s="1"/>
      <c r="AJ375" s="1"/>
      <c r="AK375" s="1"/>
      <c r="AL375" s="1"/>
      <c r="AM375" s="1" t="s">
        <v>5977</v>
      </c>
      <c r="AN375" s="3">
        <v>290.55</v>
      </c>
      <c r="AO375" s="1"/>
      <c r="AP375" s="1"/>
      <c r="AQ375" s="1"/>
      <c r="AR375" s="1"/>
      <c r="AS375" s="1"/>
      <c r="AT375" s="1"/>
      <c r="AU375" s="1"/>
      <c r="AV375" s="1"/>
      <c r="AW375" s="1" t="s">
        <v>5978</v>
      </c>
      <c r="AX375" s="3">
        <v>290.55</v>
      </c>
      <c r="AY375" s="1"/>
      <c r="AZ375" s="1"/>
      <c r="BA375" s="1"/>
      <c r="BB375" s="1"/>
      <c r="BE375" s="67">
        <f t="shared" si="1"/>
        <v>0</v>
      </c>
    </row>
    <row r="376">
      <c r="A376" s="1"/>
      <c r="B376" s="1"/>
      <c r="C376" s="1"/>
      <c r="D376" s="1"/>
      <c r="E376" s="1"/>
      <c r="F376" s="1"/>
      <c r="G376" s="1"/>
      <c r="H376" s="1"/>
      <c r="I376" s="1" t="s">
        <v>4521</v>
      </c>
      <c r="J376" s="3">
        <v>290.55</v>
      </c>
      <c r="K376" s="1"/>
      <c r="L376" s="1"/>
      <c r="M376" s="1"/>
      <c r="N376" s="1"/>
      <c r="O376" s="1"/>
      <c r="P376" s="1"/>
      <c r="Q376" s="1"/>
      <c r="R376" s="1"/>
      <c r="S376" s="1"/>
      <c r="T376" s="1"/>
      <c r="U376" s="1"/>
      <c r="V376" s="1"/>
      <c r="W376" s="1"/>
      <c r="X376" s="1"/>
      <c r="Y376" s="1" t="s">
        <v>5979</v>
      </c>
      <c r="Z376" s="3">
        <v>290.55</v>
      </c>
      <c r="AA376" s="1"/>
      <c r="AB376" s="1"/>
      <c r="AC376" s="1"/>
      <c r="AD376" s="1"/>
      <c r="AE376" s="1" t="s">
        <v>380</v>
      </c>
      <c r="AF376" s="3">
        <v>290.55</v>
      </c>
      <c r="AG376" s="1"/>
      <c r="AH376" s="1"/>
      <c r="AI376" s="1"/>
      <c r="AJ376" s="1"/>
      <c r="AK376" s="1"/>
      <c r="AL376" s="1"/>
      <c r="AM376" s="1" t="s">
        <v>5980</v>
      </c>
      <c r="AN376" s="3">
        <v>290.55</v>
      </c>
      <c r="AO376" s="1"/>
      <c r="AP376" s="1"/>
      <c r="AQ376" s="1"/>
      <c r="AR376" s="1"/>
      <c r="AS376" s="1"/>
      <c r="AT376" s="1"/>
      <c r="AU376" s="1"/>
      <c r="AV376" s="1"/>
      <c r="AW376" s="1" t="s">
        <v>5981</v>
      </c>
      <c r="AX376" s="3">
        <v>290.55</v>
      </c>
      <c r="AY376" s="1"/>
      <c r="AZ376" s="1"/>
      <c r="BA376" s="1"/>
      <c r="BB376" s="1"/>
      <c r="BE376" s="67">
        <f t="shared" si="1"/>
        <v>0</v>
      </c>
    </row>
    <row r="377">
      <c r="A377" s="1"/>
      <c r="B377" s="1"/>
      <c r="C377" s="1"/>
      <c r="D377" s="1"/>
      <c r="E377" s="1"/>
      <c r="F377" s="1"/>
      <c r="G377" s="1"/>
      <c r="H377" s="1"/>
      <c r="I377" s="1" t="s">
        <v>5982</v>
      </c>
      <c r="J377" s="3">
        <v>290.55</v>
      </c>
      <c r="K377" s="1"/>
      <c r="L377" s="1"/>
      <c r="M377" s="1"/>
      <c r="N377" s="1"/>
      <c r="O377" s="1"/>
      <c r="P377" s="1"/>
      <c r="Q377" s="1"/>
      <c r="R377" s="1"/>
      <c r="S377" s="1"/>
      <c r="T377" s="1"/>
      <c r="U377" s="1"/>
      <c r="V377" s="1"/>
      <c r="W377" s="1"/>
      <c r="X377" s="1"/>
      <c r="Y377" s="1" t="s">
        <v>5983</v>
      </c>
      <c r="Z377" s="3">
        <v>290.55</v>
      </c>
      <c r="AA377" s="1"/>
      <c r="AB377" s="1"/>
      <c r="AC377" s="1"/>
      <c r="AD377" s="1"/>
      <c r="AE377" s="1" t="s">
        <v>381</v>
      </c>
      <c r="AF377" s="3">
        <v>290.55</v>
      </c>
      <c r="AG377" s="1"/>
      <c r="AH377" s="1"/>
      <c r="AI377" s="1"/>
      <c r="AJ377" s="1"/>
      <c r="AK377" s="1"/>
      <c r="AL377" s="1"/>
      <c r="AM377" s="1" t="s">
        <v>5984</v>
      </c>
      <c r="AN377" s="3">
        <v>290.55</v>
      </c>
      <c r="AO377" s="1"/>
      <c r="AP377" s="1"/>
      <c r="AQ377" s="1"/>
      <c r="AR377" s="1"/>
      <c r="AS377" s="1"/>
      <c r="AT377" s="1"/>
      <c r="AU377" s="1"/>
      <c r="AV377" s="1"/>
      <c r="AW377" s="1" t="s">
        <v>5985</v>
      </c>
      <c r="AX377" s="3">
        <v>290.55</v>
      </c>
      <c r="AY377" s="1"/>
      <c r="AZ377" s="1"/>
      <c r="BA377" s="1"/>
      <c r="BB377" s="1"/>
      <c r="BE377" s="67">
        <f t="shared" si="1"/>
        <v>0</v>
      </c>
    </row>
    <row r="378">
      <c r="A378" s="1"/>
      <c r="B378" s="1"/>
      <c r="C378" s="1"/>
      <c r="D378" s="1"/>
      <c r="E378" s="1"/>
      <c r="F378" s="1"/>
      <c r="G378" s="1"/>
      <c r="H378" s="1"/>
      <c r="I378" s="1" t="s">
        <v>5986</v>
      </c>
      <c r="J378" s="3">
        <v>290.55</v>
      </c>
      <c r="K378" s="1"/>
      <c r="L378" s="1"/>
      <c r="M378" s="1"/>
      <c r="N378" s="1"/>
      <c r="O378" s="1"/>
      <c r="P378" s="1"/>
      <c r="Q378" s="1"/>
      <c r="R378" s="1"/>
      <c r="S378" s="1"/>
      <c r="T378" s="1"/>
      <c r="U378" s="1"/>
      <c r="V378" s="1"/>
      <c r="W378" s="1"/>
      <c r="X378" s="1"/>
      <c r="Y378" s="1" t="s">
        <v>5987</v>
      </c>
      <c r="Z378" s="3">
        <v>290.55</v>
      </c>
      <c r="AA378" s="1"/>
      <c r="AB378" s="1"/>
      <c r="AC378" s="1"/>
      <c r="AD378" s="1"/>
      <c r="AE378" s="1" t="s">
        <v>382</v>
      </c>
      <c r="AF378" s="3">
        <v>290.55</v>
      </c>
      <c r="AG378" s="1"/>
      <c r="AH378" s="1"/>
      <c r="AI378" s="1"/>
      <c r="AJ378" s="1"/>
      <c r="AK378" s="1"/>
      <c r="AL378" s="1"/>
      <c r="AM378" s="1" t="s">
        <v>5988</v>
      </c>
      <c r="AN378" s="3">
        <v>290.55</v>
      </c>
      <c r="AO378" s="1"/>
      <c r="AP378" s="1"/>
      <c r="AQ378" s="1"/>
      <c r="AR378" s="1"/>
      <c r="AS378" s="1"/>
      <c r="AT378" s="1"/>
      <c r="AU378" s="1"/>
      <c r="AV378" s="1"/>
      <c r="AW378" s="1" t="s">
        <v>5989</v>
      </c>
      <c r="AX378" s="3">
        <v>290.55</v>
      </c>
      <c r="AY378" s="1"/>
      <c r="AZ378" s="1"/>
      <c r="BA378" s="1"/>
      <c r="BB378" s="1"/>
      <c r="BE378" s="67">
        <f t="shared" si="1"/>
        <v>0</v>
      </c>
    </row>
    <row r="379">
      <c r="A379" s="1"/>
      <c r="B379" s="1"/>
      <c r="C379" s="1"/>
      <c r="D379" s="1"/>
      <c r="E379" s="1"/>
      <c r="F379" s="1"/>
      <c r="G379" s="1"/>
      <c r="H379" s="1"/>
      <c r="I379" s="1" t="s">
        <v>5990</v>
      </c>
      <c r="J379" s="3">
        <v>290.55</v>
      </c>
      <c r="K379" s="1"/>
      <c r="L379" s="1"/>
      <c r="M379" s="1"/>
      <c r="N379" s="1"/>
      <c r="O379" s="1"/>
      <c r="P379" s="1"/>
      <c r="Q379" s="1"/>
      <c r="R379" s="1"/>
      <c r="S379" s="1"/>
      <c r="T379" s="1"/>
      <c r="U379" s="1"/>
      <c r="V379" s="1"/>
      <c r="W379" s="1"/>
      <c r="X379" s="1"/>
      <c r="Y379" s="1" t="s">
        <v>5991</v>
      </c>
      <c r="Z379" s="3">
        <v>290.55</v>
      </c>
      <c r="AA379" s="1"/>
      <c r="AB379" s="1"/>
      <c r="AC379" s="1"/>
      <c r="AD379" s="1"/>
      <c r="AE379" s="1" t="s">
        <v>383</v>
      </c>
      <c r="AF379" s="3">
        <v>290.55</v>
      </c>
      <c r="AG379" s="1"/>
      <c r="AH379" s="1"/>
      <c r="AI379" s="1"/>
      <c r="AJ379" s="1"/>
      <c r="AK379" s="1"/>
      <c r="AL379" s="1"/>
      <c r="AM379" s="1" t="s">
        <v>5992</v>
      </c>
      <c r="AN379" s="3">
        <v>290.55</v>
      </c>
      <c r="AO379" s="1"/>
      <c r="AP379" s="1"/>
      <c r="AQ379" s="1"/>
      <c r="AR379" s="1"/>
      <c r="AS379" s="1"/>
      <c r="AT379" s="1"/>
      <c r="AU379" s="1"/>
      <c r="AV379" s="1"/>
      <c r="AW379" s="1" t="s">
        <v>5993</v>
      </c>
      <c r="AX379" s="3">
        <v>290.55</v>
      </c>
      <c r="AY379" s="1"/>
      <c r="AZ379" s="1"/>
      <c r="BA379" s="1"/>
      <c r="BB379" s="1"/>
      <c r="BE379" s="67">
        <f t="shared" si="1"/>
        <v>0</v>
      </c>
    </row>
    <row r="380">
      <c r="A380" s="1"/>
      <c r="B380" s="1"/>
      <c r="C380" s="1"/>
      <c r="D380" s="1"/>
      <c r="E380" s="1"/>
      <c r="F380" s="1"/>
      <c r="G380" s="1"/>
      <c r="H380" s="1"/>
      <c r="I380" s="1" t="s">
        <v>5994</v>
      </c>
      <c r="J380" s="3">
        <v>290.55</v>
      </c>
      <c r="K380" s="1"/>
      <c r="L380" s="1"/>
      <c r="M380" s="1"/>
      <c r="N380" s="1"/>
      <c r="O380" s="1"/>
      <c r="P380" s="1"/>
      <c r="Q380" s="1"/>
      <c r="R380" s="1"/>
      <c r="S380" s="1"/>
      <c r="T380" s="1"/>
      <c r="U380" s="1"/>
      <c r="V380" s="1"/>
      <c r="W380" s="1"/>
      <c r="X380" s="1"/>
      <c r="Y380" s="1" t="s">
        <v>5995</v>
      </c>
      <c r="Z380" s="3">
        <v>290.55</v>
      </c>
      <c r="AA380" s="1"/>
      <c r="AB380" s="1"/>
      <c r="AC380" s="1"/>
      <c r="AD380" s="1"/>
      <c r="AE380" s="1" t="s">
        <v>384</v>
      </c>
      <c r="AF380" s="3">
        <v>290.55</v>
      </c>
      <c r="AG380" s="1"/>
      <c r="AH380" s="1"/>
      <c r="AI380" s="1"/>
      <c r="AJ380" s="1"/>
      <c r="AK380" s="1"/>
      <c r="AL380" s="1"/>
      <c r="AM380" s="1" t="s">
        <v>5996</v>
      </c>
      <c r="AN380" s="3">
        <v>290.55</v>
      </c>
      <c r="AO380" s="1"/>
      <c r="AP380" s="1"/>
      <c r="AQ380" s="1"/>
      <c r="AR380" s="1"/>
      <c r="AS380" s="1"/>
      <c r="AT380" s="1"/>
      <c r="AU380" s="1"/>
      <c r="AV380" s="1"/>
      <c r="AW380" s="1" t="s">
        <v>5997</v>
      </c>
      <c r="AX380" s="3">
        <v>290.55</v>
      </c>
      <c r="AY380" s="1"/>
      <c r="AZ380" s="1"/>
      <c r="BA380" s="1"/>
      <c r="BB380" s="1"/>
      <c r="BE380" s="67">
        <f t="shared" si="1"/>
        <v>0</v>
      </c>
    </row>
    <row r="381">
      <c r="A381" s="1"/>
      <c r="B381" s="1"/>
      <c r="C381" s="1"/>
      <c r="D381" s="1"/>
      <c r="E381" s="1"/>
      <c r="F381" s="1"/>
      <c r="G381" s="1"/>
      <c r="H381" s="1"/>
      <c r="I381" s="1" t="s">
        <v>5998</v>
      </c>
      <c r="J381" s="3">
        <v>290.55</v>
      </c>
      <c r="K381" s="1"/>
      <c r="L381" s="1"/>
      <c r="M381" s="1"/>
      <c r="N381" s="1"/>
      <c r="O381" s="1"/>
      <c r="P381" s="1"/>
      <c r="Q381" s="1"/>
      <c r="R381" s="1"/>
      <c r="S381" s="1"/>
      <c r="T381" s="1"/>
      <c r="U381" s="1"/>
      <c r="V381" s="1"/>
      <c r="W381" s="1"/>
      <c r="X381" s="1"/>
      <c r="Y381" s="1" t="s">
        <v>5510</v>
      </c>
      <c r="Z381" s="3">
        <v>290.55</v>
      </c>
      <c r="AA381" s="1"/>
      <c r="AB381" s="1"/>
      <c r="AC381" s="1"/>
      <c r="AD381" s="1"/>
      <c r="AE381" s="1" t="s">
        <v>385</v>
      </c>
      <c r="AF381" s="3">
        <v>290.55</v>
      </c>
      <c r="AG381" s="1"/>
      <c r="AH381" s="1"/>
      <c r="AI381" s="1"/>
      <c r="AJ381" s="1"/>
      <c r="AK381" s="1"/>
      <c r="AL381" s="1"/>
      <c r="AM381" s="1" t="s">
        <v>5999</v>
      </c>
      <c r="AN381" s="3">
        <v>290.55</v>
      </c>
      <c r="AO381" s="1"/>
      <c r="AP381" s="1"/>
      <c r="AQ381" s="1"/>
      <c r="AR381" s="1"/>
      <c r="AS381" s="1"/>
      <c r="AT381" s="1"/>
      <c r="AU381" s="1"/>
      <c r="AV381" s="1"/>
      <c r="AW381" s="1" t="s">
        <v>6000</v>
      </c>
      <c r="AX381" s="3">
        <v>290.55</v>
      </c>
      <c r="AY381" s="1"/>
      <c r="AZ381" s="1"/>
      <c r="BA381" s="1"/>
      <c r="BB381" s="1"/>
      <c r="BE381" s="67">
        <f t="shared" si="1"/>
        <v>0</v>
      </c>
    </row>
    <row r="382">
      <c r="A382" s="1"/>
      <c r="B382" s="1"/>
      <c r="C382" s="1"/>
      <c r="D382" s="1"/>
      <c r="E382" s="1"/>
      <c r="F382" s="1"/>
      <c r="G382" s="1"/>
      <c r="H382" s="1"/>
      <c r="I382" s="1" t="s">
        <v>6001</v>
      </c>
      <c r="J382" s="3">
        <v>290.55</v>
      </c>
      <c r="K382" s="1"/>
      <c r="L382" s="1"/>
      <c r="M382" s="1"/>
      <c r="N382" s="1"/>
      <c r="O382" s="1"/>
      <c r="P382" s="1"/>
      <c r="Q382" s="1"/>
      <c r="R382" s="1"/>
      <c r="S382" s="1"/>
      <c r="T382" s="1"/>
      <c r="U382" s="1"/>
      <c r="V382" s="1"/>
      <c r="W382" s="1"/>
      <c r="X382" s="1"/>
      <c r="Y382" s="1" t="s">
        <v>6002</v>
      </c>
      <c r="Z382" s="3">
        <v>290.55</v>
      </c>
      <c r="AA382" s="1"/>
      <c r="AB382" s="1"/>
      <c r="AC382" s="1"/>
      <c r="AD382" s="1"/>
      <c r="AE382" s="1" t="s">
        <v>42</v>
      </c>
      <c r="AF382" s="3">
        <v>290.55</v>
      </c>
      <c r="AG382" s="1"/>
      <c r="AH382" s="1"/>
      <c r="AI382" s="1"/>
      <c r="AJ382" s="1"/>
      <c r="AK382" s="1"/>
      <c r="AL382" s="1"/>
      <c r="AM382" s="1" t="s">
        <v>6003</v>
      </c>
      <c r="AN382" s="3">
        <v>290.55</v>
      </c>
      <c r="AO382" s="1"/>
      <c r="AP382" s="1"/>
      <c r="AQ382" s="1"/>
      <c r="AR382" s="1"/>
      <c r="AS382" s="1"/>
      <c r="AT382" s="1"/>
      <c r="AU382" s="1"/>
      <c r="AV382" s="1"/>
      <c r="AW382" s="1" t="s">
        <v>4865</v>
      </c>
      <c r="AX382" s="3">
        <v>290.55</v>
      </c>
      <c r="AY382" s="1"/>
      <c r="AZ382" s="1"/>
      <c r="BA382" s="1"/>
      <c r="BB382" s="1"/>
      <c r="BE382" s="67">
        <f t="shared" si="1"/>
        <v>0</v>
      </c>
    </row>
    <row r="383">
      <c r="A383" s="1"/>
      <c r="B383" s="1"/>
      <c r="C383" s="1"/>
      <c r="D383" s="1"/>
      <c r="E383" s="1"/>
      <c r="F383" s="1"/>
      <c r="G383" s="1"/>
      <c r="H383" s="1"/>
      <c r="I383" s="1" t="s">
        <v>6004</v>
      </c>
      <c r="J383" s="3">
        <v>290.55</v>
      </c>
      <c r="K383" s="1"/>
      <c r="L383" s="1"/>
      <c r="M383" s="1"/>
      <c r="N383" s="1"/>
      <c r="O383" s="1"/>
      <c r="P383" s="1"/>
      <c r="Q383" s="1"/>
      <c r="R383" s="1"/>
      <c r="S383" s="1"/>
      <c r="T383" s="1"/>
      <c r="U383" s="1"/>
      <c r="V383" s="1"/>
      <c r="W383" s="1"/>
      <c r="X383" s="1"/>
      <c r="Y383" s="1" t="s">
        <v>6005</v>
      </c>
      <c r="Z383" s="3">
        <v>290.55</v>
      </c>
      <c r="AA383" s="1"/>
      <c r="AB383" s="1"/>
      <c r="AC383" s="1"/>
      <c r="AD383" s="1"/>
      <c r="AE383" s="1" t="s">
        <v>386</v>
      </c>
      <c r="AF383" s="3">
        <v>290.55</v>
      </c>
      <c r="AG383" s="1"/>
      <c r="AH383" s="1"/>
      <c r="AI383" s="1"/>
      <c r="AJ383" s="1"/>
      <c r="AK383" s="1"/>
      <c r="AL383" s="1"/>
      <c r="AM383" s="1" t="s">
        <v>6006</v>
      </c>
      <c r="AN383" s="3">
        <v>290.55</v>
      </c>
      <c r="AO383" s="1"/>
      <c r="AP383" s="1"/>
      <c r="AQ383" s="1"/>
      <c r="AR383" s="1"/>
      <c r="AS383" s="1"/>
      <c r="AT383" s="1"/>
      <c r="AU383" s="1"/>
      <c r="AV383" s="1"/>
      <c r="AW383" s="1" t="s">
        <v>6007</v>
      </c>
      <c r="AX383" s="3">
        <v>290.55</v>
      </c>
      <c r="AY383" s="1"/>
      <c r="AZ383" s="1"/>
      <c r="BA383" s="1"/>
      <c r="BB383" s="1"/>
      <c r="BE383" s="67">
        <f t="shared" si="1"/>
        <v>0</v>
      </c>
    </row>
    <row r="384">
      <c r="A384" s="1"/>
      <c r="B384" s="1"/>
      <c r="C384" s="1"/>
      <c r="D384" s="1"/>
      <c r="E384" s="1"/>
      <c r="F384" s="1"/>
      <c r="G384" s="1"/>
      <c r="H384" s="1"/>
      <c r="I384" s="1" t="s">
        <v>6008</v>
      </c>
      <c r="J384" s="3">
        <v>290.55</v>
      </c>
      <c r="K384" s="1"/>
      <c r="L384" s="1"/>
      <c r="M384" s="1"/>
      <c r="N384" s="1"/>
      <c r="O384" s="1"/>
      <c r="P384" s="1"/>
      <c r="Q384" s="1"/>
      <c r="R384" s="1"/>
      <c r="S384" s="1"/>
      <c r="T384" s="1"/>
      <c r="U384" s="1"/>
      <c r="V384" s="1"/>
      <c r="W384" s="1"/>
      <c r="X384" s="1"/>
      <c r="Y384" s="1" t="s">
        <v>6009</v>
      </c>
      <c r="Z384" s="3">
        <v>290.55</v>
      </c>
      <c r="AA384" s="1"/>
      <c r="AB384" s="1"/>
      <c r="AC384" s="1"/>
      <c r="AD384" s="1"/>
      <c r="AE384" s="1" t="s">
        <v>387</v>
      </c>
      <c r="AF384" s="3">
        <v>290.55</v>
      </c>
      <c r="AG384" s="1"/>
      <c r="AH384" s="1"/>
      <c r="AI384" s="1"/>
      <c r="AJ384" s="1"/>
      <c r="AK384" s="1"/>
      <c r="AL384" s="1"/>
      <c r="AM384" s="1" t="s">
        <v>6010</v>
      </c>
      <c r="AN384" s="3">
        <v>290.55</v>
      </c>
      <c r="AO384" s="1"/>
      <c r="AP384" s="1"/>
      <c r="AQ384" s="1"/>
      <c r="AR384" s="1"/>
      <c r="AS384" s="1"/>
      <c r="AT384" s="1"/>
      <c r="AU384" s="1"/>
      <c r="AV384" s="1"/>
      <c r="AW384" s="1" t="s">
        <v>6011</v>
      </c>
      <c r="AX384" s="3">
        <v>290.55</v>
      </c>
      <c r="AY384" s="1"/>
      <c r="AZ384" s="1"/>
      <c r="BA384" s="1"/>
      <c r="BB384" s="1"/>
      <c r="BE384" s="67">
        <f t="shared" si="1"/>
        <v>0</v>
      </c>
    </row>
    <row r="385">
      <c r="A385" s="1"/>
      <c r="B385" s="1"/>
      <c r="C385" s="1"/>
      <c r="D385" s="1"/>
      <c r="E385" s="1"/>
      <c r="F385" s="1"/>
      <c r="G385" s="1"/>
      <c r="H385" s="1"/>
      <c r="I385" s="1" t="s">
        <v>6012</v>
      </c>
      <c r="J385" s="3">
        <v>290.55</v>
      </c>
      <c r="K385" s="1"/>
      <c r="L385" s="1"/>
      <c r="M385" s="1"/>
      <c r="N385" s="1"/>
      <c r="O385" s="1"/>
      <c r="P385" s="1"/>
      <c r="Q385" s="1"/>
      <c r="R385" s="1"/>
      <c r="S385" s="1"/>
      <c r="T385" s="1"/>
      <c r="U385" s="1"/>
      <c r="V385" s="1"/>
      <c r="W385" s="1"/>
      <c r="X385" s="1"/>
      <c r="Y385" s="1" t="s">
        <v>6013</v>
      </c>
      <c r="Z385" s="3">
        <v>290.55</v>
      </c>
      <c r="AA385" s="1"/>
      <c r="AB385" s="1"/>
      <c r="AC385" s="1"/>
      <c r="AD385" s="1"/>
      <c r="AE385" s="1" t="s">
        <v>388</v>
      </c>
      <c r="AF385" s="3">
        <v>290.55</v>
      </c>
      <c r="AG385" s="1"/>
      <c r="AH385" s="1"/>
      <c r="AI385" s="1"/>
      <c r="AJ385" s="1"/>
      <c r="AK385" s="1"/>
      <c r="AL385" s="1"/>
      <c r="AM385" s="1" t="s">
        <v>6014</v>
      </c>
      <c r="AN385" s="3">
        <v>290.55</v>
      </c>
      <c r="AO385" s="1"/>
      <c r="AP385" s="1"/>
      <c r="AQ385" s="1"/>
      <c r="AR385" s="1"/>
      <c r="AS385" s="1"/>
      <c r="AT385" s="1"/>
      <c r="AU385" s="1"/>
      <c r="AV385" s="1"/>
      <c r="AW385" s="1" t="s">
        <v>6015</v>
      </c>
      <c r="AX385" s="3">
        <v>290.55</v>
      </c>
      <c r="AY385" s="1"/>
      <c r="AZ385" s="1"/>
      <c r="BA385" s="1"/>
      <c r="BB385" s="1"/>
      <c r="BE385" s="67">
        <f t="shared" si="1"/>
        <v>0</v>
      </c>
    </row>
    <row r="386">
      <c r="A386" s="1"/>
      <c r="B386" s="1"/>
      <c r="C386" s="1"/>
      <c r="D386" s="1"/>
      <c r="E386" s="1"/>
      <c r="F386" s="1"/>
      <c r="G386" s="1"/>
      <c r="H386" s="1"/>
      <c r="I386" s="1" t="s">
        <v>6016</v>
      </c>
      <c r="J386" s="3">
        <v>290.55</v>
      </c>
      <c r="K386" s="1"/>
      <c r="L386" s="1"/>
      <c r="M386" s="1"/>
      <c r="N386" s="1"/>
      <c r="O386" s="1"/>
      <c r="P386" s="1"/>
      <c r="Q386" s="1"/>
      <c r="R386" s="1"/>
      <c r="S386" s="1"/>
      <c r="T386" s="1"/>
      <c r="U386" s="1"/>
      <c r="V386" s="1"/>
      <c r="W386" s="1"/>
      <c r="X386" s="1"/>
      <c r="Y386" s="1" t="s">
        <v>6017</v>
      </c>
      <c r="Z386" s="3">
        <v>290.55</v>
      </c>
      <c r="AA386" s="1"/>
      <c r="AB386" s="1"/>
      <c r="AC386" s="1"/>
      <c r="AD386" s="1"/>
      <c r="AE386" s="1" t="s">
        <v>389</v>
      </c>
      <c r="AF386" s="3">
        <v>290.55</v>
      </c>
      <c r="AG386" s="1"/>
      <c r="AH386" s="1"/>
      <c r="AI386" s="1"/>
      <c r="AJ386" s="1"/>
      <c r="AK386" s="1"/>
      <c r="AL386" s="1"/>
      <c r="AM386" s="1" t="s">
        <v>6018</v>
      </c>
      <c r="AN386" s="3">
        <v>290.55</v>
      </c>
      <c r="AO386" s="1"/>
      <c r="AP386" s="1"/>
      <c r="AQ386" s="1"/>
      <c r="AR386" s="1"/>
      <c r="AS386" s="1"/>
      <c r="AT386" s="1"/>
      <c r="AU386" s="1"/>
      <c r="AV386" s="1"/>
      <c r="AW386" s="1" t="s">
        <v>6019</v>
      </c>
      <c r="AX386" s="3">
        <v>290.55</v>
      </c>
      <c r="AY386" s="1"/>
      <c r="AZ386" s="1"/>
      <c r="BA386" s="1"/>
      <c r="BB386" s="1"/>
      <c r="BE386" s="67">
        <f t="shared" si="1"/>
        <v>0</v>
      </c>
    </row>
    <row r="387">
      <c r="A387" s="1"/>
      <c r="B387" s="1"/>
      <c r="C387" s="1"/>
      <c r="D387" s="1"/>
      <c r="E387" s="1"/>
      <c r="F387" s="1"/>
      <c r="G387" s="1"/>
      <c r="H387" s="1"/>
      <c r="I387" s="1" t="s">
        <v>5228</v>
      </c>
      <c r="J387" s="3">
        <v>290.55</v>
      </c>
      <c r="K387" s="1"/>
      <c r="L387" s="1"/>
      <c r="M387" s="1"/>
      <c r="N387" s="1"/>
      <c r="O387" s="1"/>
      <c r="P387" s="1"/>
      <c r="Q387" s="1"/>
      <c r="R387" s="1"/>
      <c r="S387" s="1"/>
      <c r="T387" s="1"/>
      <c r="U387" s="1"/>
      <c r="V387" s="1"/>
      <c r="W387" s="1"/>
      <c r="X387" s="1"/>
      <c r="Y387" s="1" t="s">
        <v>6020</v>
      </c>
      <c r="Z387" s="3">
        <v>290.55</v>
      </c>
      <c r="AA387" s="1"/>
      <c r="AB387" s="1"/>
      <c r="AC387" s="1"/>
      <c r="AD387" s="1"/>
      <c r="AE387" s="1" t="s">
        <v>390</v>
      </c>
      <c r="AF387" s="3">
        <v>290.55</v>
      </c>
      <c r="AG387" s="1"/>
      <c r="AH387" s="1"/>
      <c r="AI387" s="1"/>
      <c r="AJ387" s="1"/>
      <c r="AK387" s="1"/>
      <c r="AL387" s="1"/>
      <c r="AM387" s="1" t="s">
        <v>5912</v>
      </c>
      <c r="AN387" s="3">
        <v>290.55</v>
      </c>
      <c r="AO387" s="1"/>
      <c r="AP387" s="1"/>
      <c r="AQ387" s="1"/>
      <c r="AR387" s="1"/>
      <c r="AS387" s="1"/>
      <c r="AT387" s="1"/>
      <c r="AU387" s="1"/>
      <c r="AV387" s="1"/>
      <c r="AW387" s="1" t="s">
        <v>6021</v>
      </c>
      <c r="AX387" s="3">
        <v>290.55</v>
      </c>
      <c r="AY387" s="1"/>
      <c r="AZ387" s="1"/>
      <c r="BA387" s="1"/>
      <c r="BB387" s="1"/>
      <c r="BE387" s="67">
        <f t="shared" si="1"/>
        <v>0</v>
      </c>
    </row>
    <row r="388">
      <c r="A388" s="1"/>
      <c r="B388" s="1"/>
      <c r="C388" s="1"/>
      <c r="D388" s="1"/>
      <c r="E388" s="1"/>
      <c r="F388" s="1"/>
      <c r="G388" s="1"/>
      <c r="H388" s="1"/>
      <c r="I388" s="1" t="s">
        <v>6022</v>
      </c>
      <c r="J388" s="3">
        <v>290.55</v>
      </c>
      <c r="K388" s="1"/>
      <c r="L388" s="1"/>
      <c r="M388" s="1"/>
      <c r="N388" s="1"/>
      <c r="O388" s="1"/>
      <c r="P388" s="1"/>
      <c r="Q388" s="1"/>
      <c r="R388" s="1"/>
      <c r="S388" s="1"/>
      <c r="T388" s="1"/>
      <c r="U388" s="1"/>
      <c r="V388" s="1"/>
      <c r="W388" s="1"/>
      <c r="X388" s="1"/>
      <c r="Y388" s="1" t="s">
        <v>6023</v>
      </c>
      <c r="Z388" s="3">
        <v>290.55</v>
      </c>
      <c r="AA388" s="1"/>
      <c r="AB388" s="1"/>
      <c r="AC388" s="1"/>
      <c r="AD388" s="1"/>
      <c r="AE388" s="1" t="s">
        <v>391</v>
      </c>
      <c r="AF388" s="3">
        <v>290.55</v>
      </c>
      <c r="AG388" s="1"/>
      <c r="AH388" s="1"/>
      <c r="AI388" s="1"/>
      <c r="AJ388" s="1"/>
      <c r="AK388" s="1"/>
      <c r="AL388" s="1"/>
      <c r="AM388" s="1" t="s">
        <v>6024</v>
      </c>
      <c r="AN388" s="3">
        <v>290.55</v>
      </c>
      <c r="AO388" s="1"/>
      <c r="AP388" s="1"/>
      <c r="AQ388" s="1"/>
      <c r="AR388" s="1"/>
      <c r="AS388" s="1"/>
      <c r="AT388" s="1"/>
      <c r="AU388" s="1"/>
      <c r="AV388" s="1"/>
      <c r="AW388" s="1" t="s">
        <v>6025</v>
      </c>
      <c r="AX388" s="3">
        <v>290.55</v>
      </c>
      <c r="AY388" s="1"/>
      <c r="AZ388" s="1"/>
      <c r="BA388" s="1"/>
      <c r="BB388" s="1"/>
      <c r="BE388" s="67">
        <f t="shared" si="1"/>
        <v>0</v>
      </c>
    </row>
    <row r="389">
      <c r="A389" s="1"/>
      <c r="B389" s="1"/>
      <c r="C389" s="1"/>
      <c r="D389" s="1"/>
      <c r="E389" s="1"/>
      <c r="F389" s="1"/>
      <c r="G389" s="1"/>
      <c r="H389" s="1"/>
      <c r="I389" s="1" t="s">
        <v>6026</v>
      </c>
      <c r="J389" s="3">
        <v>290.55</v>
      </c>
      <c r="K389" s="1"/>
      <c r="L389" s="1"/>
      <c r="M389" s="1"/>
      <c r="N389" s="1"/>
      <c r="O389" s="1"/>
      <c r="P389" s="1"/>
      <c r="Q389" s="1"/>
      <c r="R389" s="1"/>
      <c r="S389" s="1"/>
      <c r="T389" s="1"/>
      <c r="U389" s="1"/>
      <c r="V389" s="1"/>
      <c r="W389" s="1"/>
      <c r="X389" s="1"/>
      <c r="Y389" s="1" t="s">
        <v>6027</v>
      </c>
      <c r="Z389" s="3">
        <v>290.55</v>
      </c>
      <c r="AA389" s="1"/>
      <c r="AB389" s="1"/>
      <c r="AC389" s="1"/>
      <c r="AD389" s="1"/>
      <c r="AE389" s="1" t="s">
        <v>392</v>
      </c>
      <c r="AF389" s="3">
        <v>290.55</v>
      </c>
      <c r="AG389" s="1"/>
      <c r="AH389" s="1"/>
      <c r="AI389" s="1"/>
      <c r="AJ389" s="1"/>
      <c r="AK389" s="1"/>
      <c r="AL389" s="1"/>
      <c r="AM389" s="1" t="s">
        <v>6028</v>
      </c>
      <c r="AN389" s="3">
        <v>290.55</v>
      </c>
      <c r="AO389" s="1"/>
      <c r="AP389" s="1"/>
      <c r="AQ389" s="1"/>
      <c r="AR389" s="1"/>
      <c r="AS389" s="1"/>
      <c r="AT389" s="1"/>
      <c r="AU389" s="1"/>
      <c r="AV389" s="1"/>
      <c r="AW389" s="1" t="s">
        <v>6029</v>
      </c>
      <c r="AX389" s="3">
        <v>290.55</v>
      </c>
      <c r="AY389" s="1"/>
      <c r="AZ389" s="1"/>
      <c r="BA389" s="1"/>
      <c r="BB389" s="1"/>
      <c r="BE389" s="67">
        <f t="shared" si="1"/>
        <v>0</v>
      </c>
    </row>
    <row r="390">
      <c r="A390" s="1"/>
      <c r="B390" s="1"/>
      <c r="C390" s="1"/>
      <c r="D390" s="1"/>
      <c r="E390" s="1"/>
      <c r="F390" s="1"/>
      <c r="G390" s="1"/>
      <c r="H390" s="1"/>
      <c r="I390" s="1" t="s">
        <v>6030</v>
      </c>
      <c r="J390" s="3">
        <v>290.55</v>
      </c>
      <c r="K390" s="1"/>
      <c r="L390" s="1"/>
      <c r="M390" s="1"/>
      <c r="N390" s="1"/>
      <c r="O390" s="1"/>
      <c r="P390" s="1"/>
      <c r="Q390" s="1"/>
      <c r="R390" s="1"/>
      <c r="S390" s="1"/>
      <c r="T390" s="1"/>
      <c r="U390" s="1"/>
      <c r="V390" s="1"/>
      <c r="W390" s="1"/>
      <c r="X390" s="1"/>
      <c r="Y390" s="1" t="s">
        <v>6031</v>
      </c>
      <c r="Z390" s="3">
        <v>290.55</v>
      </c>
      <c r="AA390" s="1"/>
      <c r="AB390" s="1"/>
      <c r="AC390" s="1"/>
      <c r="AD390" s="1"/>
      <c r="AE390" s="1" t="s">
        <v>12</v>
      </c>
      <c r="AF390" s="3">
        <v>290.55</v>
      </c>
      <c r="AG390" s="1"/>
      <c r="AH390" s="1"/>
      <c r="AI390" s="1"/>
      <c r="AJ390" s="1"/>
      <c r="AK390" s="1"/>
      <c r="AL390" s="1"/>
      <c r="AM390" s="1" t="s">
        <v>6032</v>
      </c>
      <c r="AN390" s="3">
        <v>290.55</v>
      </c>
      <c r="AO390" s="1"/>
      <c r="AP390" s="1"/>
      <c r="AQ390" s="1"/>
      <c r="AR390" s="1"/>
      <c r="AS390" s="1"/>
      <c r="AT390" s="1"/>
      <c r="AU390" s="1"/>
      <c r="AV390" s="1"/>
      <c r="AW390" s="1" t="s">
        <v>6033</v>
      </c>
      <c r="AX390" s="3">
        <v>290.55</v>
      </c>
      <c r="AY390" s="1"/>
      <c r="AZ390" s="1"/>
      <c r="BA390" s="1"/>
      <c r="BB390" s="1"/>
      <c r="BE390" s="67">
        <f t="shared" si="1"/>
        <v>0</v>
      </c>
    </row>
    <row r="391">
      <c r="A391" s="1"/>
      <c r="B391" s="1"/>
      <c r="C391" s="1"/>
      <c r="D391" s="1"/>
      <c r="E391" s="1"/>
      <c r="F391" s="1"/>
      <c r="G391" s="1"/>
      <c r="H391" s="1"/>
      <c r="I391" s="1" t="s">
        <v>6034</v>
      </c>
      <c r="J391" s="3">
        <v>290.55</v>
      </c>
      <c r="K391" s="1"/>
      <c r="L391" s="1"/>
      <c r="M391" s="1"/>
      <c r="N391" s="1"/>
      <c r="O391" s="1"/>
      <c r="P391" s="1"/>
      <c r="Q391" s="1"/>
      <c r="R391" s="1"/>
      <c r="S391" s="1"/>
      <c r="T391" s="1"/>
      <c r="U391" s="1"/>
      <c r="V391" s="1"/>
      <c r="W391" s="1"/>
      <c r="X391" s="1"/>
      <c r="Y391" s="1" t="s">
        <v>6035</v>
      </c>
      <c r="Z391" s="3">
        <v>290.55</v>
      </c>
      <c r="AA391" s="1"/>
      <c r="AB391" s="1"/>
      <c r="AC391" s="1"/>
      <c r="AD391" s="1"/>
      <c r="AE391" s="1" t="s">
        <v>30</v>
      </c>
      <c r="AF391" s="3">
        <v>290.55</v>
      </c>
      <c r="AG391" s="1"/>
      <c r="AH391" s="1"/>
      <c r="AI391" s="1"/>
      <c r="AJ391" s="1"/>
      <c r="AK391" s="1"/>
      <c r="AL391" s="1"/>
      <c r="AM391" s="1" t="s">
        <v>6036</v>
      </c>
      <c r="AN391" s="3">
        <v>290.55</v>
      </c>
      <c r="AO391" s="1"/>
      <c r="AP391" s="1"/>
      <c r="AQ391" s="1"/>
      <c r="AR391" s="1"/>
      <c r="AS391" s="1"/>
      <c r="AT391" s="1"/>
      <c r="AU391" s="1"/>
      <c r="AV391" s="1"/>
      <c r="AW391" s="1" t="s">
        <v>6037</v>
      </c>
      <c r="AX391" s="3">
        <v>290.55</v>
      </c>
      <c r="AY391" s="1"/>
      <c r="AZ391" s="1"/>
      <c r="BA391" s="1"/>
      <c r="BB391" s="1"/>
      <c r="BE391" s="67">
        <f t="shared" si="1"/>
        <v>0</v>
      </c>
    </row>
    <row r="392">
      <c r="A392" s="1"/>
      <c r="B392" s="1"/>
      <c r="C392" s="1"/>
      <c r="D392" s="1"/>
      <c r="E392" s="1"/>
      <c r="F392" s="1"/>
      <c r="G392" s="1"/>
      <c r="H392" s="1"/>
      <c r="I392" s="1" t="s">
        <v>6038</v>
      </c>
      <c r="J392" s="3">
        <v>290.55</v>
      </c>
      <c r="K392" s="1"/>
      <c r="L392" s="1"/>
      <c r="M392" s="1"/>
      <c r="N392" s="1"/>
      <c r="O392" s="1"/>
      <c r="P392" s="1"/>
      <c r="Q392" s="1"/>
      <c r="R392" s="1"/>
      <c r="S392" s="1"/>
      <c r="T392" s="1"/>
      <c r="U392" s="1"/>
      <c r="V392" s="1"/>
      <c r="W392" s="1"/>
      <c r="X392" s="1"/>
      <c r="Y392" s="1" t="s">
        <v>6039</v>
      </c>
      <c r="Z392" s="3">
        <v>290.55</v>
      </c>
      <c r="AA392" s="1"/>
      <c r="AB392" s="1"/>
      <c r="AC392" s="1"/>
      <c r="AD392" s="1"/>
      <c r="AE392" s="1" t="s">
        <v>393</v>
      </c>
      <c r="AF392" s="3">
        <v>290.55</v>
      </c>
      <c r="AG392" s="1"/>
      <c r="AH392" s="1"/>
      <c r="AI392" s="1"/>
      <c r="AJ392" s="1"/>
      <c r="AK392" s="1"/>
      <c r="AL392" s="1"/>
      <c r="AM392" s="1" t="s">
        <v>6040</v>
      </c>
      <c r="AN392" s="3">
        <v>290.55</v>
      </c>
      <c r="AO392" s="1"/>
      <c r="AP392" s="1"/>
      <c r="AQ392" s="1"/>
      <c r="AR392" s="1"/>
      <c r="AS392" s="1"/>
      <c r="AT392" s="1"/>
      <c r="AU392" s="1"/>
      <c r="AV392" s="1"/>
      <c r="AW392" s="1" t="s">
        <v>6041</v>
      </c>
      <c r="AX392" s="3">
        <v>290.55</v>
      </c>
      <c r="AY392" s="1"/>
      <c r="AZ392" s="1"/>
      <c r="BA392" s="1"/>
      <c r="BB392" s="1"/>
      <c r="BE392" s="67">
        <f t="shared" si="1"/>
        <v>0</v>
      </c>
    </row>
    <row r="393">
      <c r="A393" s="1"/>
      <c r="B393" s="1"/>
      <c r="C393" s="1"/>
      <c r="D393" s="1"/>
      <c r="E393" s="1"/>
      <c r="F393" s="1"/>
      <c r="G393" s="1"/>
      <c r="H393" s="1"/>
      <c r="I393" s="1" t="s">
        <v>4804</v>
      </c>
      <c r="J393" s="3">
        <v>290.55</v>
      </c>
      <c r="K393" s="1"/>
      <c r="L393" s="1"/>
      <c r="M393" s="1"/>
      <c r="N393" s="1"/>
      <c r="O393" s="1"/>
      <c r="P393" s="1"/>
      <c r="Q393" s="1"/>
      <c r="R393" s="1"/>
      <c r="S393" s="1"/>
      <c r="T393" s="1"/>
      <c r="U393" s="1"/>
      <c r="V393" s="1"/>
      <c r="W393" s="1"/>
      <c r="X393" s="1"/>
      <c r="Y393" s="1" t="s">
        <v>6042</v>
      </c>
      <c r="Z393" s="3">
        <v>290.55</v>
      </c>
      <c r="AA393" s="1"/>
      <c r="AB393" s="1"/>
      <c r="AC393" s="1"/>
      <c r="AD393" s="1"/>
      <c r="AE393" s="1" t="s">
        <v>394</v>
      </c>
      <c r="AF393" s="3">
        <v>290.55</v>
      </c>
      <c r="AG393" s="1"/>
      <c r="AH393" s="1"/>
      <c r="AI393" s="1"/>
      <c r="AJ393" s="1"/>
      <c r="AK393" s="1"/>
      <c r="AL393" s="1"/>
      <c r="AM393" s="1" t="s">
        <v>6043</v>
      </c>
      <c r="AN393" s="3">
        <v>290.55</v>
      </c>
      <c r="AO393" s="1"/>
      <c r="AP393" s="1"/>
      <c r="AQ393" s="1"/>
      <c r="AR393" s="1"/>
      <c r="AS393" s="1"/>
      <c r="AT393" s="1"/>
      <c r="AU393" s="1"/>
      <c r="AV393" s="1"/>
      <c r="AW393" s="1" t="s">
        <v>6044</v>
      </c>
      <c r="AX393" s="3">
        <v>290.55</v>
      </c>
      <c r="AY393" s="1"/>
      <c r="AZ393" s="1"/>
      <c r="BA393" s="1"/>
      <c r="BB393" s="1"/>
      <c r="BE393" s="67">
        <f t="shared" si="1"/>
        <v>0</v>
      </c>
    </row>
    <row r="394">
      <c r="A394" s="1"/>
      <c r="B394" s="1"/>
      <c r="C394" s="1"/>
      <c r="D394" s="1"/>
      <c r="E394" s="1"/>
      <c r="F394" s="1"/>
      <c r="G394" s="1"/>
      <c r="H394" s="1"/>
      <c r="I394" s="1" t="s">
        <v>6045</v>
      </c>
      <c r="J394" s="3">
        <v>290.55</v>
      </c>
      <c r="K394" s="1"/>
      <c r="L394" s="1"/>
      <c r="M394" s="1"/>
      <c r="N394" s="1"/>
      <c r="O394" s="1"/>
      <c r="P394" s="1"/>
      <c r="Q394" s="1"/>
      <c r="R394" s="1"/>
      <c r="S394" s="1"/>
      <c r="T394" s="1"/>
      <c r="U394" s="1"/>
      <c r="V394" s="1"/>
      <c r="W394" s="1"/>
      <c r="X394" s="1"/>
      <c r="Y394" s="1" t="s">
        <v>6046</v>
      </c>
      <c r="Z394" s="3">
        <v>290.55</v>
      </c>
      <c r="AA394" s="1"/>
      <c r="AB394" s="1"/>
      <c r="AC394" s="1"/>
      <c r="AD394" s="1"/>
      <c r="AE394" s="1" t="s">
        <v>395</v>
      </c>
      <c r="AF394" s="3">
        <v>290.55</v>
      </c>
      <c r="AG394" s="1"/>
      <c r="AH394" s="1"/>
      <c r="AI394" s="1"/>
      <c r="AJ394" s="1"/>
      <c r="AK394" s="1"/>
      <c r="AL394" s="1"/>
      <c r="AM394" s="1" t="s">
        <v>6047</v>
      </c>
      <c r="AN394" s="3">
        <v>290.55</v>
      </c>
      <c r="AO394" s="1"/>
      <c r="AP394" s="1"/>
      <c r="AQ394" s="1"/>
      <c r="AR394" s="1"/>
      <c r="AS394" s="1"/>
      <c r="AT394" s="1"/>
      <c r="AU394" s="1"/>
      <c r="AV394" s="1"/>
      <c r="AW394" s="1" t="s">
        <v>6048</v>
      </c>
      <c r="AX394" s="3">
        <v>290.55</v>
      </c>
      <c r="AY394" s="1"/>
      <c r="AZ394" s="1"/>
      <c r="BA394" s="1"/>
      <c r="BB394" s="1"/>
      <c r="BE394" s="67">
        <f t="shared" si="1"/>
        <v>0</v>
      </c>
    </row>
    <row r="395">
      <c r="A395" s="1"/>
      <c r="B395" s="1"/>
      <c r="C395" s="1"/>
      <c r="D395" s="1"/>
      <c r="E395" s="1"/>
      <c r="F395" s="1"/>
      <c r="G395" s="1"/>
      <c r="H395" s="1"/>
      <c r="I395" s="1" t="s">
        <v>6049</v>
      </c>
      <c r="J395" s="3">
        <v>290.55</v>
      </c>
      <c r="K395" s="1"/>
      <c r="L395" s="1"/>
      <c r="M395" s="1"/>
      <c r="N395" s="1"/>
      <c r="O395" s="1"/>
      <c r="P395" s="1"/>
      <c r="Q395" s="1"/>
      <c r="R395" s="1"/>
      <c r="S395" s="1"/>
      <c r="T395" s="1"/>
      <c r="U395" s="1"/>
      <c r="V395" s="1"/>
      <c r="W395" s="1"/>
      <c r="X395" s="1"/>
      <c r="Y395" s="1" t="s">
        <v>5299</v>
      </c>
      <c r="Z395" s="3">
        <v>290.55</v>
      </c>
      <c r="AA395" s="1"/>
      <c r="AB395" s="1"/>
      <c r="AC395" s="1"/>
      <c r="AD395" s="1"/>
      <c r="AE395" s="1" t="s">
        <v>396</v>
      </c>
      <c r="AF395" s="3">
        <v>290.55</v>
      </c>
      <c r="AG395" s="1"/>
      <c r="AH395" s="1"/>
      <c r="AI395" s="1"/>
      <c r="AJ395" s="1"/>
      <c r="AK395" s="1"/>
      <c r="AL395" s="1"/>
      <c r="AM395" s="1" t="s">
        <v>6050</v>
      </c>
      <c r="AN395" s="3">
        <v>290.55</v>
      </c>
      <c r="AO395" s="1"/>
      <c r="AP395" s="1"/>
      <c r="AQ395" s="1"/>
      <c r="AR395" s="1"/>
      <c r="AS395" s="1"/>
      <c r="AT395" s="1"/>
      <c r="AU395" s="1"/>
      <c r="AV395" s="1"/>
      <c r="AW395" s="1" t="s">
        <v>4906</v>
      </c>
      <c r="AX395" s="3">
        <v>290.55</v>
      </c>
      <c r="AY395" s="1"/>
      <c r="AZ395" s="1"/>
      <c r="BA395" s="1"/>
      <c r="BB395" s="1"/>
      <c r="BE395" s="67">
        <f t="shared" si="1"/>
        <v>0</v>
      </c>
    </row>
    <row r="396">
      <c r="A396" s="1"/>
      <c r="B396" s="1"/>
      <c r="C396" s="1"/>
      <c r="D396" s="1"/>
      <c r="E396" s="1"/>
      <c r="F396" s="1"/>
      <c r="G396" s="1"/>
      <c r="H396" s="1"/>
      <c r="I396" s="1" t="s">
        <v>6051</v>
      </c>
      <c r="J396" s="3">
        <v>290.55</v>
      </c>
      <c r="K396" s="1"/>
      <c r="L396" s="1"/>
      <c r="M396" s="1"/>
      <c r="N396" s="1"/>
      <c r="O396" s="1"/>
      <c r="P396" s="1"/>
      <c r="Q396" s="1"/>
      <c r="R396" s="1"/>
      <c r="S396" s="1"/>
      <c r="T396" s="1"/>
      <c r="U396" s="1"/>
      <c r="V396" s="1"/>
      <c r="W396" s="1"/>
      <c r="X396" s="1"/>
      <c r="Y396" s="1" t="s">
        <v>6052</v>
      </c>
      <c r="Z396" s="3">
        <v>290.55</v>
      </c>
      <c r="AA396" s="1"/>
      <c r="AB396" s="1"/>
      <c r="AC396" s="1"/>
      <c r="AD396" s="1"/>
      <c r="AE396" s="1" t="s">
        <v>397</v>
      </c>
      <c r="AF396" s="3">
        <v>290.55</v>
      </c>
      <c r="AG396" s="1"/>
      <c r="AH396" s="1"/>
      <c r="AI396" s="1"/>
      <c r="AJ396" s="1"/>
      <c r="AK396" s="1"/>
      <c r="AL396" s="1"/>
      <c r="AM396" s="1" t="s">
        <v>6053</v>
      </c>
      <c r="AN396" s="3">
        <v>290.55</v>
      </c>
      <c r="AO396" s="1"/>
      <c r="AP396" s="1"/>
      <c r="AQ396" s="1"/>
      <c r="AR396" s="1"/>
      <c r="AS396" s="1"/>
      <c r="AT396" s="1"/>
      <c r="AU396" s="1"/>
      <c r="AV396" s="1"/>
      <c r="AW396" s="1" t="s">
        <v>6054</v>
      </c>
      <c r="AX396" s="3">
        <v>290.55</v>
      </c>
      <c r="AY396" s="1"/>
      <c r="AZ396" s="1"/>
      <c r="BA396" s="1"/>
      <c r="BB396" s="1"/>
      <c r="BE396" s="67">
        <f t="shared" si="1"/>
        <v>0</v>
      </c>
    </row>
    <row r="397">
      <c r="A397" s="1"/>
      <c r="B397" s="1"/>
      <c r="C397" s="1"/>
      <c r="D397" s="1"/>
      <c r="E397" s="1"/>
      <c r="F397" s="1"/>
      <c r="G397" s="1"/>
      <c r="H397" s="1"/>
      <c r="I397" s="1" t="s">
        <v>6055</v>
      </c>
      <c r="J397" s="3">
        <v>290.55</v>
      </c>
      <c r="K397" s="1"/>
      <c r="L397" s="1"/>
      <c r="M397" s="1"/>
      <c r="N397" s="1"/>
      <c r="O397" s="1"/>
      <c r="P397" s="1"/>
      <c r="Q397" s="1"/>
      <c r="R397" s="1"/>
      <c r="S397" s="1"/>
      <c r="T397" s="1"/>
      <c r="U397" s="1"/>
      <c r="V397" s="1"/>
      <c r="W397" s="1"/>
      <c r="X397" s="1"/>
      <c r="Y397" s="1" t="s">
        <v>6056</v>
      </c>
      <c r="Z397" s="3">
        <v>290.55</v>
      </c>
      <c r="AA397" s="1"/>
      <c r="AB397" s="1"/>
      <c r="AC397" s="1"/>
      <c r="AD397" s="1"/>
      <c r="AE397" s="1" t="s">
        <v>398</v>
      </c>
      <c r="AF397" s="3">
        <v>290.55</v>
      </c>
      <c r="AG397" s="1"/>
      <c r="AH397" s="1"/>
      <c r="AI397" s="1"/>
      <c r="AJ397" s="1"/>
      <c r="AK397" s="1"/>
      <c r="AL397" s="1"/>
      <c r="AM397" s="1" t="s">
        <v>6057</v>
      </c>
      <c r="AN397" s="3">
        <v>290.55</v>
      </c>
      <c r="AO397" s="1"/>
      <c r="AP397" s="1"/>
      <c r="AQ397" s="1"/>
      <c r="AR397" s="1"/>
      <c r="AS397" s="1"/>
      <c r="AT397" s="1"/>
      <c r="AU397" s="1"/>
      <c r="AV397" s="1"/>
      <c r="AW397" s="1" t="s">
        <v>6058</v>
      </c>
      <c r="AX397" s="3">
        <v>290.55</v>
      </c>
      <c r="AY397" s="1"/>
      <c r="AZ397" s="1"/>
      <c r="BA397" s="1"/>
      <c r="BB397" s="1"/>
      <c r="BE397" s="67">
        <f t="shared" si="1"/>
        <v>0</v>
      </c>
    </row>
    <row r="398">
      <c r="A398" s="1"/>
      <c r="B398" s="1"/>
      <c r="C398" s="1"/>
      <c r="D398" s="1"/>
      <c r="E398" s="1"/>
      <c r="F398" s="1"/>
      <c r="G398" s="1"/>
      <c r="H398" s="1"/>
      <c r="I398" s="1" t="s">
        <v>6059</v>
      </c>
      <c r="J398" s="3">
        <v>290.55</v>
      </c>
      <c r="K398" s="1"/>
      <c r="L398" s="1"/>
      <c r="M398" s="1"/>
      <c r="N398" s="1"/>
      <c r="O398" s="1"/>
      <c r="P398" s="1"/>
      <c r="Q398" s="1"/>
      <c r="R398" s="1"/>
      <c r="S398" s="1"/>
      <c r="T398" s="1"/>
      <c r="U398" s="1"/>
      <c r="V398" s="1"/>
      <c r="W398" s="1"/>
      <c r="X398" s="1"/>
      <c r="Y398" s="1" t="s">
        <v>6060</v>
      </c>
      <c r="Z398" s="3">
        <v>290.55</v>
      </c>
      <c r="AA398" s="1"/>
      <c r="AB398" s="1"/>
      <c r="AC398" s="1"/>
      <c r="AD398" s="1"/>
      <c r="AE398" s="1" t="s">
        <v>399</v>
      </c>
      <c r="AF398" s="3">
        <v>290.55</v>
      </c>
      <c r="AG398" s="1"/>
      <c r="AH398" s="1"/>
      <c r="AI398" s="1"/>
      <c r="AJ398" s="1"/>
      <c r="AK398" s="1"/>
      <c r="AL398" s="1"/>
      <c r="AM398" s="1" t="s">
        <v>6061</v>
      </c>
      <c r="AN398" s="3">
        <v>290.55</v>
      </c>
      <c r="AO398" s="1"/>
      <c r="AP398" s="1"/>
      <c r="AQ398" s="1"/>
      <c r="AR398" s="1"/>
      <c r="AS398" s="1"/>
      <c r="AT398" s="1"/>
      <c r="AU398" s="1"/>
      <c r="AV398" s="1"/>
      <c r="AW398" s="1" t="s">
        <v>3217</v>
      </c>
      <c r="AX398" s="3">
        <v>290.55</v>
      </c>
      <c r="AY398" s="1"/>
      <c r="AZ398" s="1"/>
      <c r="BA398" s="1"/>
      <c r="BB398" s="1"/>
      <c r="BE398" s="67">
        <f t="shared" si="1"/>
        <v>0</v>
      </c>
    </row>
    <row r="399">
      <c r="A399" s="1"/>
      <c r="B399" s="1"/>
      <c r="C399" s="1"/>
      <c r="D399" s="1"/>
      <c r="E399" s="1"/>
      <c r="F399" s="1"/>
      <c r="G399" s="1"/>
      <c r="H399" s="1"/>
      <c r="I399" s="1" t="s">
        <v>6062</v>
      </c>
      <c r="J399" s="3">
        <v>290.55</v>
      </c>
      <c r="K399" s="1"/>
      <c r="L399" s="1"/>
      <c r="M399" s="1"/>
      <c r="N399" s="1"/>
      <c r="O399" s="1"/>
      <c r="P399" s="1"/>
      <c r="Q399" s="1"/>
      <c r="R399" s="1"/>
      <c r="S399" s="1"/>
      <c r="T399" s="1"/>
      <c r="U399" s="1"/>
      <c r="V399" s="1"/>
      <c r="W399" s="1"/>
      <c r="X399" s="1"/>
      <c r="Y399" s="1" t="s">
        <v>6063</v>
      </c>
      <c r="Z399" s="3">
        <v>290.55</v>
      </c>
      <c r="AA399" s="1"/>
      <c r="AB399" s="1"/>
      <c r="AC399" s="1"/>
      <c r="AD399" s="1"/>
      <c r="AE399" s="1" t="s">
        <v>400</v>
      </c>
      <c r="AF399" s="3">
        <v>290.55</v>
      </c>
      <c r="AG399" s="1"/>
      <c r="AH399" s="1"/>
      <c r="AI399" s="1"/>
      <c r="AJ399" s="1"/>
      <c r="AK399" s="1"/>
      <c r="AL399" s="1"/>
      <c r="AM399" s="1" t="s">
        <v>6064</v>
      </c>
      <c r="AN399" s="3">
        <v>290.55</v>
      </c>
      <c r="AO399" s="1"/>
      <c r="AP399" s="1"/>
      <c r="AQ399" s="1"/>
      <c r="AR399" s="1"/>
      <c r="AS399" s="1"/>
      <c r="AT399" s="1"/>
      <c r="AU399" s="1"/>
      <c r="AV399" s="1"/>
      <c r="AW399" s="1" t="s">
        <v>6065</v>
      </c>
      <c r="AX399" s="3">
        <v>290.55</v>
      </c>
      <c r="AY399" s="1"/>
      <c r="AZ399" s="1"/>
      <c r="BA399" s="1"/>
      <c r="BB399" s="1"/>
      <c r="BE399" s="67">
        <f t="shared" si="1"/>
        <v>0</v>
      </c>
    </row>
    <row r="400">
      <c r="A400" s="1"/>
      <c r="B400" s="1"/>
      <c r="C400" s="1"/>
      <c r="D400" s="1"/>
      <c r="E400" s="1"/>
      <c r="F400" s="1"/>
      <c r="G400" s="1"/>
      <c r="H400" s="1"/>
      <c r="I400" s="1" t="s">
        <v>6066</v>
      </c>
      <c r="J400" s="3">
        <v>290.55</v>
      </c>
      <c r="K400" s="1"/>
      <c r="L400" s="1"/>
      <c r="M400" s="1"/>
      <c r="N400" s="1"/>
      <c r="O400" s="1"/>
      <c r="P400" s="1"/>
      <c r="Q400" s="1"/>
      <c r="R400" s="1"/>
      <c r="S400" s="1"/>
      <c r="T400" s="1"/>
      <c r="U400" s="1"/>
      <c r="V400" s="1"/>
      <c r="W400" s="1"/>
      <c r="X400" s="1"/>
      <c r="Y400" s="1" t="s">
        <v>6067</v>
      </c>
      <c r="Z400" s="3">
        <v>290.55</v>
      </c>
      <c r="AA400" s="1"/>
      <c r="AB400" s="1"/>
      <c r="AC400" s="1"/>
      <c r="AD400" s="1"/>
      <c r="AE400" s="1" t="s">
        <v>401</v>
      </c>
      <c r="AF400" s="3">
        <v>290.55</v>
      </c>
      <c r="AG400" s="1"/>
      <c r="AH400" s="1"/>
      <c r="AI400" s="1"/>
      <c r="AJ400" s="1"/>
      <c r="AK400" s="1"/>
      <c r="AL400" s="1"/>
      <c r="AM400" s="1" t="s">
        <v>6068</v>
      </c>
      <c r="AN400" s="3">
        <v>290.55</v>
      </c>
      <c r="AO400" s="1"/>
      <c r="AP400" s="1"/>
      <c r="AQ400" s="1"/>
      <c r="AR400" s="1"/>
      <c r="AS400" s="1"/>
      <c r="AT400" s="1"/>
      <c r="AU400" s="1"/>
      <c r="AV400" s="1"/>
      <c r="AW400" s="1" t="s">
        <v>6069</v>
      </c>
      <c r="AX400" s="3">
        <v>290.55</v>
      </c>
      <c r="AY400" s="1"/>
      <c r="AZ400" s="1"/>
      <c r="BA400" s="1"/>
      <c r="BB400" s="1"/>
      <c r="BE400" s="67">
        <f t="shared" si="1"/>
        <v>0</v>
      </c>
    </row>
    <row r="401">
      <c r="A401" s="1"/>
      <c r="B401" s="1"/>
      <c r="C401" s="1"/>
      <c r="D401" s="1"/>
      <c r="E401" s="1"/>
      <c r="F401" s="1"/>
      <c r="G401" s="1"/>
      <c r="H401" s="1"/>
      <c r="I401" s="1" t="s">
        <v>6070</v>
      </c>
      <c r="J401" s="3">
        <v>290.55</v>
      </c>
      <c r="K401" s="1"/>
      <c r="L401" s="1"/>
      <c r="M401" s="1"/>
      <c r="N401" s="1"/>
      <c r="O401" s="1"/>
      <c r="P401" s="1"/>
      <c r="Q401" s="1"/>
      <c r="R401" s="1"/>
      <c r="S401" s="1"/>
      <c r="T401" s="1"/>
      <c r="U401" s="1"/>
      <c r="V401" s="1"/>
      <c r="W401" s="1"/>
      <c r="X401" s="1"/>
      <c r="Y401" s="1" t="s">
        <v>6071</v>
      </c>
      <c r="Z401" s="3">
        <v>290.55</v>
      </c>
      <c r="AA401" s="1"/>
      <c r="AB401" s="1"/>
      <c r="AC401" s="1"/>
      <c r="AD401" s="1"/>
      <c r="AE401" s="1"/>
      <c r="AF401" s="1"/>
      <c r="AG401" s="1"/>
      <c r="AH401" s="1"/>
      <c r="AI401" s="1"/>
      <c r="AJ401" s="1"/>
      <c r="AK401" s="1"/>
      <c r="AL401" s="1"/>
      <c r="AM401" s="1" t="s">
        <v>6072</v>
      </c>
      <c r="AN401" s="3">
        <v>290.55</v>
      </c>
      <c r="AO401" s="1"/>
      <c r="AP401" s="1"/>
      <c r="AQ401" s="1"/>
      <c r="AR401" s="1"/>
      <c r="AS401" s="1"/>
      <c r="AT401" s="1"/>
      <c r="AU401" s="1"/>
      <c r="AV401" s="1"/>
      <c r="AW401" s="1" t="s">
        <v>261</v>
      </c>
      <c r="AX401" s="3">
        <v>290.55</v>
      </c>
      <c r="AY401" s="1"/>
      <c r="AZ401" s="1"/>
      <c r="BA401" s="1"/>
      <c r="BB401" s="1"/>
      <c r="BE401" s="67">
        <f t="shared" si="1"/>
        <v>0</v>
      </c>
    </row>
    <row r="402">
      <c r="A402" s="1"/>
      <c r="B402" s="1"/>
      <c r="C402" s="1"/>
      <c r="D402" s="1"/>
      <c r="E402" s="1"/>
      <c r="F402" s="1"/>
      <c r="G402" s="1"/>
      <c r="H402" s="1"/>
      <c r="I402" s="1" t="s">
        <v>6073</v>
      </c>
      <c r="J402" s="3">
        <v>290.55</v>
      </c>
      <c r="K402" s="1"/>
      <c r="L402" s="1"/>
      <c r="M402" s="1"/>
      <c r="N402" s="1"/>
      <c r="O402" s="1"/>
      <c r="P402" s="1"/>
      <c r="Q402" s="1"/>
      <c r="R402" s="1"/>
      <c r="S402" s="1"/>
      <c r="T402" s="1"/>
      <c r="U402" s="1"/>
      <c r="V402" s="1"/>
      <c r="W402" s="1"/>
      <c r="X402" s="1"/>
      <c r="Y402" s="1" t="s">
        <v>6074</v>
      </c>
      <c r="Z402" s="3">
        <v>290.55</v>
      </c>
      <c r="AA402" s="1"/>
      <c r="AB402" s="1"/>
      <c r="AC402" s="1"/>
      <c r="AD402" s="1"/>
      <c r="AE402" s="1"/>
      <c r="AF402" s="1"/>
      <c r="AG402" s="1"/>
      <c r="AH402" s="1"/>
      <c r="AI402" s="1"/>
      <c r="AJ402" s="1"/>
      <c r="AK402" s="1"/>
      <c r="AL402" s="1"/>
      <c r="AM402" s="1" t="s">
        <v>6075</v>
      </c>
      <c r="AN402" s="3">
        <v>290.55</v>
      </c>
      <c r="AO402" s="1"/>
      <c r="AP402" s="1"/>
      <c r="AQ402" s="1"/>
      <c r="AR402" s="1"/>
      <c r="AS402" s="1"/>
      <c r="AT402" s="1"/>
      <c r="AU402" s="1"/>
      <c r="AV402" s="1"/>
      <c r="AW402" s="1" t="s">
        <v>6076</v>
      </c>
      <c r="AX402" s="3">
        <v>290.55</v>
      </c>
      <c r="AY402" s="1"/>
      <c r="AZ402" s="1"/>
      <c r="BA402" s="1"/>
      <c r="BB402" s="1"/>
      <c r="BE402" s="67">
        <f t="shared" si="1"/>
        <v>0</v>
      </c>
    </row>
    <row r="403">
      <c r="A403" s="1"/>
      <c r="B403" s="1"/>
      <c r="C403" s="1"/>
      <c r="D403" s="1"/>
      <c r="E403" s="1"/>
      <c r="F403" s="1"/>
      <c r="G403" s="1"/>
      <c r="H403" s="1"/>
      <c r="I403" s="1" t="s">
        <v>6077</v>
      </c>
      <c r="J403" s="3">
        <v>290.55</v>
      </c>
      <c r="K403" s="1"/>
      <c r="L403" s="1"/>
      <c r="M403" s="1"/>
      <c r="N403" s="1"/>
      <c r="O403" s="1"/>
      <c r="P403" s="1"/>
      <c r="Q403" s="1"/>
      <c r="R403" s="1"/>
      <c r="S403" s="1"/>
      <c r="T403" s="1"/>
      <c r="U403" s="1"/>
      <c r="V403" s="1"/>
      <c r="W403" s="1"/>
      <c r="X403" s="1"/>
      <c r="Y403" s="1" t="s">
        <v>6078</v>
      </c>
      <c r="Z403" s="3">
        <v>290.55</v>
      </c>
      <c r="AA403" s="1"/>
      <c r="AB403" s="1"/>
      <c r="AC403" s="1"/>
      <c r="AD403" s="1"/>
      <c r="AE403" s="1"/>
      <c r="AF403" s="1"/>
      <c r="AG403" s="1"/>
      <c r="AH403" s="1"/>
      <c r="AI403" s="1"/>
      <c r="AJ403" s="1"/>
      <c r="AK403" s="1"/>
      <c r="AL403" s="1"/>
      <c r="AM403" s="1" t="s">
        <v>6079</v>
      </c>
      <c r="AN403" s="3">
        <v>290.55</v>
      </c>
      <c r="AO403" s="1"/>
      <c r="AP403" s="1"/>
      <c r="AQ403" s="1"/>
      <c r="AR403" s="1"/>
      <c r="AS403" s="1"/>
      <c r="AT403" s="1"/>
      <c r="AU403" s="1"/>
      <c r="AV403" s="1"/>
      <c r="AW403" s="1" t="s">
        <v>6080</v>
      </c>
      <c r="AX403" s="3">
        <v>290.55</v>
      </c>
      <c r="AY403" s="1"/>
      <c r="AZ403" s="1"/>
      <c r="BA403" s="1"/>
      <c r="BB403" s="1"/>
      <c r="BE403" s="67">
        <f t="shared" si="1"/>
        <v>0</v>
      </c>
    </row>
    <row r="404">
      <c r="A404" s="1"/>
      <c r="B404" s="1"/>
      <c r="C404" s="1"/>
      <c r="D404" s="1"/>
      <c r="E404" s="1"/>
      <c r="F404" s="1"/>
      <c r="G404" s="1"/>
      <c r="H404" s="1"/>
      <c r="I404" s="1" t="s">
        <v>6081</v>
      </c>
      <c r="J404" s="3">
        <v>290.55</v>
      </c>
      <c r="K404" s="1"/>
      <c r="L404" s="1"/>
      <c r="M404" s="1"/>
      <c r="N404" s="1"/>
      <c r="O404" s="1"/>
      <c r="P404" s="1"/>
      <c r="Q404" s="1"/>
      <c r="R404" s="1"/>
      <c r="S404" s="1"/>
      <c r="T404" s="1"/>
      <c r="U404" s="1"/>
      <c r="V404" s="1"/>
      <c r="W404" s="1"/>
      <c r="X404" s="1"/>
      <c r="Y404" s="1" t="s">
        <v>6082</v>
      </c>
      <c r="Z404" s="3">
        <v>290.55</v>
      </c>
      <c r="AA404" s="1"/>
      <c r="AB404" s="1"/>
      <c r="AC404" s="1"/>
      <c r="AD404" s="1"/>
      <c r="AE404" s="1"/>
      <c r="AF404" s="1"/>
      <c r="AG404" s="1"/>
      <c r="AH404" s="1"/>
      <c r="AI404" s="1"/>
      <c r="AJ404" s="1"/>
      <c r="AK404" s="1"/>
      <c r="AL404" s="1"/>
      <c r="AM404" s="1" t="s">
        <v>4932</v>
      </c>
      <c r="AN404" s="3">
        <v>290.55</v>
      </c>
      <c r="AO404" s="1"/>
      <c r="AP404" s="1"/>
      <c r="AQ404" s="1"/>
      <c r="AR404" s="1"/>
      <c r="AS404" s="1"/>
      <c r="AT404" s="1"/>
      <c r="AU404" s="1"/>
      <c r="AV404" s="1"/>
      <c r="AW404" s="1" t="s">
        <v>6083</v>
      </c>
      <c r="AX404" s="3">
        <v>290.55</v>
      </c>
      <c r="AY404" s="1"/>
      <c r="AZ404" s="1"/>
      <c r="BA404" s="1"/>
      <c r="BB404" s="1"/>
      <c r="BE404" s="67">
        <f t="shared" si="1"/>
        <v>0</v>
      </c>
    </row>
    <row r="405">
      <c r="A405" s="1"/>
      <c r="B405" s="1"/>
      <c r="C405" s="1"/>
      <c r="D405" s="1"/>
      <c r="E405" s="1"/>
      <c r="F405" s="1"/>
      <c r="G405" s="1"/>
      <c r="H405" s="1"/>
      <c r="I405" s="1" t="s">
        <v>6084</v>
      </c>
      <c r="J405" s="3">
        <v>290.55</v>
      </c>
      <c r="K405" s="1"/>
      <c r="L405" s="1"/>
      <c r="M405" s="1"/>
      <c r="N405" s="1"/>
      <c r="O405" s="1"/>
      <c r="P405" s="1"/>
      <c r="Q405" s="1"/>
      <c r="R405" s="1"/>
      <c r="S405" s="1"/>
      <c r="T405" s="1"/>
      <c r="U405" s="1"/>
      <c r="V405" s="1"/>
      <c r="W405" s="1"/>
      <c r="X405" s="1"/>
      <c r="Y405" s="1" t="s">
        <v>6085</v>
      </c>
      <c r="Z405" s="3">
        <v>290.55</v>
      </c>
      <c r="AA405" s="1"/>
      <c r="AB405" s="1"/>
      <c r="AC405" s="1"/>
      <c r="AD405" s="1"/>
      <c r="AE405" s="1"/>
      <c r="AF405" s="1"/>
      <c r="AG405" s="1"/>
      <c r="AH405" s="1"/>
      <c r="AI405" s="1"/>
      <c r="AJ405" s="1"/>
      <c r="AK405" s="1"/>
      <c r="AL405" s="1"/>
      <c r="AM405" s="1" t="s">
        <v>6086</v>
      </c>
      <c r="AN405" s="3">
        <v>290.55</v>
      </c>
      <c r="AO405" s="1"/>
      <c r="AP405" s="1"/>
      <c r="AQ405" s="1"/>
      <c r="AR405" s="1"/>
      <c r="AS405" s="1"/>
      <c r="AT405" s="1"/>
      <c r="AU405" s="1"/>
      <c r="AV405" s="1"/>
      <c r="AW405" s="1" t="s">
        <v>4991</v>
      </c>
      <c r="AX405" s="3">
        <v>290.55</v>
      </c>
      <c r="AY405" s="1"/>
      <c r="AZ405" s="1"/>
      <c r="BA405" s="1"/>
      <c r="BB405" s="1"/>
      <c r="BE405" s="67">
        <f t="shared" si="1"/>
        <v>0</v>
      </c>
    </row>
    <row r="406">
      <c r="A406" s="1"/>
      <c r="B406" s="1"/>
      <c r="C406" s="1"/>
      <c r="D406" s="1"/>
      <c r="E406" s="1"/>
      <c r="F406" s="1"/>
      <c r="G406" s="1"/>
      <c r="H406" s="1"/>
      <c r="I406" s="1" t="s">
        <v>3654</v>
      </c>
      <c r="J406" s="3">
        <v>290.55</v>
      </c>
      <c r="K406" s="1"/>
      <c r="L406" s="1"/>
      <c r="M406" s="1"/>
      <c r="N406" s="1"/>
      <c r="O406" s="1"/>
      <c r="P406" s="1"/>
      <c r="Q406" s="1"/>
      <c r="R406" s="1"/>
      <c r="S406" s="1"/>
      <c r="T406" s="1"/>
      <c r="U406" s="1"/>
      <c r="V406" s="1"/>
      <c r="W406" s="1"/>
      <c r="X406" s="1"/>
      <c r="Y406" s="1" t="s">
        <v>6087</v>
      </c>
      <c r="Z406" s="3">
        <v>290.55</v>
      </c>
      <c r="AA406" s="1"/>
      <c r="AB406" s="1"/>
      <c r="AC406" s="1"/>
      <c r="AD406" s="1"/>
      <c r="AE406" s="1"/>
      <c r="AF406" s="1"/>
      <c r="AG406" s="1"/>
      <c r="AH406" s="1"/>
      <c r="AI406" s="1"/>
      <c r="AJ406" s="1"/>
      <c r="AK406" s="1"/>
      <c r="AL406" s="1"/>
      <c r="AM406" s="1" t="s">
        <v>6088</v>
      </c>
      <c r="AN406" s="3">
        <v>290.55</v>
      </c>
      <c r="AO406" s="1"/>
      <c r="AP406" s="1"/>
      <c r="AQ406" s="1"/>
      <c r="AR406" s="1"/>
      <c r="AS406" s="1"/>
      <c r="AT406" s="1"/>
      <c r="AU406" s="1"/>
      <c r="AV406" s="1"/>
      <c r="AW406" s="1" t="s">
        <v>6089</v>
      </c>
      <c r="AX406" s="3">
        <v>290.55</v>
      </c>
      <c r="AY406" s="1"/>
      <c r="AZ406" s="1"/>
      <c r="BA406" s="1"/>
      <c r="BB406" s="1"/>
      <c r="BE406" s="67">
        <f t="shared" si="1"/>
        <v>0</v>
      </c>
    </row>
    <row r="407">
      <c r="A407" s="1"/>
      <c r="B407" s="1"/>
      <c r="C407" s="1"/>
      <c r="D407" s="1"/>
      <c r="E407" s="1"/>
      <c r="F407" s="1"/>
      <c r="G407" s="1"/>
      <c r="H407" s="1"/>
      <c r="I407" s="1" t="s">
        <v>6090</v>
      </c>
      <c r="J407" s="3">
        <v>290.55</v>
      </c>
      <c r="K407" s="1"/>
      <c r="L407" s="1"/>
      <c r="M407" s="1"/>
      <c r="N407" s="1"/>
      <c r="O407" s="1"/>
      <c r="P407" s="1"/>
      <c r="Q407" s="1"/>
      <c r="R407" s="1"/>
      <c r="S407" s="1"/>
      <c r="T407" s="1"/>
      <c r="U407" s="1"/>
      <c r="V407" s="1"/>
      <c r="W407" s="1"/>
      <c r="X407" s="1"/>
      <c r="Y407" s="1" t="s">
        <v>6091</v>
      </c>
      <c r="Z407" s="3">
        <v>290.55</v>
      </c>
      <c r="AA407" s="1"/>
      <c r="AB407" s="1"/>
      <c r="AC407" s="1"/>
      <c r="AD407" s="1"/>
      <c r="AE407" s="1"/>
      <c r="AF407" s="1"/>
      <c r="AG407" s="1"/>
      <c r="AH407" s="1"/>
      <c r="AI407" s="1"/>
      <c r="AJ407" s="1"/>
      <c r="AK407" s="1"/>
      <c r="AL407" s="1"/>
      <c r="AM407" s="1" t="s">
        <v>6092</v>
      </c>
      <c r="AN407" s="3">
        <v>290.55</v>
      </c>
      <c r="AO407" s="1"/>
      <c r="AP407" s="1"/>
      <c r="AQ407" s="1"/>
      <c r="AR407" s="1"/>
      <c r="AS407" s="1"/>
      <c r="AT407" s="1"/>
      <c r="AU407" s="1"/>
      <c r="AV407" s="1"/>
      <c r="AW407" s="1" t="s">
        <v>6093</v>
      </c>
      <c r="AX407" s="3">
        <v>290.55</v>
      </c>
      <c r="AY407" s="1"/>
      <c r="AZ407" s="1"/>
      <c r="BA407" s="1"/>
      <c r="BB407" s="1"/>
      <c r="BE407" s="67">
        <f t="shared" si="1"/>
        <v>0</v>
      </c>
    </row>
    <row r="408">
      <c r="A408" s="1"/>
      <c r="B408" s="1"/>
      <c r="C408" s="1"/>
      <c r="D408" s="1"/>
      <c r="E408" s="1"/>
      <c r="F408" s="1"/>
      <c r="G408" s="1"/>
      <c r="H408" s="1"/>
      <c r="I408" s="1" t="s">
        <v>6094</v>
      </c>
      <c r="J408" s="3">
        <v>290.55</v>
      </c>
      <c r="K408" s="1"/>
      <c r="L408" s="1"/>
      <c r="M408" s="1"/>
      <c r="N408" s="1"/>
      <c r="O408" s="1"/>
      <c r="P408" s="1"/>
      <c r="Q408" s="1"/>
      <c r="R408" s="1"/>
      <c r="S408" s="1"/>
      <c r="T408" s="1"/>
      <c r="U408" s="1"/>
      <c r="V408" s="1"/>
      <c r="W408" s="1"/>
      <c r="X408" s="1"/>
      <c r="Y408" s="1" t="s">
        <v>6095</v>
      </c>
      <c r="Z408" s="3">
        <v>290.55</v>
      </c>
      <c r="AA408" s="1"/>
      <c r="AB408" s="1"/>
      <c r="AC408" s="1"/>
      <c r="AD408" s="1"/>
      <c r="AE408" s="1"/>
      <c r="AF408" s="1"/>
      <c r="AG408" s="1"/>
      <c r="AH408" s="1"/>
      <c r="AI408" s="1"/>
      <c r="AJ408" s="1"/>
      <c r="AK408" s="1"/>
      <c r="AL408" s="1"/>
      <c r="AM408" s="1" t="s">
        <v>6096</v>
      </c>
      <c r="AN408" s="3">
        <v>290.55</v>
      </c>
      <c r="AO408" s="1"/>
      <c r="AP408" s="1"/>
      <c r="AQ408" s="1"/>
      <c r="AR408" s="1"/>
      <c r="AS408" s="1"/>
      <c r="AT408" s="1"/>
      <c r="AU408" s="1"/>
      <c r="AV408" s="1"/>
      <c r="AW408" s="1" t="s">
        <v>6097</v>
      </c>
      <c r="AX408" s="3">
        <v>290.55</v>
      </c>
      <c r="AY408" s="1"/>
      <c r="AZ408" s="1"/>
      <c r="BA408" s="1"/>
      <c r="BB408" s="1"/>
      <c r="BE408" s="67">
        <f t="shared" si="1"/>
        <v>0</v>
      </c>
    </row>
    <row r="409">
      <c r="A409" s="1"/>
      <c r="B409" s="1"/>
      <c r="C409" s="1"/>
      <c r="D409" s="1"/>
      <c r="E409" s="1"/>
      <c r="F409" s="1"/>
      <c r="G409" s="1"/>
      <c r="H409" s="1"/>
      <c r="I409" s="1" t="s">
        <v>6098</v>
      </c>
      <c r="J409" s="3">
        <v>290.55</v>
      </c>
      <c r="K409" s="1"/>
      <c r="L409" s="1"/>
      <c r="M409" s="1"/>
      <c r="N409" s="1"/>
      <c r="O409" s="1"/>
      <c r="P409" s="1"/>
      <c r="Q409" s="1"/>
      <c r="R409" s="1"/>
      <c r="S409" s="1"/>
      <c r="T409" s="1"/>
      <c r="U409" s="1"/>
      <c r="V409" s="1"/>
      <c r="W409" s="1"/>
      <c r="X409" s="1"/>
      <c r="Y409" s="1" t="s">
        <v>6099</v>
      </c>
      <c r="Z409" s="3">
        <v>290.55</v>
      </c>
      <c r="AA409" s="1"/>
      <c r="AB409" s="1"/>
      <c r="AC409" s="1"/>
      <c r="AD409" s="1"/>
      <c r="AE409" s="1"/>
      <c r="AF409" s="1"/>
      <c r="AG409" s="1"/>
      <c r="AH409" s="1"/>
      <c r="AI409" s="1"/>
      <c r="AJ409" s="1"/>
      <c r="AK409" s="1"/>
      <c r="AL409" s="1"/>
      <c r="AM409" s="1" t="s">
        <v>6100</v>
      </c>
      <c r="AN409" s="3">
        <v>290.55</v>
      </c>
      <c r="AO409" s="1"/>
      <c r="AP409" s="1"/>
      <c r="AQ409" s="1"/>
      <c r="AR409" s="1"/>
      <c r="AS409" s="1"/>
      <c r="AT409" s="1"/>
      <c r="AU409" s="1"/>
      <c r="AV409" s="1"/>
      <c r="AW409" s="1" t="s">
        <v>6101</v>
      </c>
      <c r="AX409" s="3">
        <v>290.55</v>
      </c>
      <c r="AY409" s="1"/>
      <c r="AZ409" s="1"/>
      <c r="BA409" s="1"/>
      <c r="BB409" s="1"/>
      <c r="BE409" s="67">
        <f t="shared" si="1"/>
        <v>0</v>
      </c>
    </row>
    <row r="410">
      <c r="A410" s="1"/>
      <c r="B410" s="1"/>
      <c r="C410" s="1"/>
      <c r="D410" s="1"/>
      <c r="E410" s="1"/>
      <c r="F410" s="1"/>
      <c r="G410" s="1"/>
      <c r="H410" s="1"/>
      <c r="I410" s="1" t="s">
        <v>6102</v>
      </c>
      <c r="J410" s="3">
        <v>290.55</v>
      </c>
      <c r="K410" s="1"/>
      <c r="L410" s="1"/>
      <c r="M410" s="1"/>
      <c r="N410" s="1"/>
      <c r="O410" s="1"/>
      <c r="P410" s="1"/>
      <c r="Q410" s="1"/>
      <c r="R410" s="1"/>
      <c r="S410" s="1"/>
      <c r="T410" s="1"/>
      <c r="U410" s="1"/>
      <c r="V410" s="1"/>
      <c r="W410" s="1"/>
      <c r="X410" s="1"/>
      <c r="Y410" s="1" t="s">
        <v>6103</v>
      </c>
      <c r="Z410" s="3">
        <v>290.55</v>
      </c>
      <c r="AA410" s="1"/>
      <c r="AB410" s="1"/>
      <c r="AC410" s="1"/>
      <c r="AD410" s="1"/>
      <c r="AE410" s="1"/>
      <c r="AF410" s="1"/>
      <c r="AG410" s="1"/>
      <c r="AH410" s="1"/>
      <c r="AI410" s="1"/>
      <c r="AJ410" s="1"/>
      <c r="AK410" s="1"/>
      <c r="AL410" s="1"/>
      <c r="AM410" s="1" t="s">
        <v>6104</v>
      </c>
      <c r="AN410" s="3">
        <v>290.55</v>
      </c>
      <c r="AO410" s="1"/>
      <c r="AP410" s="1"/>
      <c r="AQ410" s="1"/>
      <c r="AR410" s="1"/>
      <c r="AS410" s="1"/>
      <c r="AT410" s="1"/>
      <c r="AU410" s="1"/>
      <c r="AV410" s="1"/>
      <c r="AW410" s="1" t="s">
        <v>6105</v>
      </c>
      <c r="AX410" s="3">
        <v>290.55</v>
      </c>
      <c r="AY410" s="1"/>
      <c r="AZ410" s="1"/>
      <c r="BA410" s="1"/>
      <c r="BB410" s="1"/>
      <c r="BE410" s="67">
        <f t="shared" si="1"/>
        <v>0</v>
      </c>
    </row>
    <row r="411">
      <c r="A411" s="1"/>
      <c r="B411" s="1"/>
      <c r="C411" s="1"/>
      <c r="D411" s="1"/>
      <c r="E411" s="1"/>
      <c r="F411" s="1"/>
      <c r="G411" s="1"/>
      <c r="H411" s="1"/>
      <c r="I411" s="1" t="s">
        <v>6106</v>
      </c>
      <c r="J411" s="3">
        <v>290.55</v>
      </c>
      <c r="K411" s="1"/>
      <c r="L411" s="1"/>
      <c r="M411" s="1"/>
      <c r="N411" s="1"/>
      <c r="O411" s="1"/>
      <c r="P411" s="1"/>
      <c r="Q411" s="1"/>
      <c r="R411" s="1"/>
      <c r="S411" s="1"/>
      <c r="T411" s="1"/>
      <c r="U411" s="1"/>
      <c r="V411" s="1"/>
      <c r="W411" s="1"/>
      <c r="X411" s="1"/>
      <c r="Y411" s="1" t="s">
        <v>6107</v>
      </c>
      <c r="Z411" s="3">
        <v>290.55</v>
      </c>
      <c r="AA411" s="1"/>
      <c r="AB411" s="1"/>
      <c r="AC411" s="1"/>
      <c r="AD411" s="1"/>
      <c r="AE411" s="1"/>
      <c r="AF411" s="1"/>
      <c r="AG411" s="1"/>
      <c r="AH411" s="1"/>
      <c r="AI411" s="1"/>
      <c r="AJ411" s="1"/>
      <c r="AK411" s="1"/>
      <c r="AL411" s="1"/>
      <c r="AM411" s="1" t="s">
        <v>6108</v>
      </c>
      <c r="AN411" s="3">
        <v>290.55</v>
      </c>
      <c r="AO411" s="1"/>
      <c r="AP411" s="1"/>
      <c r="AQ411" s="1"/>
      <c r="AR411" s="1"/>
      <c r="AS411" s="1"/>
      <c r="AT411" s="1"/>
      <c r="AU411" s="1"/>
      <c r="AV411" s="1"/>
      <c r="AW411" s="1" t="s">
        <v>6109</v>
      </c>
      <c r="AX411" s="3">
        <v>290.55</v>
      </c>
      <c r="AY411" s="1"/>
      <c r="AZ411" s="1"/>
      <c r="BA411" s="1"/>
      <c r="BB411" s="1"/>
      <c r="BE411" s="67">
        <f t="shared" si="1"/>
        <v>0</v>
      </c>
    </row>
    <row r="412">
      <c r="A412" s="1"/>
      <c r="B412" s="1"/>
      <c r="C412" s="1"/>
      <c r="D412" s="1"/>
      <c r="E412" s="1"/>
      <c r="F412" s="1"/>
      <c r="G412" s="1"/>
      <c r="H412" s="1"/>
      <c r="I412" s="1" t="s">
        <v>4738</v>
      </c>
      <c r="J412" s="3">
        <v>290.55</v>
      </c>
      <c r="K412" s="1"/>
      <c r="L412" s="1"/>
      <c r="M412" s="1"/>
      <c r="N412" s="1"/>
      <c r="O412" s="1"/>
      <c r="P412" s="1"/>
      <c r="Q412" s="1"/>
      <c r="R412" s="1"/>
      <c r="S412" s="1"/>
      <c r="T412" s="1"/>
      <c r="U412" s="1"/>
      <c r="V412" s="1"/>
      <c r="W412" s="1"/>
      <c r="X412" s="1"/>
      <c r="Y412" s="1" t="s">
        <v>6110</v>
      </c>
      <c r="Z412" s="3">
        <v>290.55</v>
      </c>
      <c r="AA412" s="1"/>
      <c r="AB412" s="1"/>
      <c r="AC412" s="1"/>
      <c r="AD412" s="1"/>
      <c r="AE412" s="1"/>
      <c r="AF412" s="1"/>
      <c r="AG412" s="1"/>
      <c r="AH412" s="1"/>
      <c r="AI412" s="1"/>
      <c r="AJ412" s="1"/>
      <c r="AK412" s="1"/>
      <c r="AL412" s="1"/>
      <c r="AM412" s="1" t="s">
        <v>6111</v>
      </c>
      <c r="AN412" s="3">
        <v>290.55</v>
      </c>
      <c r="AO412" s="1"/>
      <c r="AP412" s="1"/>
      <c r="AQ412" s="1"/>
      <c r="AR412" s="1"/>
      <c r="AS412" s="1"/>
      <c r="AT412" s="1"/>
      <c r="AU412" s="1"/>
      <c r="AV412" s="1"/>
      <c r="AW412" s="1" t="s">
        <v>6112</v>
      </c>
      <c r="AX412" s="3">
        <v>290.55</v>
      </c>
      <c r="AY412" s="1"/>
      <c r="AZ412" s="1"/>
      <c r="BA412" s="1"/>
      <c r="BB412" s="1"/>
      <c r="BE412" s="67">
        <f t="shared" si="1"/>
        <v>0</v>
      </c>
    </row>
    <row r="413">
      <c r="A413" s="1"/>
      <c r="B413" s="1"/>
      <c r="C413" s="1"/>
      <c r="D413" s="1"/>
      <c r="E413" s="1"/>
      <c r="F413" s="1"/>
      <c r="G413" s="1"/>
      <c r="H413" s="1"/>
      <c r="I413" s="1" t="s">
        <v>6113</v>
      </c>
      <c r="J413" s="3">
        <v>290.55</v>
      </c>
      <c r="K413" s="1"/>
      <c r="L413" s="1"/>
      <c r="M413" s="1"/>
      <c r="N413" s="1"/>
      <c r="O413" s="1"/>
      <c r="P413" s="1"/>
      <c r="Q413" s="1"/>
      <c r="R413" s="1"/>
      <c r="S413" s="1"/>
      <c r="T413" s="1"/>
      <c r="U413" s="1"/>
      <c r="V413" s="1"/>
      <c r="W413" s="1"/>
      <c r="X413" s="1"/>
      <c r="Y413" s="1" t="s">
        <v>6114</v>
      </c>
      <c r="Z413" s="3">
        <v>290.55</v>
      </c>
      <c r="AA413" s="1"/>
      <c r="AB413" s="1"/>
      <c r="AC413" s="1"/>
      <c r="AD413" s="1"/>
      <c r="AE413" s="1"/>
      <c r="AF413" s="1"/>
      <c r="AG413" s="1"/>
      <c r="AH413" s="1"/>
      <c r="AI413" s="1"/>
      <c r="AJ413" s="1"/>
      <c r="AK413" s="1"/>
      <c r="AL413" s="1"/>
      <c r="AM413" s="1" t="s">
        <v>6115</v>
      </c>
      <c r="AN413" s="3">
        <v>290.55</v>
      </c>
      <c r="AO413" s="1"/>
      <c r="AP413" s="1"/>
      <c r="AQ413" s="1"/>
      <c r="AR413" s="1"/>
      <c r="AS413" s="1"/>
      <c r="AT413" s="1"/>
      <c r="AU413" s="1"/>
      <c r="AV413" s="1"/>
      <c r="AW413" s="1" t="s">
        <v>6116</v>
      </c>
      <c r="AX413" s="3">
        <v>290.55</v>
      </c>
      <c r="AY413" s="1"/>
      <c r="AZ413" s="1"/>
      <c r="BA413" s="1"/>
      <c r="BB413" s="1"/>
      <c r="BE413" s="67">
        <f t="shared" si="1"/>
        <v>0</v>
      </c>
    </row>
    <row r="414">
      <c r="A414" s="1"/>
      <c r="B414" s="1"/>
      <c r="C414" s="1"/>
      <c r="D414" s="1"/>
      <c r="E414" s="1"/>
      <c r="F414" s="1"/>
      <c r="G414" s="1"/>
      <c r="H414" s="1"/>
      <c r="I414" s="1" t="s">
        <v>6117</v>
      </c>
      <c r="J414" s="3">
        <v>290.55</v>
      </c>
      <c r="K414" s="1"/>
      <c r="L414" s="1"/>
      <c r="M414" s="1"/>
      <c r="N414" s="1"/>
      <c r="O414" s="1"/>
      <c r="P414" s="1"/>
      <c r="Q414" s="1"/>
      <c r="R414" s="1"/>
      <c r="S414" s="1"/>
      <c r="T414" s="1"/>
      <c r="U414" s="1"/>
      <c r="V414" s="1"/>
      <c r="W414" s="1"/>
      <c r="X414" s="1"/>
      <c r="Y414" s="1" t="s">
        <v>6118</v>
      </c>
      <c r="Z414" s="3">
        <v>290.55</v>
      </c>
      <c r="AA414" s="1"/>
      <c r="AB414" s="1"/>
      <c r="AC414" s="1"/>
      <c r="AD414" s="1"/>
      <c r="AE414" s="1"/>
      <c r="AF414" s="1"/>
      <c r="AG414" s="1"/>
      <c r="AH414" s="1"/>
      <c r="AI414" s="1"/>
      <c r="AJ414" s="1"/>
      <c r="AK414" s="1"/>
      <c r="AL414" s="1"/>
      <c r="AM414" s="1" t="s">
        <v>6119</v>
      </c>
      <c r="AN414" s="3">
        <v>290.55</v>
      </c>
      <c r="AO414" s="1"/>
      <c r="AP414" s="1"/>
      <c r="AQ414" s="1"/>
      <c r="AR414" s="1"/>
      <c r="AS414" s="1"/>
      <c r="AT414" s="1"/>
      <c r="AU414" s="1"/>
      <c r="AV414" s="1"/>
      <c r="AW414" s="1" t="s">
        <v>6120</v>
      </c>
      <c r="AX414" s="3">
        <v>290.55</v>
      </c>
      <c r="AY414" s="1"/>
      <c r="AZ414" s="1"/>
      <c r="BA414" s="1"/>
      <c r="BB414" s="1"/>
      <c r="BE414" s="67">
        <f t="shared" si="1"/>
        <v>0</v>
      </c>
    </row>
    <row r="415">
      <c r="A415" s="1"/>
      <c r="B415" s="1"/>
      <c r="C415" s="1"/>
      <c r="D415" s="1"/>
      <c r="E415" s="1"/>
      <c r="F415" s="1"/>
      <c r="G415" s="1"/>
      <c r="H415" s="1"/>
      <c r="I415" s="1" t="s">
        <v>6121</v>
      </c>
      <c r="J415" s="3">
        <v>290.55</v>
      </c>
      <c r="K415" s="1"/>
      <c r="L415" s="1"/>
      <c r="M415" s="1"/>
      <c r="N415" s="1"/>
      <c r="O415" s="1"/>
      <c r="P415" s="1"/>
      <c r="Q415" s="1"/>
      <c r="R415" s="1"/>
      <c r="S415" s="1"/>
      <c r="T415" s="1"/>
      <c r="U415" s="1"/>
      <c r="V415" s="1"/>
      <c r="W415" s="1"/>
      <c r="X415" s="1"/>
      <c r="Y415" s="1" t="s">
        <v>4050</v>
      </c>
      <c r="Z415" s="3">
        <v>290.55</v>
      </c>
      <c r="AA415" s="1"/>
      <c r="AB415" s="1"/>
      <c r="AC415" s="1"/>
      <c r="AD415" s="1"/>
      <c r="AE415" s="1"/>
      <c r="AF415" s="1"/>
      <c r="AG415" s="1"/>
      <c r="AH415" s="1"/>
      <c r="AI415" s="1"/>
      <c r="AJ415" s="1"/>
      <c r="AK415" s="1"/>
      <c r="AL415" s="1"/>
      <c r="AM415" s="1" t="s">
        <v>6122</v>
      </c>
      <c r="AN415" s="3">
        <v>290.55</v>
      </c>
      <c r="AO415" s="1"/>
      <c r="AP415" s="1"/>
      <c r="AQ415" s="1"/>
      <c r="AR415" s="1"/>
      <c r="AS415" s="1"/>
      <c r="AT415" s="1"/>
      <c r="AU415" s="1"/>
      <c r="AV415" s="1"/>
      <c r="AW415" s="1" t="s">
        <v>6123</v>
      </c>
      <c r="AX415" s="3">
        <v>290.55</v>
      </c>
      <c r="AY415" s="1"/>
      <c r="AZ415" s="1"/>
      <c r="BA415" s="1"/>
      <c r="BB415" s="1"/>
      <c r="BE415" s="67">
        <f t="shared" si="1"/>
        <v>0</v>
      </c>
    </row>
    <row r="416">
      <c r="A416" s="1"/>
      <c r="B416" s="1"/>
      <c r="C416" s="1"/>
      <c r="D416" s="1"/>
      <c r="E416" s="1"/>
      <c r="F416" s="1"/>
      <c r="G416" s="1"/>
      <c r="H416" s="1"/>
      <c r="I416" s="1" t="s">
        <v>6124</v>
      </c>
      <c r="J416" s="3">
        <v>290.55</v>
      </c>
      <c r="K416" s="1"/>
      <c r="L416" s="1"/>
      <c r="M416" s="1"/>
      <c r="N416" s="1"/>
      <c r="O416" s="1"/>
      <c r="P416" s="1"/>
      <c r="Q416" s="1"/>
      <c r="R416" s="1"/>
      <c r="S416" s="1"/>
      <c r="T416" s="1"/>
      <c r="U416" s="1"/>
      <c r="V416" s="1"/>
      <c r="W416" s="1"/>
      <c r="X416" s="1"/>
      <c r="Y416" s="1" t="s">
        <v>6125</v>
      </c>
      <c r="Z416" s="3">
        <v>290.55</v>
      </c>
      <c r="AA416" s="1"/>
      <c r="AB416" s="1"/>
      <c r="AC416" s="1"/>
      <c r="AD416" s="1"/>
      <c r="AE416" s="1"/>
      <c r="AF416" s="1"/>
      <c r="AG416" s="1"/>
      <c r="AH416" s="1"/>
      <c r="AI416" s="1"/>
      <c r="AJ416" s="1"/>
      <c r="AK416" s="1"/>
      <c r="AL416" s="1"/>
      <c r="AM416" s="1" t="s">
        <v>6126</v>
      </c>
      <c r="AN416" s="3">
        <v>290.55</v>
      </c>
      <c r="AO416" s="1"/>
      <c r="AP416" s="1"/>
      <c r="AQ416" s="1"/>
      <c r="AR416" s="1"/>
      <c r="AS416" s="1"/>
      <c r="AT416" s="1"/>
      <c r="AU416" s="1"/>
      <c r="AV416" s="1"/>
      <c r="AW416" s="1" t="s">
        <v>6127</v>
      </c>
      <c r="AX416" s="3">
        <v>290.55</v>
      </c>
      <c r="AY416" s="1"/>
      <c r="AZ416" s="1"/>
      <c r="BA416" s="1"/>
      <c r="BB416" s="1"/>
      <c r="BE416" s="67">
        <f t="shared" si="1"/>
        <v>0</v>
      </c>
    </row>
    <row r="417">
      <c r="A417" s="1"/>
      <c r="B417" s="1"/>
      <c r="C417" s="1"/>
      <c r="D417" s="1"/>
      <c r="E417" s="1"/>
      <c r="F417" s="1"/>
      <c r="G417" s="1"/>
      <c r="H417" s="1"/>
      <c r="I417" s="1" t="s">
        <v>6128</v>
      </c>
      <c r="J417" s="3">
        <v>290.55</v>
      </c>
      <c r="K417" s="1"/>
      <c r="L417" s="1"/>
      <c r="M417" s="1"/>
      <c r="N417" s="1"/>
      <c r="O417" s="1"/>
      <c r="P417" s="1"/>
      <c r="Q417" s="1"/>
      <c r="R417" s="1"/>
      <c r="S417" s="1"/>
      <c r="T417" s="1"/>
      <c r="U417" s="1"/>
      <c r="V417" s="1"/>
      <c r="W417" s="1"/>
      <c r="X417" s="1"/>
      <c r="Y417" s="1" t="s">
        <v>6129</v>
      </c>
      <c r="Z417" s="3">
        <v>290.55</v>
      </c>
      <c r="AA417" s="1"/>
      <c r="AB417" s="1"/>
      <c r="AC417" s="1"/>
      <c r="AD417" s="1"/>
      <c r="AE417" s="1"/>
      <c r="AF417" s="1"/>
      <c r="AG417" s="1"/>
      <c r="AH417" s="1"/>
      <c r="AI417" s="1"/>
      <c r="AJ417" s="1"/>
      <c r="AK417" s="1"/>
      <c r="AL417" s="1"/>
      <c r="AM417" s="1" t="s">
        <v>6130</v>
      </c>
      <c r="AN417" s="3">
        <v>290.55</v>
      </c>
      <c r="AO417" s="1"/>
      <c r="AP417" s="1"/>
      <c r="AQ417" s="1"/>
      <c r="AR417" s="1"/>
      <c r="AS417" s="1"/>
      <c r="AT417" s="1"/>
      <c r="AU417" s="1"/>
      <c r="AV417" s="1"/>
      <c r="AW417" s="1" t="s">
        <v>6131</v>
      </c>
      <c r="AX417" s="3">
        <v>290.55</v>
      </c>
      <c r="AY417" s="1"/>
      <c r="AZ417" s="1"/>
      <c r="BA417" s="1"/>
      <c r="BB417" s="1"/>
      <c r="BE417" s="67">
        <f t="shared" si="1"/>
        <v>0</v>
      </c>
    </row>
    <row r="418">
      <c r="A418" s="1"/>
      <c r="B418" s="1"/>
      <c r="C418" s="1"/>
      <c r="D418" s="1"/>
      <c r="E418" s="1"/>
      <c r="F418" s="1"/>
      <c r="G418" s="1"/>
      <c r="H418" s="1"/>
      <c r="I418" s="1" t="s">
        <v>6132</v>
      </c>
      <c r="J418" s="3">
        <v>290.55</v>
      </c>
      <c r="K418" s="1"/>
      <c r="L418" s="1"/>
      <c r="M418" s="1"/>
      <c r="N418" s="1"/>
      <c r="O418" s="1"/>
      <c r="P418" s="1"/>
      <c r="Q418" s="1"/>
      <c r="R418" s="1"/>
      <c r="S418" s="1"/>
      <c r="T418" s="1"/>
      <c r="U418" s="1"/>
      <c r="V418" s="1"/>
      <c r="W418" s="1"/>
      <c r="X418" s="1"/>
      <c r="Y418" s="1" t="s">
        <v>6133</v>
      </c>
      <c r="Z418" s="3">
        <v>290.55</v>
      </c>
      <c r="AA418" s="1"/>
      <c r="AB418" s="1"/>
      <c r="AC418" s="1"/>
      <c r="AD418" s="1"/>
      <c r="AE418" s="1"/>
      <c r="AF418" s="1"/>
      <c r="AG418" s="1"/>
      <c r="AH418" s="1"/>
      <c r="AI418" s="1"/>
      <c r="AJ418" s="1"/>
      <c r="AK418" s="1"/>
      <c r="AL418" s="1"/>
      <c r="AM418" s="1" t="s">
        <v>6134</v>
      </c>
      <c r="AN418" s="3">
        <v>290.55</v>
      </c>
      <c r="AO418" s="1"/>
      <c r="AP418" s="1"/>
      <c r="AQ418" s="1"/>
      <c r="AR418" s="1"/>
      <c r="AS418" s="1"/>
      <c r="AT418" s="1"/>
      <c r="AU418" s="1"/>
      <c r="AV418" s="1"/>
      <c r="AW418" s="1" t="s">
        <v>6135</v>
      </c>
      <c r="AX418" s="3">
        <v>290.55</v>
      </c>
      <c r="AY418" s="1"/>
      <c r="AZ418" s="1"/>
      <c r="BA418" s="1"/>
      <c r="BB418" s="1"/>
      <c r="BE418" s="67">
        <f t="shared" si="1"/>
        <v>0</v>
      </c>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t="s">
        <v>6136</v>
      </c>
      <c r="Z419" s="3">
        <v>290.55</v>
      </c>
      <c r="AA419" s="1"/>
      <c r="AB419" s="1"/>
      <c r="AC419" s="1"/>
      <c r="AD419" s="1"/>
      <c r="AE419" s="1"/>
      <c r="AF419" s="1"/>
      <c r="AG419" s="1"/>
      <c r="AH419" s="1"/>
      <c r="AI419" s="1"/>
      <c r="AJ419" s="1"/>
      <c r="AK419" s="1"/>
      <c r="AL419" s="1"/>
      <c r="AM419" s="1" t="s">
        <v>6137</v>
      </c>
      <c r="AN419" s="3">
        <v>290.55</v>
      </c>
      <c r="AO419" s="1"/>
      <c r="AP419" s="1"/>
      <c r="AQ419" s="1"/>
      <c r="AR419" s="1"/>
      <c r="AS419" s="1"/>
      <c r="AT419" s="1"/>
      <c r="AU419" s="1"/>
      <c r="AV419" s="1"/>
      <c r="AW419" s="1" t="s">
        <v>6138</v>
      </c>
      <c r="AX419" s="3">
        <v>290.55</v>
      </c>
      <c r="AY419" s="1"/>
      <c r="AZ419" s="1"/>
      <c r="BA419" s="1"/>
      <c r="BB419" s="1"/>
      <c r="BE419" s="67">
        <f t="shared" si="1"/>
        <v>0</v>
      </c>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t="s">
        <v>6139</v>
      </c>
      <c r="Z420" s="3">
        <v>290.55</v>
      </c>
      <c r="AA420" s="1"/>
      <c r="AB420" s="1"/>
      <c r="AC420" s="1"/>
      <c r="AD420" s="1"/>
      <c r="AE420" s="1"/>
      <c r="AF420" s="1"/>
      <c r="AG420" s="1"/>
      <c r="AH420" s="1"/>
      <c r="AI420" s="1"/>
      <c r="AJ420" s="1"/>
      <c r="AK420" s="1"/>
      <c r="AL420" s="1"/>
      <c r="AM420" s="1" t="s">
        <v>6140</v>
      </c>
      <c r="AN420" s="3">
        <v>290.55</v>
      </c>
      <c r="AO420" s="1"/>
      <c r="AP420" s="1"/>
      <c r="AQ420" s="1"/>
      <c r="AR420" s="1"/>
      <c r="AS420" s="1"/>
      <c r="AT420" s="1"/>
      <c r="AU420" s="1"/>
      <c r="AV420" s="1"/>
      <c r="AW420" s="1" t="s">
        <v>6141</v>
      </c>
      <c r="AX420" s="3">
        <v>290.55</v>
      </c>
      <c r="AY420" s="1"/>
      <c r="AZ420" s="1"/>
      <c r="BA420" s="1"/>
      <c r="BB420" s="1"/>
      <c r="BE420" s="67">
        <f t="shared" si="1"/>
        <v>0</v>
      </c>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t="s">
        <v>6142</v>
      </c>
      <c r="Z421" s="3">
        <v>290.55</v>
      </c>
      <c r="AA421" s="1"/>
      <c r="AB421" s="1"/>
      <c r="AC421" s="1"/>
      <c r="AD421" s="1"/>
      <c r="AE421" s="1"/>
      <c r="AF421" s="1"/>
      <c r="AG421" s="1"/>
      <c r="AH421" s="1"/>
      <c r="AI421" s="1"/>
      <c r="AJ421" s="1"/>
      <c r="AK421" s="1"/>
      <c r="AL421" s="1"/>
      <c r="AM421" s="1" t="s">
        <v>6143</v>
      </c>
      <c r="AN421" s="3">
        <v>290.55</v>
      </c>
      <c r="AO421" s="1"/>
      <c r="AP421" s="1"/>
      <c r="AQ421" s="1"/>
      <c r="AR421" s="1"/>
      <c r="AS421" s="1"/>
      <c r="AT421" s="1"/>
      <c r="AU421" s="1"/>
      <c r="AV421" s="1"/>
      <c r="AW421" s="1" t="s">
        <v>6144</v>
      </c>
      <c r="AX421" s="3">
        <v>290.55</v>
      </c>
      <c r="AY421" s="1"/>
      <c r="AZ421" s="1"/>
      <c r="BA421" s="1"/>
      <c r="BB421" s="1"/>
      <c r="BE421" s="67">
        <f t="shared" si="1"/>
        <v>0</v>
      </c>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t="s">
        <v>6145</v>
      </c>
      <c r="Z422" s="3">
        <v>290.55</v>
      </c>
      <c r="AA422" s="1"/>
      <c r="AB422" s="1"/>
      <c r="AC422" s="1"/>
      <c r="AD422" s="1"/>
      <c r="AE422" s="1"/>
      <c r="AF422" s="1"/>
      <c r="AG422" s="1"/>
      <c r="AH422" s="1"/>
      <c r="AI422" s="1"/>
      <c r="AJ422" s="1"/>
      <c r="AK422" s="1"/>
      <c r="AL422" s="1"/>
      <c r="AM422" s="1" t="s">
        <v>367</v>
      </c>
      <c r="AN422" s="3">
        <v>290.55</v>
      </c>
      <c r="AO422" s="1"/>
      <c r="AP422" s="1"/>
      <c r="AQ422" s="1"/>
      <c r="AR422" s="1"/>
      <c r="AS422" s="1"/>
      <c r="AT422" s="1"/>
      <c r="AU422" s="1"/>
      <c r="AV422" s="1"/>
      <c r="AW422" s="1" t="s">
        <v>6146</v>
      </c>
      <c r="AX422" s="3">
        <v>290.55</v>
      </c>
      <c r="AY422" s="1"/>
      <c r="AZ422" s="1"/>
      <c r="BA422" s="1"/>
      <c r="BB422" s="1"/>
      <c r="BE422" s="67">
        <f t="shared" si="1"/>
        <v>0</v>
      </c>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t="s">
        <v>6147</v>
      </c>
      <c r="Z423" s="3">
        <v>290.55</v>
      </c>
      <c r="AA423" s="1"/>
      <c r="AB423" s="1"/>
      <c r="AC423" s="1"/>
      <c r="AD423" s="1"/>
      <c r="AE423" s="1"/>
      <c r="AF423" s="1"/>
      <c r="AG423" s="1"/>
      <c r="AH423" s="1"/>
      <c r="AI423" s="1"/>
      <c r="AJ423" s="1"/>
      <c r="AK423" s="1"/>
      <c r="AL423" s="1"/>
      <c r="AM423" s="1" t="s">
        <v>6148</v>
      </c>
      <c r="AN423" s="3">
        <v>290.55</v>
      </c>
      <c r="AO423" s="1"/>
      <c r="AP423" s="1"/>
      <c r="AQ423" s="1"/>
      <c r="AR423" s="1"/>
      <c r="AS423" s="1"/>
      <c r="AT423" s="1"/>
      <c r="AU423" s="1"/>
      <c r="AV423" s="1"/>
      <c r="AW423" s="1" t="s">
        <v>6149</v>
      </c>
      <c r="AX423" s="3">
        <v>290.55</v>
      </c>
      <c r="AY423" s="1"/>
      <c r="AZ423" s="1"/>
      <c r="BA423" s="1"/>
      <c r="BB423" s="1"/>
      <c r="BE423" s="67">
        <f t="shared" si="1"/>
        <v>0</v>
      </c>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t="s">
        <v>6150</v>
      </c>
      <c r="Z424" s="3">
        <v>290.55</v>
      </c>
      <c r="AA424" s="1"/>
      <c r="AB424" s="1"/>
      <c r="AC424" s="1"/>
      <c r="AD424" s="1"/>
      <c r="AE424" s="1"/>
      <c r="AF424" s="1"/>
      <c r="AG424" s="1"/>
      <c r="AH424" s="1"/>
      <c r="AI424" s="1"/>
      <c r="AJ424" s="1"/>
      <c r="AK424" s="1"/>
      <c r="AL424" s="1"/>
      <c r="AM424" s="1" t="s">
        <v>6151</v>
      </c>
      <c r="AN424" s="3">
        <v>290.55</v>
      </c>
      <c r="AO424" s="1"/>
      <c r="AP424" s="1"/>
      <c r="AQ424" s="1"/>
      <c r="AR424" s="1"/>
      <c r="AS424" s="1"/>
      <c r="AT424" s="1"/>
      <c r="AU424" s="1"/>
      <c r="AV424" s="1"/>
      <c r="AW424" s="1" t="s">
        <v>6152</v>
      </c>
      <c r="AX424" s="3">
        <v>290.55</v>
      </c>
      <c r="AY424" s="1"/>
      <c r="AZ424" s="1"/>
      <c r="BA424" s="1"/>
      <c r="BB424" s="1"/>
      <c r="BE424" s="67">
        <f t="shared" si="1"/>
        <v>0</v>
      </c>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t="s">
        <v>6153</v>
      </c>
      <c r="Z425" s="3">
        <v>290.55</v>
      </c>
      <c r="AA425" s="1"/>
      <c r="AB425" s="1"/>
      <c r="AC425" s="1"/>
      <c r="AD425" s="1"/>
      <c r="AE425" s="1"/>
      <c r="AF425" s="1"/>
      <c r="AG425" s="1"/>
      <c r="AH425" s="1"/>
      <c r="AI425" s="1"/>
      <c r="AJ425" s="1"/>
      <c r="AK425" s="1"/>
      <c r="AL425" s="1"/>
      <c r="AM425" s="1" t="s">
        <v>6154</v>
      </c>
      <c r="AN425" s="3">
        <v>290.55</v>
      </c>
      <c r="AO425" s="1"/>
      <c r="AP425" s="1"/>
      <c r="AQ425" s="1"/>
      <c r="AR425" s="1"/>
      <c r="AS425" s="1"/>
      <c r="AT425" s="1"/>
      <c r="AU425" s="1"/>
      <c r="AV425" s="1"/>
      <c r="AW425" s="1" t="s">
        <v>6155</v>
      </c>
      <c r="AX425" s="3">
        <v>290.55</v>
      </c>
      <c r="AY425" s="1"/>
      <c r="AZ425" s="1"/>
      <c r="BA425" s="1"/>
      <c r="BB425" s="1"/>
      <c r="BE425" s="67">
        <f t="shared" si="1"/>
        <v>0</v>
      </c>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t="s">
        <v>6156</v>
      </c>
      <c r="Z426" s="3">
        <v>290.55</v>
      </c>
      <c r="AA426" s="1"/>
      <c r="AB426" s="1"/>
      <c r="AC426" s="1"/>
      <c r="AD426" s="1"/>
      <c r="AE426" s="1"/>
      <c r="AF426" s="1"/>
      <c r="AG426" s="1"/>
      <c r="AH426" s="1"/>
      <c r="AI426" s="1"/>
      <c r="AJ426" s="1"/>
      <c r="AK426" s="1"/>
      <c r="AL426" s="1"/>
      <c r="AM426" s="1" t="s">
        <v>6157</v>
      </c>
      <c r="AN426" s="3">
        <v>290.55</v>
      </c>
      <c r="AO426" s="1"/>
      <c r="AP426" s="1"/>
      <c r="AQ426" s="1"/>
      <c r="AR426" s="1"/>
      <c r="AS426" s="1"/>
      <c r="AT426" s="1"/>
      <c r="AU426" s="1"/>
      <c r="AV426" s="1"/>
      <c r="AW426" s="1" t="s">
        <v>6158</v>
      </c>
      <c r="AX426" s="3">
        <v>290.55</v>
      </c>
      <c r="AY426" s="1"/>
      <c r="AZ426" s="1"/>
      <c r="BA426" s="1"/>
      <c r="BB426" s="1"/>
      <c r="BE426" s="67">
        <f t="shared" si="1"/>
        <v>0</v>
      </c>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t="s">
        <v>6159</v>
      </c>
      <c r="Z427" s="3">
        <v>290.55</v>
      </c>
      <c r="AA427" s="1"/>
      <c r="AB427" s="1"/>
      <c r="AC427" s="1"/>
      <c r="AD427" s="1"/>
      <c r="AE427" s="1"/>
      <c r="AF427" s="1"/>
      <c r="AG427" s="1"/>
      <c r="AH427" s="1"/>
      <c r="AI427" s="1"/>
      <c r="AJ427" s="1"/>
      <c r="AK427" s="1"/>
      <c r="AL427" s="1"/>
      <c r="AM427" s="1" t="s">
        <v>6160</v>
      </c>
      <c r="AN427" s="3">
        <v>290.55</v>
      </c>
      <c r="AO427" s="1"/>
      <c r="AP427" s="1"/>
      <c r="AQ427" s="1"/>
      <c r="AR427" s="1"/>
      <c r="AS427" s="1"/>
      <c r="AT427" s="1"/>
      <c r="AU427" s="1"/>
      <c r="AV427" s="1"/>
      <c r="AW427" s="1" t="s">
        <v>6161</v>
      </c>
      <c r="AX427" s="3">
        <v>290.55</v>
      </c>
      <c r="AY427" s="1"/>
      <c r="AZ427" s="1"/>
      <c r="BA427" s="1"/>
      <c r="BB427" s="1"/>
      <c r="BE427" s="67">
        <f t="shared" si="1"/>
        <v>0</v>
      </c>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t="s">
        <v>6162</v>
      </c>
      <c r="Z428" s="3">
        <v>290.55</v>
      </c>
      <c r="AA428" s="1"/>
      <c r="AB428" s="1"/>
      <c r="AC428" s="1"/>
      <c r="AD428" s="1"/>
      <c r="AE428" s="1"/>
      <c r="AF428" s="1"/>
      <c r="AG428" s="1"/>
      <c r="AH428" s="1"/>
      <c r="AI428" s="1"/>
      <c r="AJ428" s="1"/>
      <c r="AK428" s="1"/>
      <c r="AL428" s="1"/>
      <c r="AM428" s="1" t="s">
        <v>6163</v>
      </c>
      <c r="AN428" s="3">
        <v>290.55</v>
      </c>
      <c r="AO428" s="1"/>
      <c r="AP428" s="1"/>
      <c r="AQ428" s="1"/>
      <c r="AR428" s="1"/>
      <c r="AS428" s="1"/>
      <c r="AT428" s="1"/>
      <c r="AU428" s="1"/>
      <c r="AV428" s="1"/>
      <c r="AW428" s="1" t="s">
        <v>6164</v>
      </c>
      <c r="AX428" s="3">
        <v>290.55</v>
      </c>
      <c r="AY428" s="1"/>
      <c r="AZ428" s="1"/>
      <c r="BA428" s="1"/>
      <c r="BB428" s="1"/>
      <c r="BE428" s="67">
        <f t="shared" si="1"/>
        <v>0</v>
      </c>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t="s">
        <v>6165</v>
      </c>
      <c r="Z429" s="3">
        <v>290.55</v>
      </c>
      <c r="AA429" s="1"/>
      <c r="AB429" s="1"/>
      <c r="AC429" s="1"/>
      <c r="AD429" s="1"/>
      <c r="AE429" s="1"/>
      <c r="AF429" s="1"/>
      <c r="AG429" s="1"/>
      <c r="AH429" s="1"/>
      <c r="AI429" s="1"/>
      <c r="AJ429" s="1"/>
      <c r="AK429" s="1"/>
      <c r="AL429" s="1"/>
      <c r="AM429" s="1" t="s">
        <v>6166</v>
      </c>
      <c r="AN429" s="3">
        <v>290.55</v>
      </c>
      <c r="AO429" s="1"/>
      <c r="AP429" s="1"/>
      <c r="AQ429" s="1"/>
      <c r="AR429" s="1"/>
      <c r="AS429" s="1"/>
      <c r="AT429" s="1"/>
      <c r="AU429" s="1"/>
      <c r="AV429" s="1"/>
      <c r="AW429" s="1" t="s">
        <v>6167</v>
      </c>
      <c r="AX429" s="3">
        <v>290.55</v>
      </c>
      <c r="AY429" s="1"/>
      <c r="AZ429" s="1"/>
      <c r="BA429" s="1"/>
      <c r="BB429" s="1"/>
      <c r="BE429" s="67">
        <f t="shared" si="1"/>
        <v>0</v>
      </c>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t="s">
        <v>3847</v>
      </c>
      <c r="Z430" s="3">
        <v>290.55</v>
      </c>
      <c r="AA430" s="1"/>
      <c r="AB430" s="1"/>
      <c r="AC430" s="1"/>
      <c r="AD430" s="1"/>
      <c r="AE430" s="1"/>
      <c r="AF430" s="1"/>
      <c r="AG430" s="1"/>
      <c r="AH430" s="1"/>
      <c r="AI430" s="1"/>
      <c r="AJ430" s="1"/>
      <c r="AK430" s="1"/>
      <c r="AL430" s="1"/>
      <c r="AM430" s="1" t="s">
        <v>6168</v>
      </c>
      <c r="AN430" s="3">
        <v>290.55</v>
      </c>
      <c r="AO430" s="1"/>
      <c r="AP430" s="1"/>
      <c r="AQ430" s="1"/>
      <c r="AR430" s="1"/>
      <c r="AS430" s="1"/>
      <c r="AT430" s="1"/>
      <c r="AU430" s="1"/>
      <c r="AV430" s="1"/>
      <c r="AW430" s="1" t="s">
        <v>6169</v>
      </c>
      <c r="AX430" s="3">
        <v>290.55</v>
      </c>
      <c r="AY430" s="1"/>
      <c r="AZ430" s="1"/>
      <c r="BA430" s="1"/>
      <c r="BB430" s="1"/>
      <c r="BE430" s="67">
        <f t="shared" si="1"/>
        <v>0</v>
      </c>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t="s">
        <v>4316</v>
      </c>
      <c r="Z431" s="3">
        <v>290.55</v>
      </c>
      <c r="AA431" s="1"/>
      <c r="AB431" s="1"/>
      <c r="AC431" s="1"/>
      <c r="AD431" s="1"/>
      <c r="AE431" s="1"/>
      <c r="AF431" s="1"/>
      <c r="AG431" s="1"/>
      <c r="AH431" s="1"/>
      <c r="AI431" s="1"/>
      <c r="AJ431" s="1"/>
      <c r="AK431" s="1"/>
      <c r="AL431" s="1"/>
      <c r="AM431" s="1" t="s">
        <v>6170</v>
      </c>
      <c r="AN431" s="3">
        <v>290.55</v>
      </c>
      <c r="AO431" s="1"/>
      <c r="AP431" s="1"/>
      <c r="AQ431" s="1"/>
      <c r="AR431" s="1"/>
      <c r="AS431" s="1"/>
      <c r="AT431" s="1"/>
      <c r="AU431" s="1"/>
      <c r="AV431" s="1"/>
      <c r="AW431" s="1" t="s">
        <v>6171</v>
      </c>
      <c r="AX431" s="3">
        <v>290.55</v>
      </c>
      <c r="AY431" s="1"/>
      <c r="AZ431" s="1"/>
      <c r="BA431" s="1"/>
      <c r="BB431" s="1"/>
      <c r="BE431" s="67">
        <f t="shared" si="1"/>
        <v>0</v>
      </c>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t="s">
        <v>6172</v>
      </c>
      <c r="Z432" s="3">
        <v>290.55</v>
      </c>
      <c r="AA432" s="1"/>
      <c r="AB432" s="1"/>
      <c r="AC432" s="1"/>
      <c r="AD432" s="1"/>
      <c r="AE432" s="1"/>
      <c r="AF432" s="1"/>
      <c r="AG432" s="1"/>
      <c r="AH432" s="1"/>
      <c r="AI432" s="1"/>
      <c r="AJ432" s="1"/>
      <c r="AK432" s="1"/>
      <c r="AL432" s="1"/>
      <c r="AM432" s="1" t="s">
        <v>6173</v>
      </c>
      <c r="AN432" s="3">
        <v>290.55</v>
      </c>
      <c r="AO432" s="1"/>
      <c r="AP432" s="1"/>
      <c r="AQ432" s="1"/>
      <c r="AR432" s="1"/>
      <c r="AS432" s="1"/>
      <c r="AT432" s="1"/>
      <c r="AU432" s="1"/>
      <c r="AV432" s="1"/>
      <c r="AW432" s="1" t="s">
        <v>6174</v>
      </c>
      <c r="AX432" s="3">
        <v>290.55</v>
      </c>
      <c r="AY432" s="1"/>
      <c r="AZ432" s="1"/>
      <c r="BA432" s="1"/>
      <c r="BB432" s="1"/>
      <c r="BE432" s="67">
        <f t="shared" si="1"/>
        <v>0</v>
      </c>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t="s">
        <v>6175</v>
      </c>
      <c r="Z433" s="3">
        <v>290.55</v>
      </c>
      <c r="AA433" s="1"/>
      <c r="AB433" s="1"/>
      <c r="AC433" s="1"/>
      <c r="AD433" s="1"/>
      <c r="AE433" s="1"/>
      <c r="AF433" s="1"/>
      <c r="AG433" s="1"/>
      <c r="AH433" s="1"/>
      <c r="AI433" s="1"/>
      <c r="AJ433" s="1"/>
      <c r="AK433" s="1"/>
      <c r="AL433" s="1"/>
      <c r="AM433" s="1" t="s">
        <v>6176</v>
      </c>
      <c r="AN433" s="3">
        <v>290.55</v>
      </c>
      <c r="AO433" s="1"/>
      <c r="AP433" s="1"/>
      <c r="AQ433" s="1"/>
      <c r="AR433" s="1"/>
      <c r="AS433" s="1"/>
      <c r="AT433" s="1"/>
      <c r="AU433" s="1"/>
      <c r="AV433" s="1"/>
      <c r="AW433" s="1" t="s">
        <v>5078</v>
      </c>
      <c r="AX433" s="3">
        <v>290.55</v>
      </c>
      <c r="AY433" s="1"/>
      <c r="AZ433" s="1"/>
      <c r="BA433" s="1"/>
      <c r="BB433" s="1"/>
      <c r="BE433" s="67">
        <f t="shared" si="1"/>
        <v>0</v>
      </c>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t="s">
        <v>6177</v>
      </c>
      <c r="Z434" s="3">
        <v>290.55</v>
      </c>
      <c r="AA434" s="1"/>
      <c r="AB434" s="1"/>
      <c r="AC434" s="1"/>
      <c r="AD434" s="1"/>
      <c r="AE434" s="1"/>
      <c r="AF434" s="1"/>
      <c r="AG434" s="1"/>
      <c r="AH434" s="1"/>
      <c r="AI434" s="1"/>
      <c r="AJ434" s="1"/>
      <c r="AK434" s="1"/>
      <c r="AL434" s="1"/>
      <c r="AM434" s="1" t="s">
        <v>6178</v>
      </c>
      <c r="AN434" s="3">
        <v>290.55</v>
      </c>
      <c r="AO434" s="1"/>
      <c r="AP434" s="1"/>
      <c r="AQ434" s="1"/>
      <c r="AR434" s="1"/>
      <c r="AS434" s="1"/>
      <c r="AT434" s="1"/>
      <c r="AU434" s="1"/>
      <c r="AV434" s="1"/>
      <c r="AW434" s="1" t="s">
        <v>6179</v>
      </c>
      <c r="AX434" s="3">
        <v>290.55</v>
      </c>
      <c r="AY434" s="1"/>
      <c r="AZ434" s="1"/>
      <c r="BA434" s="1"/>
      <c r="BB434" s="1"/>
      <c r="BE434" s="67">
        <f t="shared" si="1"/>
        <v>0</v>
      </c>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t="s">
        <v>199</v>
      </c>
      <c r="Z435" s="3">
        <v>290.55</v>
      </c>
      <c r="AA435" s="1"/>
      <c r="AB435" s="1"/>
      <c r="AC435" s="1"/>
      <c r="AD435" s="1"/>
      <c r="AE435" s="1"/>
      <c r="AF435" s="1"/>
      <c r="AG435" s="1"/>
      <c r="AH435" s="1"/>
      <c r="AI435" s="1"/>
      <c r="AJ435" s="1"/>
      <c r="AK435" s="1"/>
      <c r="AL435" s="1"/>
      <c r="AM435" s="1" t="s">
        <v>6180</v>
      </c>
      <c r="AN435" s="3">
        <v>290.55</v>
      </c>
      <c r="AO435" s="1"/>
      <c r="AP435" s="1"/>
      <c r="AQ435" s="1"/>
      <c r="AR435" s="1"/>
      <c r="AS435" s="1"/>
      <c r="AT435" s="1"/>
      <c r="AU435" s="1"/>
      <c r="AV435" s="1"/>
      <c r="AW435" s="1" t="s">
        <v>6181</v>
      </c>
      <c r="AX435" s="3">
        <v>290.55</v>
      </c>
      <c r="AY435" s="1"/>
      <c r="AZ435" s="1"/>
      <c r="BA435" s="1"/>
      <c r="BB435" s="1"/>
      <c r="BE435" s="67">
        <f t="shared" si="1"/>
        <v>0</v>
      </c>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t="s">
        <v>6182</v>
      </c>
      <c r="Z436" s="3">
        <v>290.55</v>
      </c>
      <c r="AA436" s="1"/>
      <c r="AB436" s="1"/>
      <c r="AC436" s="1"/>
      <c r="AD436" s="1"/>
      <c r="AE436" s="1"/>
      <c r="AF436" s="1"/>
      <c r="AG436" s="1"/>
      <c r="AH436" s="1"/>
      <c r="AI436" s="1"/>
      <c r="AJ436" s="1"/>
      <c r="AK436" s="1"/>
      <c r="AL436" s="1"/>
      <c r="AM436" s="1" t="s">
        <v>6183</v>
      </c>
      <c r="AN436" s="3">
        <v>290.55</v>
      </c>
      <c r="AO436" s="1"/>
      <c r="AP436" s="1"/>
      <c r="AQ436" s="1"/>
      <c r="AR436" s="1"/>
      <c r="AS436" s="1"/>
      <c r="AT436" s="1"/>
      <c r="AU436" s="1"/>
      <c r="AV436" s="1"/>
      <c r="AW436" s="1" t="s">
        <v>6184</v>
      </c>
      <c r="AX436" s="3">
        <v>290.55</v>
      </c>
      <c r="AY436" s="1"/>
      <c r="AZ436" s="1"/>
      <c r="BA436" s="1"/>
      <c r="BB436" s="1"/>
      <c r="BE436" s="67">
        <f t="shared" si="1"/>
        <v>0</v>
      </c>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t="s">
        <v>626</v>
      </c>
      <c r="Z437" s="3">
        <v>290.55</v>
      </c>
      <c r="AA437" s="1"/>
      <c r="AB437" s="1"/>
      <c r="AC437" s="1"/>
      <c r="AD437" s="1"/>
      <c r="AE437" s="1"/>
      <c r="AF437" s="1"/>
      <c r="AG437" s="1"/>
      <c r="AH437" s="1"/>
      <c r="AI437" s="1"/>
      <c r="AJ437" s="1"/>
      <c r="AK437" s="1"/>
      <c r="AL437" s="1"/>
      <c r="AM437" s="1" t="s">
        <v>5998</v>
      </c>
      <c r="AN437" s="3">
        <v>290.55</v>
      </c>
      <c r="AO437" s="1"/>
      <c r="AP437" s="1"/>
      <c r="AQ437" s="1"/>
      <c r="AR437" s="1"/>
      <c r="AS437" s="1"/>
      <c r="AT437" s="1"/>
      <c r="AU437" s="1"/>
      <c r="AV437" s="1"/>
      <c r="AW437" s="1" t="s">
        <v>6185</v>
      </c>
      <c r="AX437" s="3">
        <v>290.55</v>
      </c>
      <c r="AY437" s="1"/>
      <c r="AZ437" s="1"/>
      <c r="BA437" s="1"/>
      <c r="BB437" s="1"/>
      <c r="BE437" s="67">
        <f t="shared" si="1"/>
        <v>0</v>
      </c>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t="s">
        <v>6186</v>
      </c>
      <c r="Z438" s="3">
        <v>290.55</v>
      </c>
      <c r="AA438" s="1"/>
      <c r="AB438" s="1"/>
      <c r="AC438" s="1"/>
      <c r="AD438" s="1"/>
      <c r="AE438" s="1"/>
      <c r="AF438" s="1"/>
      <c r="AG438" s="1"/>
      <c r="AH438" s="1"/>
      <c r="AI438" s="1"/>
      <c r="AJ438" s="1"/>
      <c r="AK438" s="1"/>
      <c r="AL438" s="1"/>
      <c r="AM438" s="1" t="s">
        <v>5180</v>
      </c>
      <c r="AN438" s="3">
        <v>290.55</v>
      </c>
      <c r="AO438" s="1"/>
      <c r="AP438" s="1"/>
      <c r="AQ438" s="1"/>
      <c r="AR438" s="1"/>
      <c r="AS438" s="1"/>
      <c r="AT438" s="1"/>
      <c r="AU438" s="1"/>
      <c r="AV438" s="1"/>
      <c r="AW438" s="1" t="s">
        <v>6187</v>
      </c>
      <c r="AX438" s="3">
        <v>290.55</v>
      </c>
      <c r="AY438" s="1"/>
      <c r="AZ438" s="1"/>
      <c r="BA438" s="1"/>
      <c r="BB438" s="1"/>
      <c r="BE438" s="67">
        <f t="shared" si="1"/>
        <v>0</v>
      </c>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t="s">
        <v>6188</v>
      </c>
      <c r="Z439" s="3">
        <v>290.55</v>
      </c>
      <c r="AA439" s="1"/>
      <c r="AB439" s="1"/>
      <c r="AC439" s="1"/>
      <c r="AD439" s="1"/>
      <c r="AE439" s="1"/>
      <c r="AF439" s="1"/>
      <c r="AG439" s="1"/>
      <c r="AH439" s="1"/>
      <c r="AI439" s="1"/>
      <c r="AJ439" s="1"/>
      <c r="AK439" s="1"/>
      <c r="AL439" s="1"/>
      <c r="AM439" s="1" t="s">
        <v>6189</v>
      </c>
      <c r="AN439" s="3">
        <v>290.55</v>
      </c>
      <c r="AO439" s="1"/>
      <c r="AP439" s="1"/>
      <c r="AQ439" s="1"/>
      <c r="AR439" s="1"/>
      <c r="AS439" s="1"/>
      <c r="AT439" s="1"/>
      <c r="AU439" s="1"/>
      <c r="AV439" s="1"/>
      <c r="AW439" s="1" t="s">
        <v>6190</v>
      </c>
      <c r="AX439" s="3">
        <v>290.55</v>
      </c>
      <c r="AY439" s="1"/>
      <c r="AZ439" s="1"/>
      <c r="BA439" s="1"/>
      <c r="BB439" s="1"/>
      <c r="BE439" s="67">
        <f t="shared" si="1"/>
        <v>0</v>
      </c>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t="s">
        <v>6191</v>
      </c>
      <c r="Z440" s="3">
        <v>290.55</v>
      </c>
      <c r="AA440" s="1"/>
      <c r="AB440" s="1"/>
      <c r="AC440" s="1"/>
      <c r="AD440" s="1"/>
      <c r="AE440" s="1"/>
      <c r="AF440" s="1"/>
      <c r="AG440" s="1"/>
      <c r="AH440" s="1"/>
      <c r="AI440" s="1"/>
      <c r="AJ440" s="1"/>
      <c r="AK440" s="1"/>
      <c r="AL440" s="1"/>
      <c r="AM440" s="1" t="s">
        <v>377</v>
      </c>
      <c r="AN440" s="3">
        <v>290.55</v>
      </c>
      <c r="AO440" s="1"/>
      <c r="AP440" s="1"/>
      <c r="AQ440" s="1"/>
      <c r="AR440" s="1"/>
      <c r="AS440" s="1"/>
      <c r="AT440" s="1"/>
      <c r="AU440" s="1"/>
      <c r="AV440" s="1"/>
      <c r="AW440" s="1" t="s">
        <v>6192</v>
      </c>
      <c r="AX440" s="3">
        <v>290.55</v>
      </c>
      <c r="AY440" s="1"/>
      <c r="AZ440" s="1"/>
      <c r="BA440" s="1"/>
      <c r="BB440" s="1"/>
      <c r="BE440" s="67">
        <f t="shared" si="1"/>
        <v>0</v>
      </c>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t="s">
        <v>6193</v>
      </c>
      <c r="Z441" s="3">
        <v>290.55</v>
      </c>
      <c r="AA441" s="1"/>
      <c r="AB441" s="1"/>
      <c r="AC441" s="1"/>
      <c r="AD441" s="1"/>
      <c r="AE441" s="1"/>
      <c r="AF441" s="1"/>
      <c r="AG441" s="1"/>
      <c r="AH441" s="1"/>
      <c r="AI441" s="1"/>
      <c r="AJ441" s="1"/>
      <c r="AK441" s="1"/>
      <c r="AL441" s="1"/>
      <c r="AM441" s="1" t="s">
        <v>6194</v>
      </c>
      <c r="AN441" s="3">
        <v>290.55</v>
      </c>
      <c r="AO441" s="1"/>
      <c r="AP441" s="1"/>
      <c r="AQ441" s="1"/>
      <c r="AR441" s="1"/>
      <c r="AS441" s="1"/>
      <c r="AT441" s="1"/>
      <c r="AU441" s="1"/>
      <c r="AV441" s="1"/>
      <c r="AW441" s="1" t="s">
        <v>6195</v>
      </c>
      <c r="AX441" s="3">
        <v>290.55</v>
      </c>
      <c r="AY441" s="1"/>
      <c r="AZ441" s="1"/>
      <c r="BA441" s="1"/>
      <c r="BB441" s="1"/>
      <c r="BE441" s="67">
        <f t="shared" si="1"/>
        <v>0</v>
      </c>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t="s">
        <v>6196</v>
      </c>
      <c r="Z442" s="3">
        <v>290.55</v>
      </c>
      <c r="AA442" s="1"/>
      <c r="AB442" s="1"/>
      <c r="AC442" s="1"/>
      <c r="AD442" s="1"/>
      <c r="AE442" s="1"/>
      <c r="AF442" s="1"/>
      <c r="AG442" s="1"/>
      <c r="AH442" s="1"/>
      <c r="AI442" s="1"/>
      <c r="AJ442" s="1"/>
      <c r="AK442" s="1"/>
      <c r="AL442" s="1"/>
      <c r="AM442" s="1" t="s">
        <v>6197</v>
      </c>
      <c r="AN442" s="3">
        <v>290.55</v>
      </c>
      <c r="AO442" s="1"/>
      <c r="AP442" s="1"/>
      <c r="AQ442" s="1"/>
      <c r="AR442" s="1"/>
      <c r="AS442" s="1"/>
      <c r="AT442" s="1"/>
      <c r="AU442" s="1"/>
      <c r="AV442" s="1"/>
      <c r="AW442" s="1" t="s">
        <v>6198</v>
      </c>
      <c r="AX442" s="3">
        <v>290.55</v>
      </c>
      <c r="AY442" s="1"/>
      <c r="AZ442" s="1"/>
      <c r="BA442" s="1"/>
      <c r="BB442" s="1"/>
      <c r="BE442" s="67">
        <f t="shared" si="1"/>
        <v>0</v>
      </c>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t="s">
        <v>6199</v>
      </c>
      <c r="Z443" s="3">
        <v>290.55</v>
      </c>
      <c r="AA443" s="1"/>
      <c r="AB443" s="1"/>
      <c r="AC443" s="1"/>
      <c r="AD443" s="1"/>
      <c r="AE443" s="1"/>
      <c r="AF443" s="1"/>
      <c r="AG443" s="1"/>
      <c r="AH443" s="1"/>
      <c r="AI443" s="1"/>
      <c r="AJ443" s="1"/>
      <c r="AK443" s="1"/>
      <c r="AL443" s="1"/>
      <c r="AM443" s="1" t="s">
        <v>6200</v>
      </c>
      <c r="AN443" s="3">
        <v>290.55</v>
      </c>
      <c r="AO443" s="1"/>
      <c r="AP443" s="1"/>
      <c r="AQ443" s="1"/>
      <c r="AR443" s="1"/>
      <c r="AS443" s="1"/>
      <c r="AT443" s="1"/>
      <c r="AU443" s="1"/>
      <c r="AV443" s="1"/>
      <c r="AW443" s="1" t="s">
        <v>6201</v>
      </c>
      <c r="AX443" s="3">
        <v>290.55</v>
      </c>
      <c r="AY443" s="1"/>
      <c r="AZ443" s="1"/>
      <c r="BA443" s="1"/>
      <c r="BB443" s="1"/>
      <c r="BE443" s="67">
        <f t="shared" si="1"/>
        <v>0</v>
      </c>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t="s">
        <v>6202</v>
      </c>
      <c r="Z444" s="3">
        <v>290.55</v>
      </c>
      <c r="AA444" s="1"/>
      <c r="AB444" s="1"/>
      <c r="AC444" s="1"/>
      <c r="AD444" s="1"/>
      <c r="AE444" s="1"/>
      <c r="AF444" s="1"/>
      <c r="AG444" s="1"/>
      <c r="AH444" s="1"/>
      <c r="AI444" s="1"/>
      <c r="AJ444" s="1"/>
      <c r="AK444" s="1"/>
      <c r="AL444" s="1"/>
      <c r="AM444" s="1" t="s">
        <v>6203</v>
      </c>
      <c r="AN444" s="3">
        <v>290.55</v>
      </c>
      <c r="AO444" s="1"/>
      <c r="AP444" s="1"/>
      <c r="AQ444" s="1"/>
      <c r="AR444" s="1"/>
      <c r="AS444" s="1"/>
      <c r="AT444" s="1"/>
      <c r="AU444" s="1"/>
      <c r="AV444" s="1"/>
      <c r="AW444" s="1" t="s">
        <v>6204</v>
      </c>
      <c r="AX444" s="3">
        <v>290.55</v>
      </c>
      <c r="AY444" s="1"/>
      <c r="AZ444" s="1"/>
      <c r="BA444" s="1"/>
      <c r="BB444" s="1"/>
      <c r="BE444" s="67">
        <f t="shared" si="1"/>
        <v>0</v>
      </c>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t="s">
        <v>6205</v>
      </c>
      <c r="Z445" s="3">
        <v>290.55</v>
      </c>
      <c r="AA445" s="1"/>
      <c r="AB445" s="1"/>
      <c r="AC445" s="1"/>
      <c r="AD445" s="1"/>
      <c r="AE445" s="1"/>
      <c r="AF445" s="1"/>
      <c r="AG445" s="1"/>
      <c r="AH445" s="1"/>
      <c r="AI445" s="1"/>
      <c r="AJ445" s="1"/>
      <c r="AK445" s="1"/>
      <c r="AL445" s="1"/>
      <c r="AM445" s="1" t="s">
        <v>6206</v>
      </c>
      <c r="AN445" s="3">
        <v>290.55</v>
      </c>
      <c r="AO445" s="1"/>
      <c r="AP445" s="1"/>
      <c r="AQ445" s="1"/>
      <c r="AR445" s="1"/>
      <c r="AS445" s="1"/>
      <c r="AT445" s="1"/>
      <c r="AU445" s="1"/>
      <c r="AV445" s="1"/>
      <c r="AW445" s="1" t="s">
        <v>281</v>
      </c>
      <c r="AX445" s="3">
        <v>290.55</v>
      </c>
      <c r="AY445" s="1"/>
      <c r="AZ445" s="1"/>
      <c r="BA445" s="1"/>
      <c r="BB445" s="1"/>
      <c r="BE445" s="67">
        <f t="shared" si="1"/>
        <v>0</v>
      </c>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t="s">
        <v>6207</v>
      </c>
      <c r="Z446" s="3">
        <v>290.55</v>
      </c>
      <c r="AA446" s="1"/>
      <c r="AB446" s="1"/>
      <c r="AC446" s="1"/>
      <c r="AD446" s="1"/>
      <c r="AE446" s="1"/>
      <c r="AF446" s="1"/>
      <c r="AG446" s="1"/>
      <c r="AH446" s="1"/>
      <c r="AI446" s="1"/>
      <c r="AJ446" s="1"/>
      <c r="AK446" s="1"/>
      <c r="AL446" s="1"/>
      <c r="AM446" s="1" t="s">
        <v>5237</v>
      </c>
      <c r="AN446" s="3">
        <v>290.55</v>
      </c>
      <c r="AO446" s="1"/>
      <c r="AP446" s="1"/>
      <c r="AQ446" s="1"/>
      <c r="AR446" s="1"/>
      <c r="AS446" s="1"/>
      <c r="AT446" s="1"/>
      <c r="AU446" s="1"/>
      <c r="AV446" s="1"/>
      <c r="AW446" s="1" t="s">
        <v>283</v>
      </c>
      <c r="AX446" s="3">
        <v>290.55</v>
      </c>
      <c r="AY446" s="1"/>
      <c r="AZ446" s="1"/>
      <c r="BA446" s="1"/>
      <c r="BB446" s="1"/>
      <c r="BE446" s="67">
        <f t="shared" si="1"/>
        <v>0</v>
      </c>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t="s">
        <v>6208</v>
      </c>
      <c r="Z447" s="3">
        <v>290.55</v>
      </c>
      <c r="AA447" s="1"/>
      <c r="AB447" s="1"/>
      <c r="AC447" s="1"/>
      <c r="AD447" s="1"/>
      <c r="AE447" s="1"/>
      <c r="AF447" s="1"/>
      <c r="AG447" s="1"/>
      <c r="AH447" s="1"/>
      <c r="AI447" s="1"/>
      <c r="AJ447" s="1"/>
      <c r="AK447" s="1"/>
      <c r="AL447" s="1"/>
      <c r="AM447" s="1" t="s">
        <v>6209</v>
      </c>
      <c r="AN447" s="3">
        <v>290.55</v>
      </c>
      <c r="AO447" s="1"/>
      <c r="AP447" s="1"/>
      <c r="AQ447" s="1"/>
      <c r="AR447" s="1"/>
      <c r="AS447" s="1"/>
      <c r="AT447" s="1"/>
      <c r="AU447" s="1"/>
      <c r="AV447" s="1"/>
      <c r="AW447" s="1" t="s">
        <v>6210</v>
      </c>
      <c r="AX447" s="3">
        <v>290.55</v>
      </c>
      <c r="AY447" s="1"/>
      <c r="AZ447" s="1"/>
      <c r="BA447" s="1"/>
      <c r="BB447" s="1"/>
      <c r="BE447" s="67">
        <f t="shared" si="1"/>
        <v>0</v>
      </c>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t="s">
        <v>6211</v>
      </c>
      <c r="Z448" s="3">
        <v>290.55</v>
      </c>
      <c r="AA448" s="1"/>
      <c r="AB448" s="1"/>
      <c r="AC448" s="1"/>
      <c r="AD448" s="1"/>
      <c r="AE448" s="1"/>
      <c r="AF448" s="1"/>
      <c r="AG448" s="1"/>
      <c r="AH448" s="1"/>
      <c r="AI448" s="1"/>
      <c r="AJ448" s="1"/>
      <c r="AK448" s="1"/>
      <c r="AL448" s="1"/>
      <c r="AM448" s="1" t="s">
        <v>6212</v>
      </c>
      <c r="AN448" s="3">
        <v>290.55</v>
      </c>
      <c r="AO448" s="1"/>
      <c r="AP448" s="1"/>
      <c r="AQ448" s="1"/>
      <c r="AR448" s="1"/>
      <c r="AS448" s="1"/>
      <c r="AT448" s="1"/>
      <c r="AU448" s="1"/>
      <c r="AV448" s="1"/>
      <c r="AW448" s="1" t="s">
        <v>6213</v>
      </c>
      <c r="AX448" s="3">
        <v>290.55</v>
      </c>
      <c r="AY448" s="1"/>
      <c r="AZ448" s="1"/>
      <c r="BA448" s="1"/>
      <c r="BB448" s="1"/>
      <c r="BE448" s="67">
        <f t="shared" si="1"/>
        <v>0</v>
      </c>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t="s">
        <v>6214</v>
      </c>
      <c r="Z449" s="3">
        <v>290.55</v>
      </c>
      <c r="AA449" s="1"/>
      <c r="AB449" s="1"/>
      <c r="AC449" s="1"/>
      <c r="AD449" s="1"/>
      <c r="AE449" s="1"/>
      <c r="AF449" s="1"/>
      <c r="AG449" s="1"/>
      <c r="AH449" s="1"/>
      <c r="AI449" s="1"/>
      <c r="AJ449" s="1"/>
      <c r="AK449" s="1"/>
      <c r="AL449" s="1"/>
      <c r="AM449" s="1" t="s">
        <v>6215</v>
      </c>
      <c r="AN449" s="3">
        <v>290.55</v>
      </c>
      <c r="AO449" s="1"/>
      <c r="AP449" s="1"/>
      <c r="AQ449" s="1"/>
      <c r="AR449" s="1"/>
      <c r="AS449" s="1"/>
      <c r="AT449" s="1"/>
      <c r="AU449" s="1"/>
      <c r="AV449" s="1"/>
      <c r="AW449" s="1" t="s">
        <v>6216</v>
      </c>
      <c r="AX449" s="3">
        <v>290.55</v>
      </c>
      <c r="AY449" s="1"/>
      <c r="AZ449" s="1"/>
      <c r="BA449" s="1"/>
      <c r="BB449" s="1"/>
      <c r="BE449" s="67">
        <f t="shared" si="1"/>
        <v>0</v>
      </c>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t="s">
        <v>6217</v>
      </c>
      <c r="Z450" s="3">
        <v>290.55</v>
      </c>
      <c r="AA450" s="1"/>
      <c r="AB450" s="1"/>
      <c r="AC450" s="1"/>
      <c r="AD450" s="1"/>
      <c r="AE450" s="1"/>
      <c r="AF450" s="1"/>
      <c r="AG450" s="1"/>
      <c r="AH450" s="1"/>
      <c r="AI450" s="1"/>
      <c r="AJ450" s="1"/>
      <c r="AK450" s="1"/>
      <c r="AL450" s="1"/>
      <c r="AM450" s="1" t="s">
        <v>6218</v>
      </c>
      <c r="AN450" s="3">
        <v>290.55</v>
      </c>
      <c r="AO450" s="1"/>
      <c r="AP450" s="1"/>
      <c r="AQ450" s="1"/>
      <c r="AR450" s="1"/>
      <c r="AS450" s="1"/>
      <c r="AT450" s="1"/>
      <c r="AU450" s="1"/>
      <c r="AV450" s="1"/>
      <c r="AW450" s="1" t="s">
        <v>6219</v>
      </c>
      <c r="AX450" s="3">
        <v>290.55</v>
      </c>
      <c r="AY450" s="1"/>
      <c r="AZ450" s="1"/>
      <c r="BA450" s="1"/>
      <c r="BB450" s="1"/>
      <c r="BE450" s="67">
        <f t="shared" si="1"/>
        <v>0</v>
      </c>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t="s">
        <v>6220</v>
      </c>
      <c r="Z451" s="3">
        <v>290.55</v>
      </c>
      <c r="AA451" s="1"/>
      <c r="AB451" s="1"/>
      <c r="AC451" s="1"/>
      <c r="AD451" s="1"/>
      <c r="AE451" s="1"/>
      <c r="AF451" s="1"/>
      <c r="AG451" s="1"/>
      <c r="AH451" s="1"/>
      <c r="AI451" s="1"/>
      <c r="AJ451" s="1"/>
      <c r="AK451" s="1"/>
      <c r="AL451" s="1"/>
      <c r="AM451" s="1" t="s">
        <v>6221</v>
      </c>
      <c r="AN451" s="3">
        <v>290.55</v>
      </c>
      <c r="AO451" s="1"/>
      <c r="AP451" s="1"/>
      <c r="AQ451" s="1"/>
      <c r="AR451" s="1"/>
      <c r="AS451" s="1"/>
      <c r="AT451" s="1"/>
      <c r="AU451" s="1"/>
      <c r="AV451" s="1"/>
      <c r="AW451" s="1" t="s">
        <v>6222</v>
      </c>
      <c r="AX451" s="3">
        <v>290.55</v>
      </c>
      <c r="AY451" s="1"/>
      <c r="AZ451" s="1"/>
      <c r="BA451" s="1"/>
      <c r="BB451" s="1"/>
      <c r="BE451" s="67">
        <f t="shared" si="1"/>
        <v>0</v>
      </c>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t="s">
        <v>6223</v>
      </c>
      <c r="Z452" s="3">
        <v>290.55</v>
      </c>
      <c r="AA452" s="1"/>
      <c r="AB452" s="1"/>
      <c r="AC452" s="1"/>
      <c r="AD452" s="1"/>
      <c r="AE452" s="1"/>
      <c r="AF452" s="1"/>
      <c r="AG452" s="1"/>
      <c r="AH452" s="1"/>
      <c r="AI452" s="1"/>
      <c r="AJ452" s="1"/>
      <c r="AK452" s="1"/>
      <c r="AL452" s="1"/>
      <c r="AM452" s="1" t="s">
        <v>6224</v>
      </c>
      <c r="AN452" s="3">
        <v>290.55</v>
      </c>
      <c r="AO452" s="1"/>
      <c r="AP452" s="1"/>
      <c r="AQ452" s="1"/>
      <c r="AR452" s="1"/>
      <c r="AS452" s="1"/>
      <c r="AT452" s="1"/>
      <c r="AU452" s="1"/>
      <c r="AV452" s="1"/>
      <c r="AW452" s="1" t="s">
        <v>6225</v>
      </c>
      <c r="AX452" s="3">
        <v>290.55</v>
      </c>
      <c r="AY452" s="1"/>
      <c r="AZ452" s="1"/>
      <c r="BA452" s="1"/>
      <c r="BB452" s="1"/>
      <c r="BE452" s="67">
        <f t="shared" si="1"/>
        <v>0</v>
      </c>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t="s">
        <v>6226</v>
      </c>
      <c r="Z453" s="3">
        <v>290.55</v>
      </c>
      <c r="AA453" s="1"/>
      <c r="AB453" s="1"/>
      <c r="AC453" s="1"/>
      <c r="AD453" s="1"/>
      <c r="AE453" s="1"/>
      <c r="AF453" s="1"/>
      <c r="AG453" s="1"/>
      <c r="AH453" s="1"/>
      <c r="AI453" s="1"/>
      <c r="AJ453" s="1"/>
      <c r="AK453" s="1"/>
      <c r="AL453" s="1"/>
      <c r="AM453" s="1" t="s">
        <v>6227</v>
      </c>
      <c r="AN453" s="3">
        <v>290.55</v>
      </c>
      <c r="AO453" s="1"/>
      <c r="AP453" s="1"/>
      <c r="AQ453" s="1"/>
      <c r="AR453" s="1"/>
      <c r="AS453" s="1"/>
      <c r="AT453" s="1"/>
      <c r="AU453" s="1"/>
      <c r="AV453" s="1"/>
      <c r="AW453" s="1" t="s">
        <v>6228</v>
      </c>
      <c r="AX453" s="3">
        <v>290.55</v>
      </c>
      <c r="AY453" s="1"/>
      <c r="AZ453" s="1"/>
      <c r="BA453" s="1"/>
      <c r="BB453" s="1"/>
      <c r="BE453" s="67">
        <f t="shared" si="1"/>
        <v>0</v>
      </c>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t="s">
        <v>6229</v>
      </c>
      <c r="Z454" s="3">
        <v>290.55</v>
      </c>
      <c r="AA454" s="1"/>
      <c r="AB454" s="1"/>
      <c r="AC454" s="1"/>
      <c r="AD454" s="1"/>
      <c r="AE454" s="1"/>
      <c r="AF454" s="1"/>
      <c r="AG454" s="1"/>
      <c r="AH454" s="1"/>
      <c r="AI454" s="1"/>
      <c r="AJ454" s="1"/>
      <c r="AK454" s="1"/>
      <c r="AL454" s="1"/>
      <c r="AM454" s="1" t="s">
        <v>6230</v>
      </c>
      <c r="AN454" s="3">
        <v>290.55</v>
      </c>
      <c r="AO454" s="1"/>
      <c r="AP454" s="1"/>
      <c r="AQ454" s="1"/>
      <c r="AR454" s="1"/>
      <c r="AS454" s="1"/>
      <c r="AT454" s="1"/>
      <c r="AU454" s="1"/>
      <c r="AV454" s="1"/>
      <c r="AW454" s="1" t="s">
        <v>6231</v>
      </c>
      <c r="AX454" s="3">
        <v>290.55</v>
      </c>
      <c r="AY454" s="1"/>
      <c r="AZ454" s="1"/>
      <c r="BA454" s="1"/>
      <c r="BB454" s="1"/>
      <c r="BE454" s="67">
        <f t="shared" si="1"/>
        <v>0</v>
      </c>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t="s">
        <v>6232</v>
      </c>
      <c r="Z455" s="3">
        <v>290.55</v>
      </c>
      <c r="AA455" s="1"/>
      <c r="AB455" s="1"/>
      <c r="AC455" s="1"/>
      <c r="AD455" s="1"/>
      <c r="AE455" s="1"/>
      <c r="AF455" s="1"/>
      <c r="AG455" s="1"/>
      <c r="AH455" s="1"/>
      <c r="AI455" s="1"/>
      <c r="AJ455" s="1"/>
      <c r="AK455" s="1"/>
      <c r="AL455" s="1"/>
      <c r="AM455" s="1" t="s">
        <v>6233</v>
      </c>
      <c r="AN455" s="3">
        <v>290.55</v>
      </c>
      <c r="AO455" s="1"/>
      <c r="AP455" s="1"/>
      <c r="AQ455" s="1"/>
      <c r="AR455" s="1"/>
      <c r="AS455" s="1"/>
      <c r="AT455" s="1"/>
      <c r="AU455" s="1"/>
      <c r="AV455" s="1"/>
      <c r="AW455" s="1" t="s">
        <v>6234</v>
      </c>
      <c r="AX455" s="3">
        <v>290.55</v>
      </c>
      <c r="AY455" s="1"/>
      <c r="AZ455" s="1"/>
      <c r="BA455" s="1"/>
      <c r="BB455" s="1"/>
      <c r="BE455" s="67">
        <f t="shared" si="1"/>
        <v>0</v>
      </c>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t="s">
        <v>6235</v>
      </c>
      <c r="Z456" s="3">
        <v>290.55</v>
      </c>
      <c r="AA456" s="1"/>
      <c r="AB456" s="1"/>
      <c r="AC456" s="1"/>
      <c r="AD456" s="1"/>
      <c r="AE456" s="1"/>
      <c r="AF456" s="1"/>
      <c r="AG456" s="1"/>
      <c r="AH456" s="1"/>
      <c r="AI456" s="1"/>
      <c r="AJ456" s="1"/>
      <c r="AK456" s="1"/>
      <c r="AL456" s="1"/>
      <c r="AM456" s="1" t="s">
        <v>6236</v>
      </c>
      <c r="AN456" s="3">
        <v>290.55</v>
      </c>
      <c r="AO456" s="1"/>
      <c r="AP456" s="1"/>
      <c r="AQ456" s="1"/>
      <c r="AR456" s="1"/>
      <c r="AS456" s="1"/>
      <c r="AT456" s="1"/>
      <c r="AU456" s="1"/>
      <c r="AV456" s="1"/>
      <c r="AW456" s="1" t="s">
        <v>6237</v>
      </c>
      <c r="AX456" s="3">
        <v>290.55</v>
      </c>
      <c r="AY456" s="1"/>
      <c r="AZ456" s="1"/>
      <c r="BA456" s="1"/>
      <c r="BB456" s="1"/>
      <c r="BE456" s="67">
        <f t="shared" si="1"/>
        <v>0</v>
      </c>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t="s">
        <v>6238</v>
      </c>
      <c r="Z457" s="3">
        <v>290.55</v>
      </c>
      <c r="AA457" s="1"/>
      <c r="AB457" s="1"/>
      <c r="AC457" s="1"/>
      <c r="AD457" s="1"/>
      <c r="AE457" s="1"/>
      <c r="AF457" s="1"/>
      <c r="AG457" s="1"/>
      <c r="AH457" s="1"/>
      <c r="AI457" s="1"/>
      <c r="AJ457" s="1"/>
      <c r="AK457" s="1"/>
      <c r="AL457" s="1"/>
      <c r="AM457" s="1" t="s">
        <v>6239</v>
      </c>
      <c r="AN457" s="3">
        <v>290.55</v>
      </c>
      <c r="AO457" s="1"/>
      <c r="AP457" s="1"/>
      <c r="AQ457" s="1"/>
      <c r="AR457" s="1"/>
      <c r="AS457" s="1"/>
      <c r="AT457" s="1"/>
      <c r="AU457" s="1"/>
      <c r="AV457" s="1"/>
      <c r="AW457" s="1" t="s">
        <v>6240</v>
      </c>
      <c r="AX457" s="3">
        <v>290.55</v>
      </c>
      <c r="AY457" s="1"/>
      <c r="AZ457" s="1"/>
      <c r="BA457" s="1"/>
      <c r="BB457" s="1"/>
      <c r="BE457" s="67">
        <f t="shared" si="1"/>
        <v>0</v>
      </c>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t="s">
        <v>6241</v>
      </c>
      <c r="Z458" s="3">
        <v>290.55</v>
      </c>
      <c r="AA458" s="1"/>
      <c r="AB458" s="1"/>
      <c r="AC458" s="1"/>
      <c r="AD458" s="1"/>
      <c r="AE458" s="1"/>
      <c r="AF458" s="1"/>
      <c r="AG458" s="1"/>
      <c r="AH458" s="1"/>
      <c r="AI458" s="1"/>
      <c r="AJ458" s="1"/>
      <c r="AK458" s="1"/>
      <c r="AL458" s="1"/>
      <c r="AM458" s="1" t="s">
        <v>6242</v>
      </c>
      <c r="AN458" s="3">
        <v>290.55</v>
      </c>
      <c r="AO458" s="1"/>
      <c r="AP458" s="1"/>
      <c r="AQ458" s="1"/>
      <c r="AR458" s="1"/>
      <c r="AS458" s="1"/>
      <c r="AT458" s="1"/>
      <c r="AU458" s="1"/>
      <c r="AV458" s="1"/>
      <c r="AW458" s="1" t="s">
        <v>6243</v>
      </c>
      <c r="AX458" s="3">
        <v>290.55</v>
      </c>
      <c r="AY458" s="1"/>
      <c r="AZ458" s="1"/>
      <c r="BA458" s="1"/>
      <c r="BB458" s="1"/>
      <c r="BE458" s="67">
        <f t="shared" si="1"/>
        <v>0</v>
      </c>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t="s">
        <v>6244</v>
      </c>
      <c r="Z459" s="3">
        <v>290.55</v>
      </c>
      <c r="AA459" s="1"/>
      <c r="AB459" s="1"/>
      <c r="AC459" s="1"/>
      <c r="AD459" s="1"/>
      <c r="AE459" s="1"/>
      <c r="AF459" s="1"/>
      <c r="AG459" s="1"/>
      <c r="AH459" s="1"/>
      <c r="AI459" s="1"/>
      <c r="AJ459" s="1"/>
      <c r="AK459" s="1"/>
      <c r="AL459" s="1"/>
      <c r="AM459" s="1" t="s">
        <v>6245</v>
      </c>
      <c r="AN459" s="3">
        <v>290.55</v>
      </c>
      <c r="AO459" s="1"/>
      <c r="AP459" s="1"/>
      <c r="AQ459" s="1"/>
      <c r="AR459" s="1"/>
      <c r="AS459" s="1"/>
      <c r="AT459" s="1"/>
      <c r="AU459" s="1"/>
      <c r="AV459" s="1"/>
      <c r="AW459" s="1" t="s">
        <v>6246</v>
      </c>
      <c r="AX459" s="3">
        <v>290.55</v>
      </c>
      <c r="AY459" s="1"/>
      <c r="AZ459" s="1"/>
      <c r="BA459" s="1"/>
      <c r="BB459" s="1"/>
      <c r="BE459" s="67">
        <f t="shared" si="1"/>
        <v>0</v>
      </c>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t="s">
        <v>6247</v>
      </c>
      <c r="Z460" s="3">
        <v>290.55</v>
      </c>
      <c r="AA460" s="1"/>
      <c r="AB460" s="1"/>
      <c r="AC460" s="1"/>
      <c r="AD460" s="1"/>
      <c r="AE460" s="1"/>
      <c r="AF460" s="1"/>
      <c r="AG460" s="1"/>
      <c r="AH460" s="1"/>
      <c r="AI460" s="1"/>
      <c r="AJ460" s="1"/>
      <c r="AK460" s="1"/>
      <c r="AL460" s="1"/>
      <c r="AM460" s="1" t="s">
        <v>6248</v>
      </c>
      <c r="AN460" s="3">
        <v>290.55</v>
      </c>
      <c r="AO460" s="1"/>
      <c r="AP460" s="1"/>
      <c r="AQ460" s="1"/>
      <c r="AR460" s="1"/>
      <c r="AS460" s="1"/>
      <c r="AT460" s="1"/>
      <c r="AU460" s="1"/>
      <c r="AV460" s="1"/>
      <c r="AW460" s="1" t="s">
        <v>6249</v>
      </c>
      <c r="AX460" s="3">
        <v>290.55</v>
      </c>
      <c r="AY460" s="1"/>
      <c r="AZ460" s="1"/>
      <c r="BA460" s="1"/>
      <c r="BB460" s="1"/>
      <c r="BE460" s="67">
        <f t="shared" si="1"/>
        <v>0</v>
      </c>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t="s">
        <v>6250</v>
      </c>
      <c r="Z461" s="3">
        <v>290.55</v>
      </c>
      <c r="AA461" s="1"/>
      <c r="AB461" s="1"/>
      <c r="AC461" s="1"/>
      <c r="AD461" s="1"/>
      <c r="AE461" s="1"/>
      <c r="AF461" s="1"/>
      <c r="AG461" s="1"/>
      <c r="AH461" s="1"/>
      <c r="AI461" s="1"/>
      <c r="AJ461" s="1"/>
      <c r="AK461" s="1"/>
      <c r="AL461" s="1"/>
      <c r="AM461" s="1" t="s">
        <v>6251</v>
      </c>
      <c r="AN461" s="3">
        <v>290.55</v>
      </c>
      <c r="AO461" s="1"/>
      <c r="AP461" s="1"/>
      <c r="AQ461" s="1"/>
      <c r="AR461" s="1"/>
      <c r="AS461" s="1"/>
      <c r="AT461" s="1"/>
      <c r="AU461" s="1"/>
      <c r="AV461" s="1"/>
      <c r="AW461" s="1" t="s">
        <v>6252</v>
      </c>
      <c r="AX461" s="3">
        <v>290.55</v>
      </c>
      <c r="AY461" s="1"/>
      <c r="AZ461" s="1"/>
      <c r="BA461" s="1"/>
      <c r="BB461" s="1"/>
      <c r="BE461" s="67">
        <f t="shared" si="1"/>
        <v>0</v>
      </c>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t="s">
        <v>6253</v>
      </c>
      <c r="Z462" s="3">
        <v>290.55</v>
      </c>
      <c r="AA462" s="1"/>
      <c r="AB462" s="1"/>
      <c r="AC462" s="1"/>
      <c r="AD462" s="1"/>
      <c r="AE462" s="1"/>
      <c r="AF462" s="1"/>
      <c r="AG462" s="1"/>
      <c r="AH462" s="1"/>
      <c r="AI462" s="1"/>
      <c r="AJ462" s="1"/>
      <c r="AK462" s="1"/>
      <c r="AL462" s="1"/>
      <c r="AM462" s="1" t="s">
        <v>6254</v>
      </c>
      <c r="AN462" s="3">
        <v>290.55</v>
      </c>
      <c r="AO462" s="1"/>
      <c r="AP462" s="1"/>
      <c r="AQ462" s="1"/>
      <c r="AR462" s="1"/>
      <c r="AS462" s="1"/>
      <c r="AT462" s="1"/>
      <c r="AU462" s="1"/>
      <c r="AV462" s="1"/>
      <c r="AW462" s="1" t="s">
        <v>6255</v>
      </c>
      <c r="AX462" s="3">
        <v>290.55</v>
      </c>
      <c r="AY462" s="1"/>
      <c r="AZ462" s="1"/>
      <c r="BA462" s="1"/>
      <c r="BB462" s="1"/>
      <c r="BE462" s="67">
        <f t="shared" si="1"/>
        <v>0</v>
      </c>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t="s">
        <v>6256</v>
      </c>
      <c r="Z463" s="3">
        <v>290.55</v>
      </c>
      <c r="AA463" s="1"/>
      <c r="AB463" s="1"/>
      <c r="AC463" s="1"/>
      <c r="AD463" s="1"/>
      <c r="AE463" s="1"/>
      <c r="AF463" s="1"/>
      <c r="AG463" s="1"/>
      <c r="AH463" s="1"/>
      <c r="AI463" s="1"/>
      <c r="AJ463" s="1"/>
      <c r="AK463" s="1"/>
      <c r="AL463" s="1"/>
      <c r="AM463" s="1" t="s">
        <v>6257</v>
      </c>
      <c r="AN463" s="3">
        <v>290.55</v>
      </c>
      <c r="AO463" s="1"/>
      <c r="AP463" s="1"/>
      <c r="AQ463" s="1"/>
      <c r="AR463" s="1"/>
      <c r="AS463" s="1"/>
      <c r="AT463" s="1"/>
      <c r="AU463" s="1"/>
      <c r="AV463" s="1"/>
      <c r="AW463" s="1" t="s">
        <v>5183</v>
      </c>
      <c r="AX463" s="3">
        <v>290.55</v>
      </c>
      <c r="AY463" s="1"/>
      <c r="AZ463" s="1"/>
      <c r="BA463" s="1"/>
      <c r="BB463" s="1"/>
      <c r="BE463" s="67">
        <f t="shared" si="1"/>
        <v>0</v>
      </c>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t="s">
        <v>6258</v>
      </c>
      <c r="Z464" s="3">
        <v>290.55</v>
      </c>
      <c r="AA464" s="1"/>
      <c r="AB464" s="1"/>
      <c r="AC464" s="1"/>
      <c r="AD464" s="1"/>
      <c r="AE464" s="1"/>
      <c r="AF464" s="1"/>
      <c r="AG464" s="1"/>
      <c r="AH464" s="1"/>
      <c r="AI464" s="1"/>
      <c r="AJ464" s="1"/>
      <c r="AK464" s="1"/>
      <c r="AL464" s="1"/>
      <c r="AM464" s="1" t="s">
        <v>4862</v>
      </c>
      <c r="AN464" s="3">
        <v>290.55</v>
      </c>
      <c r="AO464" s="1"/>
      <c r="AP464" s="1"/>
      <c r="AQ464" s="1"/>
      <c r="AR464" s="1"/>
      <c r="AS464" s="1"/>
      <c r="AT464" s="1"/>
      <c r="AU464" s="1"/>
      <c r="AV464" s="1"/>
      <c r="AW464" s="1" t="s">
        <v>6259</v>
      </c>
      <c r="AX464" s="3">
        <v>290.55</v>
      </c>
      <c r="AY464" s="1"/>
      <c r="AZ464" s="1"/>
      <c r="BA464" s="1"/>
      <c r="BB464" s="1"/>
      <c r="BE464" s="67">
        <f t="shared" si="1"/>
        <v>0</v>
      </c>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t="s">
        <v>6260</v>
      </c>
      <c r="Z465" s="3">
        <v>290.55</v>
      </c>
      <c r="AA465" s="1"/>
      <c r="AB465" s="1"/>
      <c r="AC465" s="1"/>
      <c r="AD465" s="1"/>
      <c r="AE465" s="1"/>
      <c r="AF465" s="1"/>
      <c r="AG465" s="1"/>
      <c r="AH465" s="1"/>
      <c r="AI465" s="1"/>
      <c r="AJ465" s="1"/>
      <c r="AK465" s="1"/>
      <c r="AL465" s="1"/>
      <c r="AM465" s="1" t="s">
        <v>6261</v>
      </c>
      <c r="AN465" s="3">
        <v>290.55</v>
      </c>
      <c r="AO465" s="1"/>
      <c r="AP465" s="1"/>
      <c r="AQ465" s="1"/>
      <c r="AR465" s="1"/>
      <c r="AS465" s="1"/>
      <c r="AT465" s="1"/>
      <c r="AU465" s="1"/>
      <c r="AV465" s="1"/>
      <c r="AW465" s="1" t="s">
        <v>6262</v>
      </c>
      <c r="AX465" s="3">
        <v>290.55</v>
      </c>
      <c r="AY465" s="1"/>
      <c r="AZ465" s="1"/>
      <c r="BA465" s="1"/>
      <c r="BB465" s="1"/>
      <c r="BE465" s="67">
        <f t="shared" si="1"/>
        <v>0</v>
      </c>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t="s">
        <v>6263</v>
      </c>
      <c r="Z466" s="3">
        <v>290.55</v>
      </c>
      <c r="AA466" s="1"/>
      <c r="AB466" s="1"/>
      <c r="AC466" s="1"/>
      <c r="AD466" s="1"/>
      <c r="AE466" s="1"/>
      <c r="AF466" s="1"/>
      <c r="AG466" s="1"/>
      <c r="AH466" s="1"/>
      <c r="AI466" s="1"/>
      <c r="AJ466" s="1"/>
      <c r="AK466" s="1"/>
      <c r="AL466" s="1"/>
      <c r="AM466" s="1" t="s">
        <v>6264</v>
      </c>
      <c r="AN466" s="3">
        <v>290.55</v>
      </c>
      <c r="AO466" s="1"/>
      <c r="AP466" s="1"/>
      <c r="AQ466" s="1"/>
      <c r="AR466" s="1"/>
      <c r="AS466" s="1"/>
      <c r="AT466" s="1"/>
      <c r="AU466" s="1"/>
      <c r="AV466" s="1"/>
      <c r="AW466" s="1" t="s">
        <v>6265</v>
      </c>
      <c r="AX466" s="3">
        <v>290.55</v>
      </c>
      <c r="AY466" s="1"/>
      <c r="AZ466" s="1"/>
      <c r="BA466" s="1"/>
      <c r="BB466" s="1"/>
      <c r="BE466" s="67">
        <f t="shared" si="1"/>
        <v>0</v>
      </c>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t="s">
        <v>6266</v>
      </c>
      <c r="Z467" s="3">
        <v>290.55</v>
      </c>
      <c r="AA467" s="1"/>
      <c r="AB467" s="1"/>
      <c r="AC467" s="1"/>
      <c r="AD467" s="1"/>
      <c r="AE467" s="1"/>
      <c r="AF467" s="1"/>
      <c r="AG467" s="1"/>
      <c r="AH467" s="1"/>
      <c r="AI467" s="1"/>
      <c r="AJ467" s="1"/>
      <c r="AK467" s="1"/>
      <c r="AL467" s="1"/>
      <c r="AM467" s="1" t="s">
        <v>6267</v>
      </c>
      <c r="AN467" s="3">
        <v>290.55</v>
      </c>
      <c r="AO467" s="1"/>
      <c r="AP467" s="1"/>
      <c r="AQ467" s="1"/>
      <c r="AR467" s="1"/>
      <c r="AS467" s="1"/>
      <c r="AT467" s="1"/>
      <c r="AU467" s="1"/>
      <c r="AV467" s="1"/>
      <c r="AW467" s="1" t="s">
        <v>6268</v>
      </c>
      <c r="AX467" s="3">
        <v>290.55</v>
      </c>
      <c r="AY467" s="1"/>
      <c r="AZ467" s="1"/>
      <c r="BA467" s="1"/>
      <c r="BB467" s="1"/>
      <c r="BE467" s="67">
        <f t="shared" si="1"/>
        <v>0</v>
      </c>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t="s">
        <v>6269</v>
      </c>
      <c r="Z468" s="3">
        <v>290.55</v>
      </c>
      <c r="AA468" s="1"/>
      <c r="AB468" s="1"/>
      <c r="AC468" s="1"/>
      <c r="AD468" s="1"/>
      <c r="AE468" s="1"/>
      <c r="AF468" s="1"/>
      <c r="AG468" s="1"/>
      <c r="AH468" s="1"/>
      <c r="AI468" s="1"/>
      <c r="AJ468" s="1"/>
      <c r="AK468" s="1"/>
      <c r="AL468" s="1"/>
      <c r="AM468" s="1" t="s">
        <v>6270</v>
      </c>
      <c r="AN468" s="3">
        <v>290.55</v>
      </c>
      <c r="AO468" s="1"/>
      <c r="AP468" s="1"/>
      <c r="AQ468" s="1"/>
      <c r="AR468" s="1"/>
      <c r="AS468" s="1"/>
      <c r="AT468" s="1"/>
      <c r="AU468" s="1"/>
      <c r="AV468" s="1"/>
      <c r="AW468" s="1" t="s">
        <v>1620</v>
      </c>
      <c r="AX468" s="3">
        <v>290.55</v>
      </c>
      <c r="AY468" s="1"/>
      <c r="AZ468" s="1"/>
      <c r="BA468" s="1"/>
      <c r="BB468" s="1"/>
      <c r="BE468" s="67">
        <f t="shared" si="1"/>
        <v>0</v>
      </c>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t="s">
        <v>6271</v>
      </c>
      <c r="Z469" s="3">
        <v>290.55</v>
      </c>
      <c r="AA469" s="1"/>
      <c r="AB469" s="1"/>
      <c r="AC469" s="1"/>
      <c r="AD469" s="1"/>
      <c r="AE469" s="1"/>
      <c r="AF469" s="1"/>
      <c r="AG469" s="1"/>
      <c r="AH469" s="1"/>
      <c r="AI469" s="1"/>
      <c r="AJ469" s="1"/>
      <c r="AK469" s="1"/>
      <c r="AL469" s="1"/>
      <c r="AM469" s="1" t="s">
        <v>6272</v>
      </c>
      <c r="AN469" s="3">
        <v>290.55</v>
      </c>
      <c r="AO469" s="1"/>
      <c r="AP469" s="1"/>
      <c r="AQ469" s="1"/>
      <c r="AR469" s="1"/>
      <c r="AS469" s="1"/>
      <c r="AT469" s="1"/>
      <c r="AU469" s="1"/>
      <c r="AV469" s="1"/>
      <c r="AW469" s="1" t="s">
        <v>6273</v>
      </c>
      <c r="AX469" s="3">
        <v>290.55</v>
      </c>
      <c r="AY469" s="1"/>
      <c r="AZ469" s="1"/>
      <c r="BA469" s="1"/>
      <c r="BB469" s="1"/>
      <c r="BE469" s="67">
        <f t="shared" si="1"/>
        <v>0</v>
      </c>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t="s">
        <v>6274</v>
      </c>
      <c r="Z470" s="3">
        <v>290.55</v>
      </c>
      <c r="AA470" s="1"/>
      <c r="AB470" s="1"/>
      <c r="AC470" s="1"/>
      <c r="AD470" s="1"/>
      <c r="AE470" s="1"/>
      <c r="AF470" s="1"/>
      <c r="AG470" s="1"/>
      <c r="AH470" s="1"/>
      <c r="AI470" s="1"/>
      <c r="AJ470" s="1"/>
      <c r="AK470" s="1"/>
      <c r="AL470" s="1"/>
      <c r="AM470" s="1" t="s">
        <v>6275</v>
      </c>
      <c r="AN470" s="3">
        <v>290.55</v>
      </c>
      <c r="AO470" s="1"/>
      <c r="AP470" s="1"/>
      <c r="AQ470" s="1"/>
      <c r="AR470" s="1"/>
      <c r="AS470" s="1"/>
      <c r="AT470" s="1"/>
      <c r="AU470" s="1"/>
      <c r="AV470" s="1"/>
      <c r="AW470" s="1" t="s">
        <v>6276</v>
      </c>
      <c r="AX470" s="3">
        <v>290.55</v>
      </c>
      <c r="AY470" s="1"/>
      <c r="AZ470" s="1"/>
      <c r="BA470" s="1"/>
      <c r="BB470" s="1"/>
      <c r="BE470" s="67">
        <f t="shared" si="1"/>
        <v>0</v>
      </c>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t="s">
        <v>6277</v>
      </c>
      <c r="Z471" s="3">
        <v>290.55</v>
      </c>
      <c r="AA471" s="1"/>
      <c r="AB471" s="1"/>
      <c r="AC471" s="1"/>
      <c r="AD471" s="1"/>
      <c r="AE471" s="1"/>
      <c r="AF471" s="1"/>
      <c r="AG471" s="1"/>
      <c r="AH471" s="1"/>
      <c r="AI471" s="1"/>
      <c r="AJ471" s="1"/>
      <c r="AK471" s="1"/>
      <c r="AL471" s="1"/>
      <c r="AM471" s="1" t="s">
        <v>6278</v>
      </c>
      <c r="AN471" s="3">
        <v>290.55</v>
      </c>
      <c r="AO471" s="1"/>
      <c r="AP471" s="1"/>
      <c r="AQ471" s="1"/>
      <c r="AR471" s="1"/>
      <c r="AS471" s="1"/>
      <c r="AT471" s="1"/>
      <c r="AU471" s="1"/>
      <c r="AV471" s="1"/>
      <c r="AW471" s="1" t="s">
        <v>6279</v>
      </c>
      <c r="AX471" s="3">
        <v>290.55</v>
      </c>
      <c r="AY471" s="1"/>
      <c r="AZ471" s="1"/>
      <c r="BA471" s="1"/>
      <c r="BB471" s="1"/>
      <c r="BE471" s="67">
        <f t="shared" si="1"/>
        <v>0</v>
      </c>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t="s">
        <v>6280</v>
      </c>
      <c r="Z472" s="3">
        <v>290.55</v>
      </c>
      <c r="AA472" s="1"/>
      <c r="AB472" s="1"/>
      <c r="AC472" s="1"/>
      <c r="AD472" s="1"/>
      <c r="AE472" s="1"/>
      <c r="AF472" s="1"/>
      <c r="AG472" s="1"/>
      <c r="AH472" s="1"/>
      <c r="AI472" s="1"/>
      <c r="AJ472" s="1"/>
      <c r="AK472" s="1"/>
      <c r="AL472" s="1"/>
      <c r="AM472" s="1" t="s">
        <v>6281</v>
      </c>
      <c r="AN472" s="3">
        <v>290.55</v>
      </c>
      <c r="AO472" s="1"/>
      <c r="AP472" s="1"/>
      <c r="AQ472" s="1"/>
      <c r="AR472" s="1"/>
      <c r="AS472" s="1"/>
      <c r="AT472" s="1"/>
      <c r="AU472" s="1"/>
      <c r="AV472" s="1"/>
      <c r="AW472" s="1" t="s">
        <v>6282</v>
      </c>
      <c r="AX472" s="3">
        <v>290.55</v>
      </c>
      <c r="AY472" s="1"/>
      <c r="AZ472" s="1"/>
      <c r="BA472" s="1"/>
      <c r="BB472" s="1"/>
      <c r="BE472" s="67">
        <f t="shared" si="1"/>
        <v>0</v>
      </c>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t="s">
        <v>6283</v>
      </c>
      <c r="Z473" s="3">
        <v>290.55</v>
      </c>
      <c r="AA473" s="1"/>
      <c r="AB473" s="1"/>
      <c r="AC473" s="1"/>
      <c r="AD473" s="1"/>
      <c r="AE473" s="1"/>
      <c r="AF473" s="1"/>
      <c r="AG473" s="1"/>
      <c r="AH473" s="1"/>
      <c r="AI473" s="1"/>
      <c r="AJ473" s="1"/>
      <c r="AK473" s="1"/>
      <c r="AL473" s="1"/>
      <c r="AM473" s="1" t="s">
        <v>6284</v>
      </c>
      <c r="AN473" s="3">
        <v>290.55</v>
      </c>
      <c r="AO473" s="1"/>
      <c r="AP473" s="1"/>
      <c r="AQ473" s="1"/>
      <c r="AR473" s="1"/>
      <c r="AS473" s="1"/>
      <c r="AT473" s="1"/>
      <c r="AU473" s="1"/>
      <c r="AV473" s="1"/>
      <c r="AW473" s="1" t="s">
        <v>6285</v>
      </c>
      <c r="AX473" s="3">
        <v>290.55</v>
      </c>
      <c r="AY473" s="1"/>
      <c r="AZ473" s="1"/>
      <c r="BA473" s="1"/>
      <c r="BB473" s="1"/>
      <c r="BE473" s="67">
        <f t="shared" si="1"/>
        <v>0</v>
      </c>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t="s">
        <v>6286</v>
      </c>
      <c r="Z474" s="3">
        <v>290.55</v>
      </c>
      <c r="AA474" s="1"/>
      <c r="AB474" s="1"/>
      <c r="AC474" s="1"/>
      <c r="AD474" s="1"/>
      <c r="AE474" s="1"/>
      <c r="AF474" s="1"/>
      <c r="AG474" s="1"/>
      <c r="AH474" s="1"/>
      <c r="AI474" s="1"/>
      <c r="AJ474" s="1"/>
      <c r="AK474" s="1"/>
      <c r="AL474" s="1"/>
      <c r="AM474" s="1" t="s">
        <v>6287</v>
      </c>
      <c r="AN474" s="3">
        <v>290.55</v>
      </c>
      <c r="AO474" s="1"/>
      <c r="AP474" s="1"/>
      <c r="AQ474" s="1"/>
      <c r="AR474" s="1"/>
      <c r="AS474" s="1"/>
      <c r="AT474" s="1"/>
      <c r="AU474" s="1"/>
      <c r="AV474" s="1"/>
      <c r="AW474" s="1" t="s">
        <v>6288</v>
      </c>
      <c r="AX474" s="3">
        <v>290.55</v>
      </c>
      <c r="AY474" s="1"/>
      <c r="AZ474" s="1"/>
      <c r="BA474" s="1"/>
      <c r="BB474" s="1"/>
      <c r="BE474" s="67">
        <f t="shared" si="1"/>
        <v>0</v>
      </c>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t="s">
        <v>6289</v>
      </c>
      <c r="Z475" s="3">
        <v>290.55</v>
      </c>
      <c r="AA475" s="1"/>
      <c r="AB475" s="1"/>
      <c r="AC475" s="1"/>
      <c r="AD475" s="1"/>
      <c r="AE475" s="1"/>
      <c r="AF475" s="1"/>
      <c r="AG475" s="1"/>
      <c r="AH475" s="1"/>
      <c r="AI475" s="1"/>
      <c r="AJ475" s="1"/>
      <c r="AK475" s="1"/>
      <c r="AL475" s="1"/>
      <c r="AM475" s="1" t="s">
        <v>6290</v>
      </c>
      <c r="AN475" s="3">
        <v>290.55</v>
      </c>
      <c r="AO475" s="1"/>
      <c r="AP475" s="1"/>
      <c r="AQ475" s="1"/>
      <c r="AR475" s="1"/>
      <c r="AS475" s="1"/>
      <c r="AT475" s="1"/>
      <c r="AU475" s="1"/>
      <c r="AV475" s="1"/>
      <c r="AW475" s="1" t="s">
        <v>6291</v>
      </c>
      <c r="AX475" s="3">
        <v>290.55</v>
      </c>
      <c r="AY475" s="1"/>
      <c r="AZ475" s="1"/>
      <c r="BA475" s="1"/>
      <c r="BB475" s="1"/>
      <c r="BE475" s="67">
        <f t="shared" si="1"/>
        <v>0</v>
      </c>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t="s">
        <v>6292</v>
      </c>
      <c r="Z476" s="3">
        <v>290.55</v>
      </c>
      <c r="AA476" s="1"/>
      <c r="AB476" s="1"/>
      <c r="AC476" s="1"/>
      <c r="AD476" s="1"/>
      <c r="AE476" s="1"/>
      <c r="AF476" s="1"/>
      <c r="AG476" s="1"/>
      <c r="AH476" s="1"/>
      <c r="AI476" s="1"/>
      <c r="AJ476" s="1"/>
      <c r="AK476" s="1"/>
      <c r="AL476" s="1"/>
      <c r="AM476" s="1" t="s">
        <v>6293</v>
      </c>
      <c r="AN476" s="3">
        <v>290.55</v>
      </c>
      <c r="AO476" s="1"/>
      <c r="AP476" s="1"/>
      <c r="AQ476" s="1"/>
      <c r="AR476" s="1"/>
      <c r="AS476" s="1"/>
      <c r="AT476" s="1"/>
      <c r="AU476" s="1"/>
      <c r="AV476" s="1"/>
      <c r="AW476" s="1" t="s">
        <v>6294</v>
      </c>
      <c r="AX476" s="3">
        <v>290.55</v>
      </c>
      <c r="AY476" s="1"/>
      <c r="AZ476" s="1"/>
      <c r="BA476" s="1"/>
      <c r="BB476" s="1"/>
      <c r="BE476" s="67">
        <f t="shared" si="1"/>
        <v>0</v>
      </c>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t="s">
        <v>6295</v>
      </c>
      <c r="Z477" s="3">
        <v>290.55</v>
      </c>
      <c r="AA477" s="1"/>
      <c r="AB477" s="1"/>
      <c r="AC477" s="1"/>
      <c r="AD477" s="1"/>
      <c r="AE477" s="1"/>
      <c r="AF477" s="1"/>
      <c r="AG477" s="1"/>
      <c r="AH477" s="1"/>
      <c r="AI477" s="1"/>
      <c r="AJ477" s="1"/>
      <c r="AK477" s="1"/>
      <c r="AL477" s="1"/>
      <c r="AM477" s="1" t="s">
        <v>6296</v>
      </c>
      <c r="AN477" s="3">
        <v>290.55</v>
      </c>
      <c r="AO477" s="1"/>
      <c r="AP477" s="1"/>
      <c r="AQ477" s="1"/>
      <c r="AR477" s="1"/>
      <c r="AS477" s="1"/>
      <c r="AT477" s="1"/>
      <c r="AU477" s="1"/>
      <c r="AV477" s="1"/>
      <c r="AW477" s="1" t="s">
        <v>6297</v>
      </c>
      <c r="AX477" s="3">
        <v>290.55</v>
      </c>
      <c r="AY477" s="1"/>
      <c r="AZ477" s="1"/>
      <c r="BA477" s="1"/>
      <c r="BB477" s="1"/>
      <c r="BE477" s="67">
        <f t="shared" si="1"/>
        <v>0</v>
      </c>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t="s">
        <v>6298</v>
      </c>
      <c r="Z478" s="3">
        <v>290.55</v>
      </c>
      <c r="AA478" s="1"/>
      <c r="AB478" s="1"/>
      <c r="AC478" s="1"/>
      <c r="AD478" s="1"/>
      <c r="AE478" s="1"/>
      <c r="AF478" s="1"/>
      <c r="AG478" s="1"/>
      <c r="AH478" s="1"/>
      <c r="AI478" s="1"/>
      <c r="AJ478" s="1"/>
      <c r="AK478" s="1"/>
      <c r="AL478" s="1"/>
      <c r="AM478" s="1" t="s">
        <v>6299</v>
      </c>
      <c r="AN478" s="3">
        <v>290.55</v>
      </c>
      <c r="AO478" s="1"/>
      <c r="AP478" s="1"/>
      <c r="AQ478" s="1"/>
      <c r="AR478" s="1"/>
      <c r="AS478" s="1"/>
      <c r="AT478" s="1"/>
      <c r="AU478" s="1"/>
      <c r="AV478" s="1"/>
      <c r="AW478" s="1" t="s">
        <v>6300</v>
      </c>
      <c r="AX478" s="3">
        <v>290.55</v>
      </c>
      <c r="AY478" s="1"/>
      <c r="AZ478" s="1"/>
      <c r="BA478" s="1"/>
      <c r="BB478" s="1"/>
      <c r="BE478" s="67">
        <f t="shared" si="1"/>
        <v>0</v>
      </c>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t="s">
        <v>6301</v>
      </c>
      <c r="Z479" s="3">
        <v>290.55</v>
      </c>
      <c r="AA479" s="1"/>
      <c r="AB479" s="1"/>
      <c r="AC479" s="1"/>
      <c r="AD479" s="1"/>
      <c r="AE479" s="1"/>
      <c r="AF479" s="1"/>
      <c r="AG479" s="1"/>
      <c r="AH479" s="1"/>
      <c r="AI479" s="1"/>
      <c r="AJ479" s="1"/>
      <c r="AK479" s="1"/>
      <c r="AL479" s="1"/>
      <c r="AM479" s="1" t="s">
        <v>6302</v>
      </c>
      <c r="AN479" s="3">
        <v>290.55</v>
      </c>
      <c r="AO479" s="1"/>
      <c r="AP479" s="1"/>
      <c r="AQ479" s="1"/>
      <c r="AR479" s="1"/>
      <c r="AS479" s="1"/>
      <c r="AT479" s="1"/>
      <c r="AU479" s="1"/>
      <c r="AV479" s="1"/>
      <c r="AW479" s="1" t="s">
        <v>6303</v>
      </c>
      <c r="AX479" s="3">
        <v>290.55</v>
      </c>
      <c r="AY479" s="1"/>
      <c r="AZ479" s="1"/>
      <c r="BA479" s="1"/>
      <c r="BB479" s="1"/>
      <c r="BE479" s="67">
        <f t="shared" si="1"/>
        <v>0</v>
      </c>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t="s">
        <v>6304</v>
      </c>
      <c r="Z480" s="3">
        <v>290.55</v>
      </c>
      <c r="AA480" s="1"/>
      <c r="AB480" s="1"/>
      <c r="AC480" s="1"/>
      <c r="AD480" s="1"/>
      <c r="AE480" s="1"/>
      <c r="AF480" s="1"/>
      <c r="AG480" s="1"/>
      <c r="AH480" s="1"/>
      <c r="AI480" s="1"/>
      <c r="AJ480" s="1"/>
      <c r="AK480" s="1"/>
      <c r="AL480" s="1"/>
      <c r="AM480" s="1" t="s">
        <v>6305</v>
      </c>
      <c r="AN480" s="3">
        <v>290.55</v>
      </c>
      <c r="AO480" s="1"/>
      <c r="AP480" s="1"/>
      <c r="AQ480" s="1"/>
      <c r="AR480" s="1"/>
      <c r="AS480" s="1"/>
      <c r="AT480" s="1"/>
      <c r="AU480" s="1"/>
      <c r="AV480" s="1"/>
      <c r="AW480" s="1" t="s">
        <v>6306</v>
      </c>
      <c r="AX480" s="3">
        <v>290.55</v>
      </c>
      <c r="AY480" s="1"/>
      <c r="AZ480" s="1"/>
      <c r="BA480" s="1"/>
      <c r="BB480" s="1"/>
      <c r="BE480" s="67">
        <f t="shared" si="1"/>
        <v>0</v>
      </c>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t="s">
        <v>6307</v>
      </c>
      <c r="Z481" s="3">
        <v>290.55</v>
      </c>
      <c r="AA481" s="1"/>
      <c r="AB481" s="1"/>
      <c r="AC481" s="1"/>
      <c r="AD481" s="1"/>
      <c r="AE481" s="1"/>
      <c r="AF481" s="1"/>
      <c r="AG481" s="1"/>
      <c r="AH481" s="1"/>
      <c r="AI481" s="1"/>
      <c r="AJ481" s="1"/>
      <c r="AK481" s="1"/>
      <c r="AL481" s="1"/>
      <c r="AM481" s="1" t="s">
        <v>6308</v>
      </c>
      <c r="AN481" s="3">
        <v>290.55</v>
      </c>
      <c r="AO481" s="1"/>
      <c r="AP481" s="1"/>
      <c r="AQ481" s="1"/>
      <c r="AR481" s="1"/>
      <c r="AS481" s="1"/>
      <c r="AT481" s="1"/>
      <c r="AU481" s="1"/>
      <c r="AV481" s="1"/>
      <c r="AW481" s="1" t="s">
        <v>6309</v>
      </c>
      <c r="AX481" s="3">
        <v>290.55</v>
      </c>
      <c r="AY481" s="1"/>
      <c r="AZ481" s="1"/>
      <c r="BA481" s="1"/>
      <c r="BB481" s="1"/>
      <c r="BE481" s="67">
        <f t="shared" si="1"/>
        <v>0</v>
      </c>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t="s">
        <v>6310</v>
      </c>
      <c r="Z482" s="3">
        <v>290.55</v>
      </c>
      <c r="AA482" s="1"/>
      <c r="AB482" s="1"/>
      <c r="AC482" s="1"/>
      <c r="AD482" s="1"/>
      <c r="AE482" s="1"/>
      <c r="AF482" s="1"/>
      <c r="AG482" s="1"/>
      <c r="AH482" s="1"/>
      <c r="AI482" s="1"/>
      <c r="AJ482" s="1"/>
      <c r="AK482" s="1"/>
      <c r="AL482" s="1"/>
      <c r="AM482" s="1" t="s">
        <v>4738</v>
      </c>
      <c r="AN482" s="3">
        <v>290.55</v>
      </c>
      <c r="AO482" s="1"/>
      <c r="AP482" s="1"/>
      <c r="AQ482" s="1"/>
      <c r="AR482" s="1"/>
      <c r="AS482" s="1"/>
      <c r="AT482" s="1"/>
      <c r="AU482" s="1"/>
      <c r="AV482" s="1"/>
      <c r="AW482" s="1" t="s">
        <v>6311</v>
      </c>
      <c r="AX482" s="3">
        <v>290.55</v>
      </c>
      <c r="AY482" s="1"/>
      <c r="AZ482" s="1"/>
      <c r="BA482" s="1"/>
      <c r="BB482" s="1"/>
      <c r="BE482" s="67">
        <f t="shared" si="1"/>
        <v>0</v>
      </c>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t="s">
        <v>2744</v>
      </c>
      <c r="Z483" s="3">
        <v>290.55</v>
      </c>
      <c r="AA483" s="1"/>
      <c r="AB483" s="1"/>
      <c r="AC483" s="1"/>
      <c r="AD483" s="1"/>
      <c r="AE483" s="1"/>
      <c r="AF483" s="1"/>
      <c r="AG483" s="1"/>
      <c r="AH483" s="1"/>
      <c r="AI483" s="1"/>
      <c r="AJ483" s="1"/>
      <c r="AK483" s="1"/>
      <c r="AL483" s="1"/>
      <c r="AM483" s="1" t="s">
        <v>6312</v>
      </c>
      <c r="AN483" s="3">
        <v>290.55</v>
      </c>
      <c r="AO483" s="1"/>
      <c r="AP483" s="1"/>
      <c r="AQ483" s="1"/>
      <c r="AR483" s="1"/>
      <c r="AS483" s="1"/>
      <c r="AT483" s="1"/>
      <c r="AU483" s="1"/>
      <c r="AV483" s="1"/>
      <c r="AW483" s="1" t="s">
        <v>6313</v>
      </c>
      <c r="AX483" s="3">
        <v>290.55</v>
      </c>
      <c r="AY483" s="1"/>
      <c r="AZ483" s="1"/>
      <c r="BA483" s="1"/>
      <c r="BB483" s="1"/>
      <c r="BE483" s="67">
        <f t="shared" si="1"/>
        <v>0</v>
      </c>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t="s">
        <v>6314</v>
      </c>
      <c r="Z484" s="3">
        <v>290.55</v>
      </c>
      <c r="AA484" s="1"/>
      <c r="AB484" s="1"/>
      <c r="AC484" s="1"/>
      <c r="AD484" s="1"/>
      <c r="AE484" s="1"/>
      <c r="AF484" s="1"/>
      <c r="AG484" s="1"/>
      <c r="AH484" s="1"/>
      <c r="AI484" s="1"/>
      <c r="AJ484" s="1"/>
      <c r="AK484" s="1"/>
      <c r="AL484" s="1"/>
      <c r="AM484" s="1" t="s">
        <v>6315</v>
      </c>
      <c r="AN484" s="3">
        <v>290.55</v>
      </c>
      <c r="AO484" s="1"/>
      <c r="AP484" s="1"/>
      <c r="AQ484" s="1"/>
      <c r="AR484" s="1"/>
      <c r="AS484" s="1"/>
      <c r="AT484" s="1"/>
      <c r="AU484" s="1"/>
      <c r="AV484" s="1"/>
      <c r="AW484" s="1" t="s">
        <v>6316</v>
      </c>
      <c r="AX484" s="3">
        <v>290.55</v>
      </c>
      <c r="AY484" s="1"/>
      <c r="AZ484" s="1"/>
      <c r="BA484" s="1"/>
      <c r="BB484" s="1"/>
      <c r="BE484" s="67">
        <f t="shared" si="1"/>
        <v>0</v>
      </c>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t="s">
        <v>6317</v>
      </c>
      <c r="Z485" s="3">
        <v>290.55</v>
      </c>
      <c r="AA485" s="1"/>
      <c r="AB485" s="1"/>
      <c r="AC485" s="1"/>
      <c r="AD485" s="1"/>
      <c r="AE485" s="1"/>
      <c r="AF485" s="1"/>
      <c r="AG485" s="1"/>
      <c r="AH485" s="1"/>
      <c r="AI485" s="1"/>
      <c r="AJ485" s="1"/>
      <c r="AK485" s="1"/>
      <c r="AL485" s="1"/>
      <c r="AM485" s="1" t="s">
        <v>6318</v>
      </c>
      <c r="AN485" s="3">
        <v>290.55</v>
      </c>
      <c r="AO485" s="1"/>
      <c r="AP485" s="1"/>
      <c r="AQ485" s="1"/>
      <c r="AR485" s="1"/>
      <c r="AS485" s="1"/>
      <c r="AT485" s="1"/>
      <c r="AU485" s="1"/>
      <c r="AV485" s="1"/>
      <c r="AW485" s="1" t="s">
        <v>6319</v>
      </c>
      <c r="AX485" s="3">
        <v>290.55</v>
      </c>
      <c r="AY485" s="1"/>
      <c r="AZ485" s="1"/>
      <c r="BA485" s="1"/>
      <c r="BB485" s="1"/>
      <c r="BE485" s="67">
        <f t="shared" si="1"/>
        <v>0</v>
      </c>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t="s">
        <v>6320</v>
      </c>
      <c r="Z486" s="3">
        <v>290.55</v>
      </c>
      <c r="AA486" s="1"/>
      <c r="AB486" s="1"/>
      <c r="AC486" s="1"/>
      <c r="AD486" s="1"/>
      <c r="AE486" s="1"/>
      <c r="AF486" s="1"/>
      <c r="AG486" s="1"/>
      <c r="AH486" s="1"/>
      <c r="AI486" s="1"/>
      <c r="AJ486" s="1"/>
      <c r="AK486" s="1"/>
      <c r="AL486" s="1"/>
      <c r="AM486" s="1" t="s">
        <v>6321</v>
      </c>
      <c r="AN486" s="3">
        <v>290.55</v>
      </c>
      <c r="AO486" s="1"/>
      <c r="AP486" s="1"/>
      <c r="AQ486" s="1"/>
      <c r="AR486" s="1"/>
      <c r="AS486" s="1"/>
      <c r="AT486" s="1"/>
      <c r="AU486" s="1"/>
      <c r="AV486" s="1"/>
      <c r="AW486" s="1" t="s">
        <v>6322</v>
      </c>
      <c r="AX486" s="3">
        <v>290.55</v>
      </c>
      <c r="AY486" s="1"/>
      <c r="AZ486" s="1"/>
      <c r="BA486" s="1"/>
      <c r="BB486" s="1"/>
      <c r="BE486" s="67">
        <f t="shared" si="1"/>
        <v>0</v>
      </c>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t="s">
        <v>6323</v>
      </c>
      <c r="Z487" s="3">
        <v>290.55</v>
      </c>
      <c r="AA487" s="1"/>
      <c r="AB487" s="1"/>
      <c r="AC487" s="1"/>
      <c r="AD487" s="1"/>
      <c r="AE487" s="1"/>
      <c r="AF487" s="1"/>
      <c r="AG487" s="1"/>
      <c r="AH487" s="1"/>
      <c r="AI487" s="1"/>
      <c r="AJ487" s="1"/>
      <c r="AK487" s="1"/>
      <c r="AL487" s="1"/>
      <c r="AM487" s="1" t="s">
        <v>6324</v>
      </c>
      <c r="AN487" s="3">
        <v>290.55</v>
      </c>
      <c r="AO487" s="1"/>
      <c r="AP487" s="1"/>
      <c r="AQ487" s="1"/>
      <c r="AR487" s="1"/>
      <c r="AS487" s="1"/>
      <c r="AT487" s="1"/>
      <c r="AU487" s="1"/>
      <c r="AV487" s="1"/>
      <c r="AW487" s="1" t="s">
        <v>6325</v>
      </c>
      <c r="AX487" s="3">
        <v>290.55</v>
      </c>
      <c r="AY487" s="1"/>
      <c r="AZ487" s="1"/>
      <c r="BA487" s="1"/>
      <c r="BB487" s="1"/>
      <c r="BE487" s="67">
        <f t="shared" si="1"/>
        <v>0</v>
      </c>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t="s">
        <v>6326</v>
      </c>
      <c r="Z488" s="3">
        <v>290.55</v>
      </c>
      <c r="AA488" s="1"/>
      <c r="AB488" s="1"/>
      <c r="AC488" s="1"/>
      <c r="AD488" s="1"/>
      <c r="AE488" s="1"/>
      <c r="AF488" s="1"/>
      <c r="AG488" s="1"/>
      <c r="AH488" s="1"/>
      <c r="AI488" s="1"/>
      <c r="AJ488" s="1"/>
      <c r="AK488" s="1"/>
      <c r="AL488" s="1"/>
      <c r="AM488" s="1" t="s">
        <v>6327</v>
      </c>
      <c r="AN488" s="3">
        <v>290.55</v>
      </c>
      <c r="AO488" s="1"/>
      <c r="AP488" s="1"/>
      <c r="AQ488" s="1"/>
      <c r="AR488" s="1"/>
      <c r="AS488" s="1"/>
      <c r="AT488" s="1"/>
      <c r="AU488" s="1"/>
      <c r="AV488" s="1"/>
      <c r="AW488" s="1" t="s">
        <v>6328</v>
      </c>
      <c r="AX488" s="3">
        <v>290.55</v>
      </c>
      <c r="AY488" s="1"/>
      <c r="AZ488" s="1"/>
      <c r="BA488" s="1"/>
      <c r="BB488" s="1"/>
      <c r="BE488" s="67">
        <f t="shared" si="1"/>
        <v>0</v>
      </c>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t="s">
        <v>6329</v>
      </c>
      <c r="Z489" s="3">
        <v>290.55</v>
      </c>
      <c r="AA489" s="1"/>
      <c r="AB489" s="1"/>
      <c r="AC489" s="1"/>
      <c r="AD489" s="1"/>
      <c r="AE489" s="1"/>
      <c r="AF489" s="1"/>
      <c r="AG489" s="1"/>
      <c r="AH489" s="1"/>
      <c r="AI489" s="1"/>
      <c r="AJ489" s="1"/>
      <c r="AK489" s="1"/>
      <c r="AL489" s="1"/>
      <c r="AM489" s="1" t="s">
        <v>6330</v>
      </c>
      <c r="AN489" s="3">
        <v>290.55</v>
      </c>
      <c r="AO489" s="1"/>
      <c r="AP489" s="1"/>
      <c r="AQ489" s="1"/>
      <c r="AR489" s="1"/>
      <c r="AS489" s="1"/>
      <c r="AT489" s="1"/>
      <c r="AU489" s="1"/>
      <c r="AV489" s="1"/>
      <c r="AW489" s="1" t="s">
        <v>6331</v>
      </c>
      <c r="AX489" s="3">
        <v>290.55</v>
      </c>
      <c r="AY489" s="1"/>
      <c r="AZ489" s="1"/>
      <c r="BA489" s="1"/>
      <c r="BB489" s="1"/>
      <c r="BE489" s="67">
        <f t="shared" si="1"/>
        <v>0</v>
      </c>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t="s">
        <v>6332</v>
      </c>
      <c r="Z490" s="3">
        <v>290.55</v>
      </c>
      <c r="AA490" s="1"/>
      <c r="AB490" s="1"/>
      <c r="AC490" s="1"/>
      <c r="AD490" s="1"/>
      <c r="AE490" s="1"/>
      <c r="AF490" s="1"/>
      <c r="AG490" s="1"/>
      <c r="AH490" s="1"/>
      <c r="AI490" s="1"/>
      <c r="AJ490" s="1"/>
      <c r="AK490" s="1"/>
      <c r="AL490" s="1"/>
      <c r="AM490" s="1" t="s">
        <v>6333</v>
      </c>
      <c r="AN490" s="3">
        <v>290.55</v>
      </c>
      <c r="AO490" s="1"/>
      <c r="AP490" s="1"/>
      <c r="AQ490" s="1"/>
      <c r="AR490" s="1"/>
      <c r="AS490" s="1"/>
      <c r="AT490" s="1"/>
      <c r="AU490" s="1"/>
      <c r="AV490" s="1"/>
      <c r="AW490" s="1" t="s">
        <v>6334</v>
      </c>
      <c r="AX490" s="3">
        <v>290.55</v>
      </c>
      <c r="AY490" s="1"/>
      <c r="AZ490" s="1"/>
      <c r="BA490" s="1"/>
      <c r="BB490" s="1"/>
      <c r="BE490" s="67">
        <f t="shared" si="1"/>
        <v>0</v>
      </c>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t="s">
        <v>6335</v>
      </c>
      <c r="Z491" s="3">
        <v>290.55</v>
      </c>
      <c r="AA491" s="1"/>
      <c r="AB491" s="1"/>
      <c r="AC491" s="1"/>
      <c r="AD491" s="1"/>
      <c r="AE491" s="1"/>
      <c r="AF491" s="1"/>
      <c r="AG491" s="1"/>
      <c r="AH491" s="1"/>
      <c r="AI491" s="1"/>
      <c r="AJ491" s="1"/>
      <c r="AK491" s="1"/>
      <c r="AL491" s="1"/>
      <c r="AM491" s="1" t="s">
        <v>6336</v>
      </c>
      <c r="AN491" s="3">
        <v>290.55</v>
      </c>
      <c r="AO491" s="1"/>
      <c r="AP491" s="1"/>
      <c r="AQ491" s="1"/>
      <c r="AR491" s="1"/>
      <c r="AS491" s="1"/>
      <c r="AT491" s="1"/>
      <c r="AU491" s="1"/>
      <c r="AV491" s="1"/>
      <c r="AW491" s="1" t="s">
        <v>6337</v>
      </c>
      <c r="AX491" s="3">
        <v>290.55</v>
      </c>
      <c r="AY491" s="1"/>
      <c r="AZ491" s="1"/>
      <c r="BA491" s="1"/>
      <c r="BB491" s="1"/>
      <c r="BE491" s="67">
        <f t="shared" si="1"/>
        <v>0</v>
      </c>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t="s">
        <v>6338</v>
      </c>
      <c r="Z492" s="3">
        <v>290.55</v>
      </c>
      <c r="AA492" s="1"/>
      <c r="AB492" s="1"/>
      <c r="AC492" s="1"/>
      <c r="AD492" s="1"/>
      <c r="AE492" s="1"/>
      <c r="AF492" s="1"/>
      <c r="AG492" s="1"/>
      <c r="AH492" s="1"/>
      <c r="AI492" s="1"/>
      <c r="AJ492" s="1"/>
      <c r="AK492" s="1"/>
      <c r="AL492" s="1"/>
      <c r="AM492" s="1" t="s">
        <v>6339</v>
      </c>
      <c r="AN492" s="3">
        <v>290.55</v>
      </c>
      <c r="AO492" s="1"/>
      <c r="AP492" s="1"/>
      <c r="AQ492" s="1"/>
      <c r="AR492" s="1"/>
      <c r="AS492" s="1"/>
      <c r="AT492" s="1"/>
      <c r="AU492" s="1"/>
      <c r="AV492" s="1"/>
      <c r="AW492" s="1" t="s">
        <v>6340</v>
      </c>
      <c r="AX492" s="3">
        <v>290.55</v>
      </c>
      <c r="AY492" s="1"/>
      <c r="AZ492" s="1"/>
      <c r="BA492" s="1"/>
      <c r="BB492" s="1"/>
      <c r="BE492" s="67">
        <f t="shared" si="1"/>
        <v>0</v>
      </c>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t="s">
        <v>6341</v>
      </c>
      <c r="Z493" s="3">
        <v>290.55</v>
      </c>
      <c r="AA493" s="1"/>
      <c r="AB493" s="1"/>
      <c r="AC493" s="1"/>
      <c r="AD493" s="1"/>
      <c r="AE493" s="1"/>
      <c r="AF493" s="1"/>
      <c r="AG493" s="1"/>
      <c r="AH493" s="1"/>
      <c r="AI493" s="1"/>
      <c r="AJ493" s="1"/>
      <c r="AK493" s="1"/>
      <c r="AL493" s="1"/>
      <c r="AM493" s="1" t="s">
        <v>6342</v>
      </c>
      <c r="AN493" s="3">
        <v>290.55</v>
      </c>
      <c r="AO493" s="1"/>
      <c r="AP493" s="1"/>
      <c r="AQ493" s="1"/>
      <c r="AR493" s="1"/>
      <c r="AS493" s="1"/>
      <c r="AT493" s="1"/>
      <c r="AU493" s="1"/>
      <c r="AV493" s="1"/>
      <c r="AW493" s="1" t="s">
        <v>6343</v>
      </c>
      <c r="AX493" s="3">
        <v>290.55</v>
      </c>
      <c r="AY493" s="1"/>
      <c r="AZ493" s="1"/>
      <c r="BA493" s="1"/>
      <c r="BB493" s="1"/>
      <c r="BE493" s="67">
        <f t="shared" si="1"/>
        <v>0</v>
      </c>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t="s">
        <v>6344</v>
      </c>
      <c r="Z494" s="3">
        <v>290.55</v>
      </c>
      <c r="AA494" s="1"/>
      <c r="AB494" s="1"/>
      <c r="AC494" s="1"/>
      <c r="AD494" s="1"/>
      <c r="AE494" s="1"/>
      <c r="AF494" s="1"/>
      <c r="AG494" s="1"/>
      <c r="AH494" s="1"/>
      <c r="AI494" s="1"/>
      <c r="AJ494" s="1"/>
      <c r="AK494" s="1"/>
      <c r="AL494" s="1"/>
      <c r="AM494" s="1" t="s">
        <v>6345</v>
      </c>
      <c r="AN494" s="3">
        <v>290.55</v>
      </c>
      <c r="AO494" s="1"/>
      <c r="AP494" s="1"/>
      <c r="AQ494" s="1"/>
      <c r="AR494" s="1"/>
      <c r="AS494" s="1"/>
      <c r="AT494" s="1"/>
      <c r="AU494" s="1"/>
      <c r="AV494" s="1"/>
      <c r="AW494" s="1" t="s">
        <v>6346</v>
      </c>
      <c r="AX494" s="3">
        <v>290.55</v>
      </c>
      <c r="AY494" s="1"/>
      <c r="AZ494" s="1"/>
      <c r="BA494" s="1"/>
      <c r="BB494" s="1"/>
      <c r="BE494" s="67">
        <f t="shared" si="1"/>
        <v>0</v>
      </c>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t="s">
        <v>6347</v>
      </c>
      <c r="Z495" s="3">
        <v>290.55</v>
      </c>
      <c r="AA495" s="1"/>
      <c r="AB495" s="1"/>
      <c r="AC495" s="1"/>
      <c r="AD495" s="1"/>
      <c r="AE495" s="1"/>
      <c r="AF495" s="1"/>
      <c r="AG495" s="1"/>
      <c r="AH495" s="1"/>
      <c r="AI495" s="1"/>
      <c r="AJ495" s="1"/>
      <c r="AK495" s="1"/>
      <c r="AL495" s="1"/>
      <c r="AM495" s="1" t="s">
        <v>6348</v>
      </c>
      <c r="AN495" s="3">
        <v>290.55</v>
      </c>
      <c r="AO495" s="1"/>
      <c r="AP495" s="1"/>
      <c r="AQ495" s="1"/>
      <c r="AR495" s="1"/>
      <c r="AS495" s="1"/>
      <c r="AT495" s="1"/>
      <c r="AU495" s="1"/>
      <c r="AV495" s="1"/>
      <c r="AW495" s="1" t="s">
        <v>3211</v>
      </c>
      <c r="AX495" s="3">
        <v>290.55</v>
      </c>
      <c r="AY495" s="1"/>
      <c r="AZ495" s="1"/>
      <c r="BA495" s="1"/>
      <c r="BB495" s="1"/>
      <c r="BE495" s="67">
        <f t="shared" si="1"/>
        <v>0</v>
      </c>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t="s">
        <v>6349</v>
      </c>
      <c r="Z496" s="3">
        <v>290.55</v>
      </c>
      <c r="AA496" s="1"/>
      <c r="AB496" s="1"/>
      <c r="AC496" s="1"/>
      <c r="AD496" s="1"/>
      <c r="AE496" s="1"/>
      <c r="AF496" s="1"/>
      <c r="AG496" s="1"/>
      <c r="AH496" s="1"/>
      <c r="AI496" s="1"/>
      <c r="AJ496" s="1"/>
      <c r="AK496" s="1"/>
      <c r="AL496" s="1"/>
      <c r="AM496" s="1" t="s">
        <v>6350</v>
      </c>
      <c r="AN496" s="3">
        <v>290.55</v>
      </c>
      <c r="AO496" s="1"/>
      <c r="AP496" s="1"/>
      <c r="AQ496" s="1"/>
      <c r="AR496" s="1"/>
      <c r="AS496" s="1"/>
      <c r="AT496" s="1"/>
      <c r="AU496" s="1"/>
      <c r="AV496" s="1"/>
      <c r="AW496" s="1" t="s">
        <v>6351</v>
      </c>
      <c r="AX496" s="3">
        <v>290.55</v>
      </c>
      <c r="AY496" s="1"/>
      <c r="AZ496" s="1"/>
      <c r="BA496" s="1"/>
      <c r="BB496" s="1"/>
      <c r="BE496" s="67">
        <f t="shared" si="1"/>
        <v>0</v>
      </c>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t="s">
        <v>6352</v>
      </c>
      <c r="Z497" s="3">
        <v>290.55</v>
      </c>
      <c r="AA497" s="1"/>
      <c r="AB497" s="1"/>
      <c r="AC497" s="1"/>
      <c r="AD497" s="1"/>
      <c r="AE497" s="1"/>
      <c r="AF497" s="1"/>
      <c r="AG497" s="1"/>
      <c r="AH497" s="1"/>
      <c r="AI497" s="1"/>
      <c r="AJ497" s="1"/>
      <c r="AK497" s="1"/>
      <c r="AL497" s="1"/>
      <c r="AM497" s="1" t="s">
        <v>6353</v>
      </c>
      <c r="AN497" s="3">
        <v>290.55</v>
      </c>
      <c r="AO497" s="1"/>
      <c r="AP497" s="1"/>
      <c r="AQ497" s="1"/>
      <c r="AR497" s="1"/>
      <c r="AS497" s="1"/>
      <c r="AT497" s="1"/>
      <c r="AU497" s="1"/>
      <c r="AV497" s="1"/>
      <c r="AW497" s="1" t="s">
        <v>6354</v>
      </c>
      <c r="AX497" s="3">
        <v>290.55</v>
      </c>
      <c r="AY497" s="1"/>
      <c r="AZ497" s="1"/>
      <c r="BA497" s="1"/>
      <c r="BB497" s="1"/>
      <c r="BE497" s="67">
        <f t="shared" si="1"/>
        <v>0</v>
      </c>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t="s">
        <v>6355</v>
      </c>
      <c r="Z498" s="3">
        <v>290.55</v>
      </c>
      <c r="AA498" s="1"/>
      <c r="AB498" s="1"/>
      <c r="AC498" s="1"/>
      <c r="AD498" s="1"/>
      <c r="AE498" s="1"/>
      <c r="AF498" s="1"/>
      <c r="AG498" s="1"/>
      <c r="AH498" s="1"/>
      <c r="AI498" s="1"/>
      <c r="AJ498" s="1"/>
      <c r="AK498" s="1"/>
      <c r="AL498" s="1"/>
      <c r="AM498" s="1" t="s">
        <v>6356</v>
      </c>
      <c r="AN498" s="3">
        <v>290.55</v>
      </c>
      <c r="AO498" s="1"/>
      <c r="AP498" s="1"/>
      <c r="AQ498" s="1"/>
      <c r="AR498" s="1"/>
      <c r="AS498" s="1"/>
      <c r="AT498" s="1"/>
      <c r="AU498" s="1"/>
      <c r="AV498" s="1"/>
      <c r="AW498" s="1" t="s">
        <v>6357</v>
      </c>
      <c r="AX498" s="3">
        <v>290.55</v>
      </c>
      <c r="AY498" s="1"/>
      <c r="AZ498" s="1"/>
      <c r="BA498" s="1"/>
      <c r="BB498" s="1"/>
      <c r="BE498" s="67">
        <f t="shared" si="1"/>
        <v>0</v>
      </c>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t="s">
        <v>6358</v>
      </c>
      <c r="Z499" s="3">
        <v>290.55</v>
      </c>
      <c r="AA499" s="1"/>
      <c r="AB499" s="1"/>
      <c r="AC499" s="1"/>
      <c r="AD499" s="1"/>
      <c r="AE499" s="1"/>
      <c r="AF499" s="1"/>
      <c r="AG499" s="1"/>
      <c r="AH499" s="1"/>
      <c r="AI499" s="1"/>
      <c r="AJ499" s="1"/>
      <c r="AK499" s="1"/>
      <c r="AL499" s="1"/>
      <c r="AM499" s="1"/>
      <c r="AN499" s="1"/>
      <c r="AO499" s="1"/>
      <c r="AP499" s="1"/>
      <c r="AQ499" s="1"/>
      <c r="AR499" s="1"/>
      <c r="AS499" s="1"/>
      <c r="AT499" s="1"/>
      <c r="AU499" s="1"/>
      <c r="AV499" s="1"/>
      <c r="AW499" s="1" t="s">
        <v>6359</v>
      </c>
      <c r="AX499" s="3">
        <v>290.55</v>
      </c>
      <c r="AY499" s="1"/>
      <c r="AZ499" s="1"/>
      <c r="BA499" s="1"/>
      <c r="BB499" s="1"/>
      <c r="BE499" s="67">
        <f t="shared" si="1"/>
        <v>0</v>
      </c>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t="s">
        <v>6360</v>
      </c>
      <c r="Z500" s="3">
        <v>290.55</v>
      </c>
      <c r="AA500" s="1"/>
      <c r="AB500" s="1"/>
      <c r="AC500" s="1"/>
      <c r="AD500" s="1"/>
      <c r="AE500" s="1"/>
      <c r="AF500" s="1"/>
      <c r="AG500" s="1"/>
      <c r="AH500" s="1"/>
      <c r="AI500" s="1"/>
      <c r="AJ500" s="1"/>
      <c r="AK500" s="1"/>
      <c r="AL500" s="1"/>
      <c r="AM500" s="1"/>
      <c r="AN500" s="1"/>
      <c r="AO500" s="1"/>
      <c r="AP500" s="1"/>
      <c r="AQ500" s="1"/>
      <c r="AR500" s="1"/>
      <c r="AS500" s="1"/>
      <c r="AT500" s="1"/>
      <c r="AU500" s="1"/>
      <c r="AV500" s="1"/>
      <c r="AW500" s="1" t="s">
        <v>6361</v>
      </c>
      <c r="AX500" s="3">
        <v>290.55</v>
      </c>
      <c r="AY500" s="1"/>
      <c r="AZ500" s="1"/>
      <c r="BA500" s="1"/>
      <c r="BB500" s="1"/>
      <c r="BE500" s="67">
        <f t="shared" si="1"/>
        <v>0</v>
      </c>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t="s">
        <v>6362</v>
      </c>
      <c r="Z501" s="3">
        <v>290.55</v>
      </c>
      <c r="AA501" s="1"/>
      <c r="AB501" s="1"/>
      <c r="AC501" s="1"/>
      <c r="AD501" s="1"/>
      <c r="AE501" s="1"/>
      <c r="AF501" s="1"/>
      <c r="AG501" s="1"/>
      <c r="AH501" s="1"/>
      <c r="AI501" s="1"/>
      <c r="AJ501" s="1"/>
      <c r="AK501" s="1"/>
      <c r="AL501" s="1"/>
      <c r="AM501" s="1"/>
      <c r="AN501" s="1"/>
      <c r="AO501" s="1"/>
      <c r="AP501" s="1"/>
      <c r="AQ501" s="1"/>
      <c r="AR501" s="1"/>
      <c r="AS501" s="1"/>
      <c r="AT501" s="1"/>
      <c r="AU501" s="1"/>
      <c r="AV501" s="1"/>
      <c r="AW501" s="1" t="s">
        <v>6363</v>
      </c>
      <c r="AX501" s="3">
        <v>290.55</v>
      </c>
      <c r="AY501" s="1"/>
      <c r="AZ501" s="1"/>
      <c r="BA501" s="1"/>
      <c r="BB501" s="1"/>
      <c r="BE501" s="67">
        <f t="shared" si="1"/>
        <v>0</v>
      </c>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t="s">
        <v>6364</v>
      </c>
      <c r="Z502" s="3">
        <v>290.55</v>
      </c>
      <c r="AA502" s="1"/>
      <c r="AB502" s="1"/>
      <c r="AC502" s="1"/>
      <c r="AD502" s="1"/>
      <c r="AE502" s="1"/>
      <c r="AF502" s="1"/>
      <c r="AG502" s="1"/>
      <c r="AH502" s="1"/>
      <c r="AI502" s="1"/>
      <c r="AJ502" s="1"/>
      <c r="AK502" s="1"/>
      <c r="AL502" s="1"/>
      <c r="AM502" s="1"/>
      <c r="AN502" s="1"/>
      <c r="AO502" s="1"/>
      <c r="AP502" s="1"/>
      <c r="AQ502" s="1"/>
      <c r="AR502" s="1"/>
      <c r="AS502" s="1"/>
      <c r="AT502" s="1"/>
      <c r="AU502" s="1"/>
      <c r="AV502" s="1"/>
      <c r="AW502" s="1" t="s">
        <v>6365</v>
      </c>
      <c r="AX502" s="3">
        <v>290.55</v>
      </c>
      <c r="AY502" s="1"/>
      <c r="AZ502" s="1"/>
      <c r="BA502" s="1"/>
      <c r="BB502" s="1"/>
      <c r="BE502" s="67">
        <f t="shared" si="1"/>
        <v>0</v>
      </c>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t="s">
        <v>6366</v>
      </c>
      <c r="Z503" s="3">
        <v>290.55</v>
      </c>
      <c r="AA503" s="1"/>
      <c r="AB503" s="1"/>
      <c r="AC503" s="1"/>
      <c r="AD503" s="1"/>
      <c r="AE503" s="1"/>
      <c r="AF503" s="1"/>
      <c r="AG503" s="1"/>
      <c r="AH503" s="1"/>
      <c r="AI503" s="1"/>
      <c r="AJ503" s="1"/>
      <c r="AK503" s="1"/>
      <c r="AL503" s="1"/>
      <c r="AM503" s="1"/>
      <c r="AN503" s="1"/>
      <c r="AO503" s="1"/>
      <c r="AP503" s="1"/>
      <c r="AQ503" s="1"/>
      <c r="AR503" s="1"/>
      <c r="AS503" s="1"/>
      <c r="AT503" s="1"/>
      <c r="AU503" s="1"/>
      <c r="AV503" s="1"/>
      <c r="AW503" s="1" t="s">
        <v>6367</v>
      </c>
      <c r="AX503" s="3">
        <v>290.55</v>
      </c>
      <c r="AY503" s="1"/>
      <c r="AZ503" s="1"/>
      <c r="BA503" s="1"/>
      <c r="BB503" s="1"/>
      <c r="BE503" s="67">
        <f t="shared" si="1"/>
        <v>0</v>
      </c>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t="s">
        <v>6368</v>
      </c>
      <c r="Z504" s="3">
        <v>290.55</v>
      </c>
      <c r="AA504" s="1"/>
      <c r="AB504" s="1"/>
      <c r="AC504" s="1"/>
      <c r="AD504" s="1"/>
      <c r="AE504" s="1"/>
      <c r="AF504" s="1"/>
      <c r="AG504" s="1"/>
      <c r="AH504" s="1"/>
      <c r="AI504" s="1"/>
      <c r="AJ504" s="1"/>
      <c r="AK504" s="1"/>
      <c r="AL504" s="1"/>
      <c r="AM504" s="1"/>
      <c r="AN504" s="1"/>
      <c r="AO504" s="1"/>
      <c r="AP504" s="1"/>
      <c r="AQ504" s="1"/>
      <c r="AR504" s="1"/>
      <c r="AS504" s="1"/>
      <c r="AT504" s="1"/>
      <c r="AU504" s="1"/>
      <c r="AV504" s="1"/>
      <c r="AW504" s="1" t="s">
        <v>6369</v>
      </c>
      <c r="AX504" s="3">
        <v>290.55</v>
      </c>
      <c r="AY504" s="1"/>
      <c r="AZ504" s="1"/>
      <c r="BA504" s="1"/>
      <c r="BB504" s="1"/>
      <c r="BE504" s="67">
        <f t="shared" si="1"/>
        <v>0</v>
      </c>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t="s">
        <v>6370</v>
      </c>
      <c r="Z505" s="3">
        <v>290.55</v>
      </c>
      <c r="AA505" s="1"/>
      <c r="AB505" s="1"/>
      <c r="AC505" s="1"/>
      <c r="AD505" s="1"/>
      <c r="AE505" s="1"/>
      <c r="AF505" s="1"/>
      <c r="AG505" s="1"/>
      <c r="AH505" s="1"/>
      <c r="AI505" s="1"/>
      <c r="AJ505" s="1"/>
      <c r="AK505" s="1"/>
      <c r="AL505" s="1"/>
      <c r="AM505" s="1"/>
      <c r="AN505" s="1"/>
      <c r="AO505" s="1"/>
      <c r="AP505" s="1"/>
      <c r="AQ505" s="1"/>
      <c r="AR505" s="1"/>
      <c r="AS505" s="1"/>
      <c r="AT505" s="1"/>
      <c r="AU505" s="1"/>
      <c r="AV505" s="1"/>
      <c r="AW505" s="1" t="s">
        <v>6371</v>
      </c>
      <c r="AX505" s="3">
        <v>290.55</v>
      </c>
      <c r="AY505" s="1"/>
      <c r="AZ505" s="1"/>
      <c r="BA505" s="1"/>
      <c r="BB505" s="1"/>
      <c r="BE505" s="67">
        <f t="shared" si="1"/>
        <v>0</v>
      </c>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t="s">
        <v>6372</v>
      </c>
      <c r="Z506" s="3">
        <v>290.55</v>
      </c>
      <c r="AA506" s="1"/>
      <c r="AB506" s="1"/>
      <c r="AC506" s="1"/>
      <c r="AD506" s="1"/>
      <c r="AE506" s="1"/>
      <c r="AF506" s="1"/>
      <c r="AG506" s="1"/>
      <c r="AH506" s="1"/>
      <c r="AI506" s="1"/>
      <c r="AJ506" s="1"/>
      <c r="AK506" s="1"/>
      <c r="AL506" s="1"/>
      <c r="AM506" s="1"/>
      <c r="AN506" s="1"/>
      <c r="AO506" s="1"/>
      <c r="AP506" s="1"/>
      <c r="AQ506" s="1"/>
      <c r="AR506" s="1"/>
      <c r="AS506" s="1"/>
      <c r="AT506" s="1"/>
      <c r="AU506" s="1"/>
      <c r="AV506" s="1"/>
      <c r="AW506" s="1" t="s">
        <v>6373</v>
      </c>
      <c r="AX506" s="3">
        <v>290.55</v>
      </c>
      <c r="AY506" s="1"/>
      <c r="AZ506" s="1"/>
      <c r="BA506" s="1"/>
      <c r="BB506" s="1"/>
      <c r="BE506" s="67">
        <f t="shared" si="1"/>
        <v>0</v>
      </c>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t="s">
        <v>6374</v>
      </c>
      <c r="Z507" s="3">
        <v>290.55</v>
      </c>
      <c r="AA507" s="1"/>
      <c r="AB507" s="1"/>
      <c r="AC507" s="1"/>
      <c r="AD507" s="1"/>
      <c r="AE507" s="1"/>
      <c r="AF507" s="1"/>
      <c r="AG507" s="1"/>
      <c r="AH507" s="1"/>
      <c r="AI507" s="1"/>
      <c r="AJ507" s="1"/>
      <c r="AK507" s="1"/>
      <c r="AL507" s="1"/>
      <c r="AM507" s="1"/>
      <c r="AN507" s="1"/>
      <c r="AO507" s="1"/>
      <c r="AP507" s="1"/>
      <c r="AQ507" s="1"/>
      <c r="AR507" s="1"/>
      <c r="AS507" s="1"/>
      <c r="AT507" s="1"/>
      <c r="AU507" s="1"/>
      <c r="AV507" s="1"/>
      <c r="AW507" s="1" t="s">
        <v>6375</v>
      </c>
      <c r="AX507" s="3">
        <v>290.55</v>
      </c>
      <c r="AY507" s="1"/>
      <c r="AZ507" s="1"/>
      <c r="BA507" s="1"/>
      <c r="BB507" s="1"/>
      <c r="BE507" s="67">
        <f t="shared" si="1"/>
        <v>0</v>
      </c>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t="s">
        <v>6376</v>
      </c>
      <c r="Z508" s="3">
        <v>290.55</v>
      </c>
      <c r="AA508" s="1"/>
      <c r="AB508" s="1"/>
      <c r="AC508" s="1"/>
      <c r="AD508" s="1"/>
      <c r="AE508" s="1"/>
      <c r="AF508" s="1"/>
      <c r="AG508" s="1"/>
      <c r="AH508" s="1"/>
      <c r="AI508" s="1"/>
      <c r="AJ508" s="1"/>
      <c r="AK508" s="1"/>
      <c r="AL508" s="1"/>
      <c r="AM508" s="1"/>
      <c r="AN508" s="1"/>
      <c r="AO508" s="1"/>
      <c r="AP508" s="1"/>
      <c r="AQ508" s="1"/>
      <c r="AR508" s="1"/>
      <c r="AS508" s="1"/>
      <c r="AT508" s="1"/>
      <c r="AU508" s="1"/>
      <c r="AV508" s="1"/>
      <c r="AW508" s="1" t="s">
        <v>6377</v>
      </c>
      <c r="AX508" s="3">
        <v>290.55</v>
      </c>
      <c r="AY508" s="1"/>
      <c r="AZ508" s="1"/>
      <c r="BA508" s="1"/>
      <c r="BB508" s="1"/>
      <c r="BE508" s="67">
        <f t="shared" si="1"/>
        <v>0</v>
      </c>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t="s">
        <v>6378</v>
      </c>
      <c r="Z509" s="3">
        <v>290.55</v>
      </c>
      <c r="AA509" s="1"/>
      <c r="AB509" s="1"/>
      <c r="AC509" s="1"/>
      <c r="AD509" s="1"/>
      <c r="AE509" s="1"/>
      <c r="AF509" s="1"/>
      <c r="AG509" s="1"/>
      <c r="AH509" s="1"/>
      <c r="AI509" s="1"/>
      <c r="AJ509" s="1"/>
      <c r="AK509" s="1"/>
      <c r="AL509" s="1"/>
      <c r="AM509" s="1"/>
      <c r="AN509" s="1"/>
      <c r="AO509" s="1"/>
      <c r="AP509" s="1"/>
      <c r="AQ509" s="1"/>
      <c r="AR509" s="1"/>
      <c r="AS509" s="1"/>
      <c r="AT509" s="1"/>
      <c r="AU509" s="1"/>
      <c r="AV509" s="1"/>
      <c r="AW509" s="1" t="s">
        <v>6379</v>
      </c>
      <c r="AX509" s="3">
        <v>290.55</v>
      </c>
      <c r="AY509" s="1"/>
      <c r="AZ509" s="1"/>
      <c r="BA509" s="1"/>
      <c r="BB509" s="1"/>
      <c r="BE509" s="67">
        <f t="shared" si="1"/>
        <v>0</v>
      </c>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t="s">
        <v>6380</v>
      </c>
      <c r="Z510" s="3">
        <v>290.55</v>
      </c>
      <c r="AA510" s="1"/>
      <c r="AB510" s="1"/>
      <c r="AC510" s="1"/>
      <c r="AD510" s="1"/>
      <c r="AE510" s="1"/>
      <c r="AF510" s="1"/>
      <c r="AG510" s="1"/>
      <c r="AH510" s="1"/>
      <c r="AI510" s="1"/>
      <c r="AJ510" s="1"/>
      <c r="AK510" s="1"/>
      <c r="AL510" s="1"/>
      <c r="AM510" s="1"/>
      <c r="AN510" s="1"/>
      <c r="AO510" s="1"/>
      <c r="AP510" s="1"/>
      <c r="AQ510" s="1"/>
      <c r="AR510" s="1"/>
      <c r="AS510" s="1"/>
      <c r="AT510" s="1"/>
      <c r="AU510" s="1"/>
      <c r="AV510" s="1"/>
      <c r="AW510" s="1" t="s">
        <v>5341</v>
      </c>
      <c r="AX510" s="3">
        <v>290.55</v>
      </c>
      <c r="AY510" s="1"/>
      <c r="AZ510" s="1"/>
      <c r="BA510" s="1"/>
      <c r="BB510" s="1"/>
      <c r="BE510" s="67">
        <f t="shared" si="1"/>
        <v>0</v>
      </c>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t="s">
        <v>6381</v>
      </c>
      <c r="Z511" s="3">
        <v>290.55</v>
      </c>
      <c r="AA511" s="1"/>
      <c r="AB511" s="1"/>
      <c r="AC511" s="1"/>
      <c r="AD511" s="1"/>
      <c r="AE511" s="1"/>
      <c r="AF511" s="1"/>
      <c r="AG511" s="1"/>
      <c r="AH511" s="1"/>
      <c r="AI511" s="1"/>
      <c r="AJ511" s="1"/>
      <c r="AK511" s="1"/>
      <c r="AL511" s="1"/>
      <c r="AM511" s="1"/>
      <c r="AN511" s="1"/>
      <c r="AO511" s="1"/>
      <c r="AP511" s="1"/>
      <c r="AQ511" s="1"/>
      <c r="AR511" s="1"/>
      <c r="AS511" s="1"/>
      <c r="AT511" s="1"/>
      <c r="AU511" s="1"/>
      <c r="AV511" s="1"/>
      <c r="AW511" s="1" t="s">
        <v>6382</v>
      </c>
      <c r="AX511" s="3">
        <v>290.55</v>
      </c>
      <c r="AY511" s="1"/>
      <c r="AZ511" s="1"/>
      <c r="BA511" s="1"/>
      <c r="BB511" s="1"/>
      <c r="BE511" s="67">
        <f t="shared" si="1"/>
        <v>0</v>
      </c>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t="s">
        <v>6383</v>
      </c>
      <c r="Z512" s="3">
        <v>290.55</v>
      </c>
      <c r="AA512" s="1"/>
      <c r="AB512" s="1"/>
      <c r="AC512" s="1"/>
      <c r="AD512" s="1"/>
      <c r="AE512" s="1"/>
      <c r="AF512" s="1"/>
      <c r="AG512" s="1"/>
      <c r="AH512" s="1"/>
      <c r="AI512" s="1"/>
      <c r="AJ512" s="1"/>
      <c r="AK512" s="1"/>
      <c r="AL512" s="1"/>
      <c r="AM512" s="1"/>
      <c r="AN512" s="1"/>
      <c r="AO512" s="1"/>
      <c r="AP512" s="1"/>
      <c r="AQ512" s="1"/>
      <c r="AR512" s="1"/>
      <c r="AS512" s="1"/>
      <c r="AT512" s="1"/>
      <c r="AU512" s="1"/>
      <c r="AV512" s="1"/>
      <c r="AW512" s="1" t="s">
        <v>6384</v>
      </c>
      <c r="AX512" s="3">
        <v>290.55</v>
      </c>
      <c r="AY512" s="1"/>
      <c r="AZ512" s="1"/>
      <c r="BA512" s="1"/>
      <c r="BB512" s="1"/>
      <c r="BE512" s="67">
        <f t="shared" si="1"/>
        <v>0</v>
      </c>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t="s">
        <v>6385</v>
      </c>
      <c r="Z513" s="3">
        <v>290.55</v>
      </c>
      <c r="AA513" s="1"/>
      <c r="AB513" s="1"/>
      <c r="AC513" s="1"/>
      <c r="AD513" s="1"/>
      <c r="AE513" s="1"/>
      <c r="AF513" s="1"/>
      <c r="AG513" s="1"/>
      <c r="AH513" s="1"/>
      <c r="AI513" s="1"/>
      <c r="AJ513" s="1"/>
      <c r="AK513" s="1"/>
      <c r="AL513" s="1"/>
      <c r="AM513" s="1"/>
      <c r="AN513" s="1"/>
      <c r="AO513" s="1"/>
      <c r="AP513" s="1"/>
      <c r="AQ513" s="1"/>
      <c r="AR513" s="1"/>
      <c r="AS513" s="1"/>
      <c r="AT513" s="1"/>
      <c r="AU513" s="1"/>
      <c r="AV513" s="1"/>
      <c r="AW513" s="1" t="s">
        <v>6386</v>
      </c>
      <c r="AX513" s="3">
        <v>290.55</v>
      </c>
      <c r="AY513" s="1"/>
      <c r="AZ513" s="1"/>
      <c r="BA513" s="1"/>
      <c r="BB513" s="1"/>
      <c r="BE513" s="67">
        <f t="shared" si="1"/>
        <v>0</v>
      </c>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t="s">
        <v>6387</v>
      </c>
      <c r="Z514" s="3">
        <v>290.55</v>
      </c>
      <c r="AA514" s="1"/>
      <c r="AB514" s="1"/>
      <c r="AC514" s="1"/>
      <c r="AD514" s="1"/>
      <c r="AE514" s="1"/>
      <c r="AF514" s="1"/>
      <c r="AG514" s="1"/>
      <c r="AH514" s="1"/>
      <c r="AI514" s="1"/>
      <c r="AJ514" s="1"/>
      <c r="AK514" s="1"/>
      <c r="AL514" s="1"/>
      <c r="AM514" s="1"/>
      <c r="AN514" s="1"/>
      <c r="AO514" s="1"/>
      <c r="AP514" s="1"/>
      <c r="AQ514" s="1"/>
      <c r="AR514" s="1"/>
      <c r="AS514" s="1"/>
      <c r="AT514" s="1"/>
      <c r="AU514" s="1"/>
      <c r="AV514" s="1"/>
      <c r="AW514" s="1" t="s">
        <v>6388</v>
      </c>
      <c r="AX514" s="3">
        <v>290.55</v>
      </c>
      <c r="AY514" s="1"/>
      <c r="AZ514" s="1"/>
      <c r="BA514" s="1"/>
      <c r="BB514" s="1"/>
      <c r="BE514" s="67">
        <f t="shared" si="1"/>
        <v>0</v>
      </c>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t="s">
        <v>6389</v>
      </c>
      <c r="Z515" s="3">
        <v>290.55</v>
      </c>
      <c r="AA515" s="1"/>
      <c r="AB515" s="1"/>
      <c r="AC515" s="1"/>
      <c r="AD515" s="1"/>
      <c r="AE515" s="1"/>
      <c r="AF515" s="1"/>
      <c r="AG515" s="1"/>
      <c r="AH515" s="1"/>
      <c r="AI515" s="1"/>
      <c r="AJ515" s="1"/>
      <c r="AK515" s="1"/>
      <c r="AL515" s="1"/>
      <c r="AM515" s="1"/>
      <c r="AN515" s="1"/>
      <c r="AO515" s="1"/>
      <c r="AP515" s="1"/>
      <c r="AQ515" s="1"/>
      <c r="AR515" s="1"/>
      <c r="AS515" s="1"/>
      <c r="AT515" s="1"/>
      <c r="AU515" s="1"/>
      <c r="AV515" s="1"/>
      <c r="AW515" s="1" t="s">
        <v>6390</v>
      </c>
      <c r="AX515" s="3">
        <v>290.55</v>
      </c>
      <c r="AY515" s="1"/>
      <c r="AZ515" s="1"/>
      <c r="BA515" s="1"/>
      <c r="BB515" s="1"/>
      <c r="BE515" s="67">
        <f t="shared" si="1"/>
        <v>0</v>
      </c>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t="s">
        <v>6391</v>
      </c>
      <c r="Z516" s="3">
        <v>290.55</v>
      </c>
      <c r="AA516" s="1"/>
      <c r="AB516" s="1"/>
      <c r="AC516" s="1"/>
      <c r="AD516" s="1"/>
      <c r="AE516" s="1"/>
      <c r="AF516" s="1"/>
      <c r="AG516" s="1"/>
      <c r="AH516" s="1"/>
      <c r="AI516" s="1"/>
      <c r="AJ516" s="1"/>
      <c r="AK516" s="1"/>
      <c r="AL516" s="1"/>
      <c r="AM516" s="1"/>
      <c r="AN516" s="1"/>
      <c r="AO516" s="1"/>
      <c r="AP516" s="1"/>
      <c r="AQ516" s="1"/>
      <c r="AR516" s="1"/>
      <c r="AS516" s="1"/>
      <c r="AT516" s="1"/>
      <c r="AU516" s="1"/>
      <c r="AV516" s="1"/>
      <c r="AW516" s="1" t="s">
        <v>6392</v>
      </c>
      <c r="AX516" s="3">
        <v>290.55</v>
      </c>
      <c r="AY516" s="1"/>
      <c r="AZ516" s="1"/>
      <c r="BA516" s="1"/>
      <c r="BB516" s="1"/>
      <c r="BE516" s="67">
        <f t="shared" si="1"/>
        <v>0</v>
      </c>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t="s">
        <v>6393</v>
      </c>
      <c r="Z517" s="3">
        <v>290.55</v>
      </c>
      <c r="AA517" s="1"/>
      <c r="AB517" s="1"/>
      <c r="AC517" s="1"/>
      <c r="AD517" s="1"/>
      <c r="AE517" s="1"/>
      <c r="AF517" s="1"/>
      <c r="AG517" s="1"/>
      <c r="AH517" s="1"/>
      <c r="AI517" s="1"/>
      <c r="AJ517" s="1"/>
      <c r="AK517" s="1"/>
      <c r="AL517" s="1"/>
      <c r="AM517" s="1"/>
      <c r="AN517" s="1"/>
      <c r="AO517" s="1"/>
      <c r="AP517" s="1"/>
      <c r="AQ517" s="1"/>
      <c r="AR517" s="1"/>
      <c r="AS517" s="1"/>
      <c r="AT517" s="1"/>
      <c r="AU517" s="1"/>
      <c r="AV517" s="1"/>
      <c r="AW517" s="1" t="s">
        <v>6394</v>
      </c>
      <c r="AX517" s="3">
        <v>290.55</v>
      </c>
      <c r="AY517" s="1"/>
      <c r="AZ517" s="1"/>
      <c r="BA517" s="1"/>
      <c r="BB517" s="1"/>
      <c r="BE517" s="67">
        <f t="shared" si="1"/>
        <v>0</v>
      </c>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t="s">
        <v>6395</v>
      </c>
      <c r="Z518" s="3">
        <v>290.55</v>
      </c>
      <c r="AA518" s="1"/>
      <c r="AB518" s="1"/>
      <c r="AC518" s="1"/>
      <c r="AD518" s="1"/>
      <c r="AE518" s="1"/>
      <c r="AF518" s="1"/>
      <c r="AG518" s="1"/>
      <c r="AH518" s="1"/>
      <c r="AI518" s="1"/>
      <c r="AJ518" s="1"/>
      <c r="AK518" s="1"/>
      <c r="AL518" s="1"/>
      <c r="AM518" s="1"/>
      <c r="AN518" s="1"/>
      <c r="AO518" s="1"/>
      <c r="AP518" s="1"/>
      <c r="AQ518" s="1"/>
      <c r="AR518" s="1"/>
      <c r="AS518" s="1"/>
      <c r="AT518" s="1"/>
      <c r="AU518" s="1"/>
      <c r="AV518" s="1"/>
      <c r="AW518" s="1" t="s">
        <v>6396</v>
      </c>
      <c r="AX518" s="3">
        <v>290.55</v>
      </c>
      <c r="AY518" s="1"/>
      <c r="AZ518" s="1"/>
      <c r="BA518" s="1"/>
      <c r="BB518" s="1"/>
      <c r="BE518" s="67">
        <f t="shared" si="1"/>
        <v>0</v>
      </c>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t="s">
        <v>6397</v>
      </c>
      <c r="Z519" s="3">
        <v>290.55</v>
      </c>
      <c r="AA519" s="1"/>
      <c r="AB519" s="1"/>
      <c r="AC519" s="1"/>
      <c r="AD519" s="1"/>
      <c r="AE519" s="1"/>
      <c r="AF519" s="1"/>
      <c r="AG519" s="1"/>
      <c r="AH519" s="1"/>
      <c r="AI519" s="1"/>
      <c r="AJ519" s="1"/>
      <c r="AK519" s="1"/>
      <c r="AL519" s="1"/>
      <c r="AM519" s="1"/>
      <c r="AN519" s="1"/>
      <c r="AO519" s="1"/>
      <c r="AP519" s="1"/>
      <c r="AQ519" s="1"/>
      <c r="AR519" s="1"/>
      <c r="AS519" s="1"/>
      <c r="AT519" s="1"/>
      <c r="AU519" s="1"/>
      <c r="AV519" s="1"/>
      <c r="AW519" s="1" t="s">
        <v>6398</v>
      </c>
      <c r="AX519" s="3">
        <v>290.55</v>
      </c>
      <c r="AY519" s="1"/>
      <c r="AZ519" s="1"/>
      <c r="BA519" s="1"/>
      <c r="BB519" s="1"/>
      <c r="BE519" s="67">
        <f t="shared" si="1"/>
        <v>0</v>
      </c>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t="s">
        <v>6399</v>
      </c>
      <c r="Z520" s="3">
        <v>290.55</v>
      </c>
      <c r="AA520" s="1"/>
      <c r="AB520" s="1"/>
      <c r="AC520" s="1"/>
      <c r="AD520" s="1"/>
      <c r="AE520" s="1"/>
      <c r="AF520" s="1"/>
      <c r="AG520" s="1"/>
      <c r="AH520" s="1"/>
      <c r="AI520" s="1"/>
      <c r="AJ520" s="1"/>
      <c r="AK520" s="1"/>
      <c r="AL520" s="1"/>
      <c r="AM520" s="1"/>
      <c r="AN520" s="1"/>
      <c r="AO520" s="1"/>
      <c r="AP520" s="1"/>
      <c r="AQ520" s="1"/>
      <c r="AR520" s="1"/>
      <c r="AS520" s="1"/>
      <c r="AT520" s="1"/>
      <c r="AU520" s="1"/>
      <c r="AV520" s="1"/>
      <c r="AW520" s="1" t="s">
        <v>6400</v>
      </c>
      <c r="AX520" s="3">
        <v>290.55</v>
      </c>
      <c r="AY520" s="1"/>
      <c r="AZ520" s="1"/>
      <c r="BA520" s="1"/>
      <c r="BB520" s="1"/>
      <c r="BE520" s="67">
        <f t="shared" si="1"/>
        <v>0</v>
      </c>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t="s">
        <v>6401</v>
      </c>
      <c r="Z521" s="3">
        <v>290.55</v>
      </c>
      <c r="AA521" s="1"/>
      <c r="AB521" s="1"/>
      <c r="AC521" s="1"/>
      <c r="AD521" s="1"/>
      <c r="AE521" s="1"/>
      <c r="AF521" s="1"/>
      <c r="AG521" s="1"/>
      <c r="AH521" s="1"/>
      <c r="AI521" s="1"/>
      <c r="AJ521" s="1"/>
      <c r="AK521" s="1"/>
      <c r="AL521" s="1"/>
      <c r="AM521" s="1"/>
      <c r="AN521" s="1"/>
      <c r="AO521" s="1"/>
      <c r="AP521" s="1"/>
      <c r="AQ521" s="1"/>
      <c r="AR521" s="1"/>
      <c r="AS521" s="1"/>
      <c r="AT521" s="1"/>
      <c r="AU521" s="1"/>
      <c r="AV521" s="1"/>
      <c r="AW521" s="1" t="s">
        <v>6402</v>
      </c>
      <c r="AX521" s="3">
        <v>290.55</v>
      </c>
      <c r="AY521" s="1"/>
      <c r="AZ521" s="1"/>
      <c r="BA521" s="1"/>
      <c r="BB521" s="1"/>
      <c r="BE521" s="67">
        <f t="shared" si="1"/>
        <v>0</v>
      </c>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t="s">
        <v>6403</v>
      </c>
      <c r="Z522" s="3">
        <v>290.55</v>
      </c>
      <c r="AA522" s="1"/>
      <c r="AB522" s="1"/>
      <c r="AC522" s="1"/>
      <c r="AD522" s="1"/>
      <c r="AE522" s="1"/>
      <c r="AF522" s="1"/>
      <c r="AG522" s="1"/>
      <c r="AH522" s="1"/>
      <c r="AI522" s="1"/>
      <c r="AJ522" s="1"/>
      <c r="AK522" s="1"/>
      <c r="AL522" s="1"/>
      <c r="AM522" s="1"/>
      <c r="AN522" s="1"/>
      <c r="AO522" s="1"/>
      <c r="AP522" s="1"/>
      <c r="AQ522" s="1"/>
      <c r="AR522" s="1"/>
      <c r="AS522" s="1"/>
      <c r="AT522" s="1"/>
      <c r="AU522" s="1"/>
      <c r="AV522" s="1"/>
      <c r="AW522" s="1" t="s">
        <v>6404</v>
      </c>
      <c r="AX522" s="3">
        <v>290.55</v>
      </c>
      <c r="AY522" s="1"/>
      <c r="AZ522" s="1"/>
      <c r="BA522" s="1"/>
      <c r="BB522" s="1"/>
      <c r="BE522" s="67">
        <f t="shared" si="1"/>
        <v>0</v>
      </c>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t="s">
        <v>6405</v>
      </c>
      <c r="Z523" s="3">
        <v>290.55</v>
      </c>
      <c r="AA523" s="1"/>
      <c r="AB523" s="1"/>
      <c r="AC523" s="1"/>
      <c r="AD523" s="1"/>
      <c r="AE523" s="1"/>
      <c r="AF523" s="1"/>
      <c r="AG523" s="1"/>
      <c r="AH523" s="1"/>
      <c r="AI523" s="1"/>
      <c r="AJ523" s="1"/>
      <c r="AK523" s="1"/>
      <c r="AL523" s="1"/>
      <c r="AM523" s="1"/>
      <c r="AN523" s="1"/>
      <c r="AO523" s="1"/>
      <c r="AP523" s="1"/>
      <c r="AQ523" s="1"/>
      <c r="AR523" s="1"/>
      <c r="AS523" s="1"/>
      <c r="AT523" s="1"/>
      <c r="AU523" s="1"/>
      <c r="AV523" s="1"/>
      <c r="AW523" s="1" t="s">
        <v>6406</v>
      </c>
      <c r="AX523" s="3">
        <v>290.55</v>
      </c>
      <c r="AY523" s="1"/>
      <c r="AZ523" s="1"/>
      <c r="BA523" s="1"/>
      <c r="BB523" s="1"/>
      <c r="BE523" s="67">
        <f t="shared" si="1"/>
        <v>0</v>
      </c>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t="s">
        <v>6407</v>
      </c>
      <c r="Z524" s="3">
        <v>290.55</v>
      </c>
      <c r="AA524" s="1"/>
      <c r="AB524" s="1"/>
      <c r="AC524" s="1"/>
      <c r="AD524" s="1"/>
      <c r="AE524" s="1"/>
      <c r="AF524" s="1"/>
      <c r="AG524" s="1"/>
      <c r="AH524" s="1"/>
      <c r="AI524" s="1"/>
      <c r="AJ524" s="1"/>
      <c r="AK524" s="1"/>
      <c r="AL524" s="1"/>
      <c r="AM524" s="1"/>
      <c r="AN524" s="1"/>
      <c r="AO524" s="1"/>
      <c r="AP524" s="1"/>
      <c r="AQ524" s="1"/>
      <c r="AR524" s="1"/>
      <c r="AS524" s="1"/>
      <c r="AT524" s="1"/>
      <c r="AU524" s="1"/>
      <c r="AV524" s="1"/>
      <c r="AW524" s="1" t="s">
        <v>6408</v>
      </c>
      <c r="AX524" s="3">
        <v>290.55</v>
      </c>
      <c r="AY524" s="1"/>
      <c r="AZ524" s="1"/>
      <c r="BA524" s="1"/>
      <c r="BB524" s="1"/>
      <c r="BE524" s="67">
        <f t="shared" si="1"/>
        <v>0</v>
      </c>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t="s">
        <v>6409</v>
      </c>
      <c r="Z525" s="3">
        <v>290.55</v>
      </c>
      <c r="AA525" s="1"/>
      <c r="AB525" s="1"/>
      <c r="AC525" s="1"/>
      <c r="AD525" s="1"/>
      <c r="AE525" s="1"/>
      <c r="AF525" s="1"/>
      <c r="AG525" s="1"/>
      <c r="AH525" s="1"/>
      <c r="AI525" s="1"/>
      <c r="AJ525" s="1"/>
      <c r="AK525" s="1"/>
      <c r="AL525" s="1"/>
      <c r="AM525" s="1"/>
      <c r="AN525" s="1"/>
      <c r="AO525" s="1"/>
      <c r="AP525" s="1"/>
      <c r="AQ525" s="1"/>
      <c r="AR525" s="1"/>
      <c r="AS525" s="1"/>
      <c r="AT525" s="1"/>
      <c r="AU525" s="1"/>
      <c r="AV525" s="1"/>
      <c r="AW525" s="1" t="s">
        <v>6410</v>
      </c>
      <c r="AX525" s="3">
        <v>290.55</v>
      </c>
      <c r="AY525" s="1"/>
      <c r="AZ525" s="1"/>
      <c r="BA525" s="1"/>
      <c r="BB525" s="1"/>
      <c r="BE525" s="67">
        <f t="shared" si="1"/>
        <v>0</v>
      </c>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t="s">
        <v>6411</v>
      </c>
      <c r="Z526" s="3">
        <v>290.55</v>
      </c>
      <c r="AA526" s="1"/>
      <c r="AB526" s="1"/>
      <c r="AC526" s="1"/>
      <c r="AD526" s="1"/>
      <c r="AE526" s="1"/>
      <c r="AF526" s="1"/>
      <c r="AG526" s="1"/>
      <c r="AH526" s="1"/>
      <c r="AI526" s="1"/>
      <c r="AJ526" s="1"/>
      <c r="AK526" s="1"/>
      <c r="AL526" s="1"/>
      <c r="AM526" s="1"/>
      <c r="AN526" s="1"/>
      <c r="AO526" s="1"/>
      <c r="AP526" s="1"/>
      <c r="AQ526" s="1"/>
      <c r="AR526" s="1"/>
      <c r="AS526" s="1"/>
      <c r="AT526" s="1"/>
      <c r="AU526" s="1"/>
      <c r="AV526" s="1"/>
      <c r="AW526" s="1" t="s">
        <v>6412</v>
      </c>
      <c r="AX526" s="3">
        <v>290.55</v>
      </c>
      <c r="AY526" s="1"/>
      <c r="AZ526" s="1"/>
      <c r="BA526" s="1"/>
      <c r="BB526" s="1"/>
      <c r="BE526" s="67">
        <f t="shared" si="1"/>
        <v>0</v>
      </c>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t="s">
        <v>2484</v>
      </c>
      <c r="Z527" s="3">
        <v>290.55</v>
      </c>
      <c r="AA527" s="1"/>
      <c r="AB527" s="1"/>
      <c r="AC527" s="1"/>
      <c r="AD527" s="1"/>
      <c r="AE527" s="1"/>
      <c r="AF527" s="1"/>
      <c r="AG527" s="1"/>
      <c r="AH527" s="1"/>
      <c r="AI527" s="1"/>
      <c r="AJ527" s="1"/>
      <c r="AK527" s="1"/>
      <c r="AL527" s="1"/>
      <c r="AM527" s="1"/>
      <c r="AN527" s="1"/>
      <c r="AO527" s="1"/>
      <c r="AP527" s="1"/>
      <c r="AQ527" s="1"/>
      <c r="AR527" s="1"/>
      <c r="AS527" s="1"/>
      <c r="AT527" s="1"/>
      <c r="AU527" s="1"/>
      <c r="AV527" s="1"/>
      <c r="AW527" s="1" t="s">
        <v>5149</v>
      </c>
      <c r="AX527" s="3">
        <v>290.55</v>
      </c>
      <c r="AY527" s="1"/>
      <c r="AZ527" s="1"/>
      <c r="BA527" s="1"/>
      <c r="BB527" s="1"/>
      <c r="BE527" s="67">
        <f t="shared" si="1"/>
        <v>0</v>
      </c>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t="s">
        <v>6413</v>
      </c>
      <c r="Z528" s="3">
        <v>290.55</v>
      </c>
      <c r="AA528" s="1"/>
      <c r="AB528" s="1"/>
      <c r="AC528" s="1"/>
      <c r="AD528" s="1"/>
      <c r="AE528" s="1"/>
      <c r="AF528" s="1"/>
      <c r="AG528" s="1"/>
      <c r="AH528" s="1"/>
      <c r="AI528" s="1"/>
      <c r="AJ528" s="1"/>
      <c r="AK528" s="1"/>
      <c r="AL528" s="1"/>
      <c r="AM528" s="1"/>
      <c r="AN528" s="1"/>
      <c r="AO528" s="1"/>
      <c r="AP528" s="1"/>
      <c r="AQ528" s="1"/>
      <c r="AR528" s="1"/>
      <c r="AS528" s="1"/>
      <c r="AT528" s="1"/>
      <c r="AU528" s="1"/>
      <c r="AV528" s="1"/>
      <c r="AW528" s="1" t="s">
        <v>335</v>
      </c>
      <c r="AX528" s="3">
        <v>290.55</v>
      </c>
      <c r="AY528" s="1"/>
      <c r="AZ528" s="1"/>
      <c r="BA528" s="1"/>
      <c r="BB528" s="1"/>
      <c r="BE528" s="67">
        <f t="shared" si="1"/>
        <v>0</v>
      </c>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t="s">
        <v>6414</v>
      </c>
      <c r="Z529" s="3">
        <v>290.55</v>
      </c>
      <c r="AA529" s="1"/>
      <c r="AB529" s="1"/>
      <c r="AC529" s="1"/>
      <c r="AD529" s="1"/>
      <c r="AE529" s="1"/>
      <c r="AF529" s="1"/>
      <c r="AG529" s="1"/>
      <c r="AH529" s="1"/>
      <c r="AI529" s="1"/>
      <c r="AJ529" s="1"/>
      <c r="AK529" s="1"/>
      <c r="AL529" s="1"/>
      <c r="AM529" s="1"/>
      <c r="AN529" s="1"/>
      <c r="AO529" s="1"/>
      <c r="AP529" s="1"/>
      <c r="AQ529" s="1"/>
      <c r="AR529" s="1"/>
      <c r="AS529" s="1"/>
      <c r="AT529" s="1"/>
      <c r="AU529" s="1"/>
      <c r="AV529" s="1"/>
      <c r="AW529" s="1" t="s">
        <v>6415</v>
      </c>
      <c r="AX529" s="3">
        <v>290.55</v>
      </c>
      <c r="AY529" s="1"/>
      <c r="AZ529" s="1"/>
      <c r="BA529" s="1"/>
      <c r="BB529" s="1"/>
      <c r="BE529" s="67">
        <f t="shared" si="1"/>
        <v>0</v>
      </c>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t="s">
        <v>6416</v>
      </c>
      <c r="Z530" s="3">
        <v>290.55</v>
      </c>
      <c r="AA530" s="1"/>
      <c r="AB530" s="1"/>
      <c r="AC530" s="1"/>
      <c r="AD530" s="1"/>
      <c r="AE530" s="1"/>
      <c r="AF530" s="1"/>
      <c r="AG530" s="1"/>
      <c r="AH530" s="1"/>
      <c r="AI530" s="1"/>
      <c r="AJ530" s="1"/>
      <c r="AK530" s="1"/>
      <c r="AL530" s="1"/>
      <c r="AM530" s="1"/>
      <c r="AN530" s="1"/>
      <c r="AO530" s="1"/>
      <c r="AP530" s="1"/>
      <c r="AQ530" s="1"/>
      <c r="AR530" s="1"/>
      <c r="AS530" s="1"/>
      <c r="AT530" s="1"/>
      <c r="AU530" s="1"/>
      <c r="AV530" s="1"/>
      <c r="AW530" s="1" t="s">
        <v>6417</v>
      </c>
      <c r="AX530" s="3">
        <v>290.55</v>
      </c>
      <c r="AY530" s="1"/>
      <c r="AZ530" s="1"/>
      <c r="BA530" s="1"/>
      <c r="BB530" s="1"/>
      <c r="BE530" s="67">
        <f t="shared" si="1"/>
        <v>0</v>
      </c>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t="s">
        <v>6418</v>
      </c>
      <c r="Z531" s="3">
        <v>290.55</v>
      </c>
      <c r="AA531" s="1"/>
      <c r="AB531" s="1"/>
      <c r="AC531" s="1"/>
      <c r="AD531" s="1"/>
      <c r="AE531" s="1"/>
      <c r="AF531" s="1"/>
      <c r="AG531" s="1"/>
      <c r="AH531" s="1"/>
      <c r="AI531" s="1"/>
      <c r="AJ531" s="1"/>
      <c r="AK531" s="1"/>
      <c r="AL531" s="1"/>
      <c r="AM531" s="1"/>
      <c r="AN531" s="1"/>
      <c r="AO531" s="1"/>
      <c r="AP531" s="1"/>
      <c r="AQ531" s="1"/>
      <c r="AR531" s="1"/>
      <c r="AS531" s="1"/>
      <c r="AT531" s="1"/>
      <c r="AU531" s="1"/>
      <c r="AV531" s="1"/>
      <c r="AW531" s="1" t="s">
        <v>6419</v>
      </c>
      <c r="AX531" s="3">
        <v>290.55</v>
      </c>
      <c r="AY531" s="1"/>
      <c r="AZ531" s="1"/>
      <c r="BA531" s="1"/>
      <c r="BB531" s="1"/>
      <c r="BE531" s="67">
        <f t="shared" si="1"/>
        <v>0</v>
      </c>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t="s">
        <v>6420</v>
      </c>
      <c r="Z532" s="3">
        <v>290.55</v>
      </c>
      <c r="AA532" s="1"/>
      <c r="AB532" s="1"/>
      <c r="AC532" s="1"/>
      <c r="AD532" s="1"/>
      <c r="AE532" s="1"/>
      <c r="AF532" s="1"/>
      <c r="AG532" s="1"/>
      <c r="AH532" s="1"/>
      <c r="AI532" s="1"/>
      <c r="AJ532" s="1"/>
      <c r="AK532" s="1"/>
      <c r="AL532" s="1"/>
      <c r="AM532" s="1"/>
      <c r="AN532" s="1"/>
      <c r="AO532" s="1"/>
      <c r="AP532" s="1"/>
      <c r="AQ532" s="1"/>
      <c r="AR532" s="1"/>
      <c r="AS532" s="1"/>
      <c r="AT532" s="1"/>
      <c r="AU532" s="1"/>
      <c r="AV532" s="1"/>
      <c r="AW532" s="1" t="s">
        <v>6421</v>
      </c>
      <c r="AX532" s="3">
        <v>290.55</v>
      </c>
      <c r="AY532" s="1"/>
      <c r="AZ532" s="1"/>
      <c r="BA532" s="1"/>
      <c r="BB532" s="1"/>
      <c r="BE532" s="67">
        <f t="shared" si="1"/>
        <v>0</v>
      </c>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t="s">
        <v>6422</v>
      </c>
      <c r="Z533" s="3">
        <v>290.55</v>
      </c>
      <c r="AA533" s="1"/>
      <c r="AB533" s="1"/>
      <c r="AC533" s="1"/>
      <c r="AD533" s="1"/>
      <c r="AE533" s="1"/>
      <c r="AF533" s="1"/>
      <c r="AG533" s="1"/>
      <c r="AH533" s="1"/>
      <c r="AI533" s="1"/>
      <c r="AJ533" s="1"/>
      <c r="AK533" s="1"/>
      <c r="AL533" s="1"/>
      <c r="AM533" s="1"/>
      <c r="AN533" s="1"/>
      <c r="AO533" s="1"/>
      <c r="AP533" s="1"/>
      <c r="AQ533" s="1"/>
      <c r="AR533" s="1"/>
      <c r="AS533" s="1"/>
      <c r="AT533" s="1"/>
      <c r="AU533" s="1"/>
      <c r="AV533" s="1"/>
      <c r="AW533" s="1" t="s">
        <v>6423</v>
      </c>
      <c r="AX533" s="3">
        <v>290.55</v>
      </c>
      <c r="AY533" s="1"/>
      <c r="AZ533" s="1"/>
      <c r="BA533" s="1"/>
      <c r="BB533" s="1"/>
      <c r="BE533" s="67">
        <f t="shared" si="1"/>
        <v>0</v>
      </c>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t="s">
        <v>6424</v>
      </c>
      <c r="Z534" s="3">
        <v>290.55</v>
      </c>
      <c r="AA534" s="1"/>
      <c r="AB534" s="1"/>
      <c r="AC534" s="1"/>
      <c r="AD534" s="1"/>
      <c r="AE534" s="1"/>
      <c r="AF534" s="1"/>
      <c r="AG534" s="1"/>
      <c r="AH534" s="1"/>
      <c r="AI534" s="1"/>
      <c r="AJ534" s="1"/>
      <c r="AK534" s="1"/>
      <c r="AL534" s="1"/>
      <c r="AM534" s="1"/>
      <c r="AN534" s="1"/>
      <c r="AO534" s="1"/>
      <c r="AP534" s="1"/>
      <c r="AQ534" s="1"/>
      <c r="AR534" s="1"/>
      <c r="AS534" s="1"/>
      <c r="AT534" s="1"/>
      <c r="AU534" s="1"/>
      <c r="AV534" s="1"/>
      <c r="AW534" s="1" t="s">
        <v>6425</v>
      </c>
      <c r="AX534" s="3">
        <v>290.55</v>
      </c>
      <c r="AY534" s="1"/>
      <c r="AZ534" s="1"/>
      <c r="BA534" s="1"/>
      <c r="BB534" s="1"/>
      <c r="BE534" s="67">
        <f t="shared" si="1"/>
        <v>0</v>
      </c>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t="s">
        <v>6426</v>
      </c>
      <c r="Z535" s="3">
        <v>290.55</v>
      </c>
      <c r="AA535" s="1"/>
      <c r="AB535" s="1"/>
      <c r="AC535" s="1"/>
      <c r="AD535" s="1"/>
      <c r="AE535" s="1"/>
      <c r="AF535" s="1"/>
      <c r="AG535" s="1"/>
      <c r="AH535" s="1"/>
      <c r="AI535" s="1"/>
      <c r="AJ535" s="1"/>
      <c r="AK535" s="1"/>
      <c r="AL535" s="1"/>
      <c r="AM535" s="1"/>
      <c r="AN535" s="1"/>
      <c r="AO535" s="1"/>
      <c r="AP535" s="1"/>
      <c r="AQ535" s="1"/>
      <c r="AR535" s="1"/>
      <c r="AS535" s="1"/>
      <c r="AT535" s="1"/>
      <c r="AU535" s="1"/>
      <c r="AV535" s="1"/>
      <c r="AW535" s="1" t="s">
        <v>6427</v>
      </c>
      <c r="AX535" s="3">
        <v>290.55</v>
      </c>
      <c r="AY535" s="1"/>
      <c r="AZ535" s="1"/>
      <c r="BA535" s="1"/>
      <c r="BB535" s="1"/>
      <c r="BE535" s="67">
        <f t="shared" si="1"/>
        <v>0</v>
      </c>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t="s">
        <v>6428</v>
      </c>
      <c r="Z536" s="3">
        <v>290.55</v>
      </c>
      <c r="AA536" s="1"/>
      <c r="AB536" s="1"/>
      <c r="AC536" s="1"/>
      <c r="AD536" s="1"/>
      <c r="AE536" s="1"/>
      <c r="AF536" s="1"/>
      <c r="AG536" s="1"/>
      <c r="AH536" s="1"/>
      <c r="AI536" s="1"/>
      <c r="AJ536" s="1"/>
      <c r="AK536" s="1"/>
      <c r="AL536" s="1"/>
      <c r="AM536" s="1"/>
      <c r="AN536" s="1"/>
      <c r="AO536" s="1"/>
      <c r="AP536" s="1"/>
      <c r="AQ536" s="1"/>
      <c r="AR536" s="1"/>
      <c r="AS536" s="1"/>
      <c r="AT536" s="1"/>
      <c r="AU536" s="1"/>
      <c r="AV536" s="1"/>
      <c r="AW536" s="1" t="s">
        <v>6429</v>
      </c>
      <c r="AX536" s="3">
        <v>290.55</v>
      </c>
      <c r="AY536" s="1"/>
      <c r="AZ536" s="1"/>
      <c r="BA536" s="1"/>
      <c r="BB536" s="1"/>
      <c r="BE536" s="67">
        <f t="shared" si="1"/>
        <v>0</v>
      </c>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t="s">
        <v>6430</v>
      </c>
      <c r="Z537" s="3">
        <v>290.55</v>
      </c>
      <c r="AA537" s="1"/>
      <c r="AB537" s="1"/>
      <c r="AC537" s="1"/>
      <c r="AD537" s="1"/>
      <c r="AE537" s="1"/>
      <c r="AF537" s="1"/>
      <c r="AG537" s="1"/>
      <c r="AH537" s="1"/>
      <c r="AI537" s="1"/>
      <c r="AJ537" s="1"/>
      <c r="AK537" s="1"/>
      <c r="AL537" s="1"/>
      <c r="AM537" s="1"/>
      <c r="AN537" s="1"/>
      <c r="AO537" s="1"/>
      <c r="AP537" s="1"/>
      <c r="AQ537" s="1"/>
      <c r="AR537" s="1"/>
      <c r="AS537" s="1"/>
      <c r="AT537" s="1"/>
      <c r="AU537" s="1"/>
      <c r="AV537" s="1"/>
      <c r="AW537" s="1" t="s">
        <v>6431</v>
      </c>
      <c r="AX537" s="3">
        <v>290.55</v>
      </c>
      <c r="AY537" s="1"/>
      <c r="AZ537" s="1"/>
      <c r="BA537" s="1"/>
      <c r="BB537" s="1"/>
      <c r="BE537" s="67">
        <f t="shared" si="1"/>
        <v>0</v>
      </c>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t="s">
        <v>6432</v>
      </c>
      <c r="Z538" s="3">
        <v>290.55</v>
      </c>
      <c r="AA538" s="1"/>
      <c r="AB538" s="1"/>
      <c r="AC538" s="1"/>
      <c r="AD538" s="1"/>
      <c r="AE538" s="1"/>
      <c r="AF538" s="1"/>
      <c r="AG538" s="1"/>
      <c r="AH538" s="1"/>
      <c r="AI538" s="1"/>
      <c r="AJ538" s="1"/>
      <c r="AK538" s="1"/>
      <c r="AL538" s="1"/>
      <c r="AM538" s="1"/>
      <c r="AN538" s="1"/>
      <c r="AO538" s="1"/>
      <c r="AP538" s="1"/>
      <c r="AQ538" s="1"/>
      <c r="AR538" s="1"/>
      <c r="AS538" s="1"/>
      <c r="AT538" s="1"/>
      <c r="AU538" s="1"/>
      <c r="AV538" s="1"/>
      <c r="AW538" s="1" t="s">
        <v>4850</v>
      </c>
      <c r="AX538" s="3">
        <v>290.55</v>
      </c>
      <c r="AY538" s="1"/>
      <c r="AZ538" s="1"/>
      <c r="BA538" s="1"/>
      <c r="BB538" s="1"/>
      <c r="BE538" s="67">
        <f t="shared" si="1"/>
        <v>0</v>
      </c>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t="s">
        <v>3197</v>
      </c>
      <c r="Z539" s="3">
        <v>290.55</v>
      </c>
      <c r="AA539" s="1"/>
      <c r="AB539" s="1"/>
      <c r="AC539" s="1"/>
      <c r="AD539" s="1"/>
      <c r="AE539" s="1"/>
      <c r="AF539" s="1"/>
      <c r="AG539" s="1"/>
      <c r="AH539" s="1"/>
      <c r="AI539" s="1"/>
      <c r="AJ539" s="1"/>
      <c r="AK539" s="1"/>
      <c r="AL539" s="1"/>
      <c r="AM539" s="1"/>
      <c r="AN539" s="1"/>
      <c r="AO539" s="1"/>
      <c r="AP539" s="1"/>
      <c r="AQ539" s="1"/>
      <c r="AR539" s="1"/>
      <c r="AS539" s="1"/>
      <c r="AT539" s="1"/>
      <c r="AU539" s="1"/>
      <c r="AV539" s="1"/>
      <c r="AW539" s="1" t="s">
        <v>6433</v>
      </c>
      <c r="AX539" s="3">
        <v>290.55</v>
      </c>
      <c r="AY539" s="1"/>
      <c r="AZ539" s="1"/>
      <c r="BA539" s="1"/>
      <c r="BB539" s="1"/>
      <c r="BE539" s="67">
        <f t="shared" si="1"/>
        <v>0</v>
      </c>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t="s">
        <v>6434</v>
      </c>
      <c r="Z540" s="3">
        <v>290.55</v>
      </c>
      <c r="AA540" s="1"/>
      <c r="AB540" s="1"/>
      <c r="AC540" s="1"/>
      <c r="AD540" s="1"/>
      <c r="AE540" s="1"/>
      <c r="AF540" s="1"/>
      <c r="AG540" s="1"/>
      <c r="AH540" s="1"/>
      <c r="AI540" s="1"/>
      <c r="AJ540" s="1"/>
      <c r="AK540" s="1"/>
      <c r="AL540" s="1"/>
      <c r="AM540" s="1"/>
      <c r="AN540" s="1"/>
      <c r="AO540" s="1"/>
      <c r="AP540" s="1"/>
      <c r="AQ540" s="1"/>
      <c r="AR540" s="1"/>
      <c r="AS540" s="1"/>
      <c r="AT540" s="1"/>
      <c r="AU540" s="1"/>
      <c r="AV540" s="1"/>
      <c r="AW540" s="1" t="s">
        <v>6435</v>
      </c>
      <c r="AX540" s="3">
        <v>290.55</v>
      </c>
      <c r="AY540" s="1"/>
      <c r="AZ540" s="1"/>
      <c r="BA540" s="1"/>
      <c r="BB540" s="1"/>
      <c r="BE540" s="67">
        <f t="shared" si="1"/>
        <v>0</v>
      </c>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t="s">
        <v>6436</v>
      </c>
      <c r="Z541" s="3">
        <v>290.55</v>
      </c>
      <c r="AA541" s="1"/>
      <c r="AB541" s="1"/>
      <c r="AC541" s="1"/>
      <c r="AD541" s="1"/>
      <c r="AE541" s="1"/>
      <c r="AF541" s="1"/>
      <c r="AG541" s="1"/>
      <c r="AH541" s="1"/>
      <c r="AI541" s="1"/>
      <c r="AJ541" s="1"/>
      <c r="AK541" s="1"/>
      <c r="AL541" s="1"/>
      <c r="AM541" s="1"/>
      <c r="AN541" s="1"/>
      <c r="AO541" s="1"/>
      <c r="AP541" s="1"/>
      <c r="AQ541" s="1"/>
      <c r="AR541" s="1"/>
      <c r="AS541" s="1"/>
      <c r="AT541" s="1"/>
      <c r="AU541" s="1"/>
      <c r="AV541" s="1"/>
      <c r="AW541" s="1" t="s">
        <v>6437</v>
      </c>
      <c r="AX541" s="3">
        <v>290.55</v>
      </c>
      <c r="AY541" s="1"/>
      <c r="AZ541" s="1"/>
      <c r="BA541" s="1"/>
      <c r="BB541" s="1"/>
      <c r="BE541" s="67">
        <f t="shared" si="1"/>
        <v>0</v>
      </c>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t="s">
        <v>6438</v>
      </c>
      <c r="Z542" s="3">
        <v>290.55</v>
      </c>
      <c r="AA542" s="1"/>
      <c r="AB542" s="1"/>
      <c r="AC542" s="1"/>
      <c r="AD542" s="1"/>
      <c r="AE542" s="1"/>
      <c r="AF542" s="1"/>
      <c r="AG542" s="1"/>
      <c r="AH542" s="1"/>
      <c r="AI542" s="1"/>
      <c r="AJ542" s="1"/>
      <c r="AK542" s="1"/>
      <c r="AL542" s="1"/>
      <c r="AM542" s="1"/>
      <c r="AN542" s="1"/>
      <c r="AO542" s="1"/>
      <c r="AP542" s="1"/>
      <c r="AQ542" s="1"/>
      <c r="AR542" s="1"/>
      <c r="AS542" s="1"/>
      <c r="AT542" s="1"/>
      <c r="AU542" s="1"/>
      <c r="AV542" s="1"/>
      <c r="AW542" s="1" t="s">
        <v>6439</v>
      </c>
      <c r="AX542" s="3">
        <v>290.55</v>
      </c>
      <c r="AY542" s="1"/>
      <c r="AZ542" s="1"/>
      <c r="BA542" s="1"/>
      <c r="BB542" s="1"/>
      <c r="BE542" s="67">
        <f t="shared" si="1"/>
        <v>0</v>
      </c>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t="s">
        <v>6440</v>
      </c>
      <c r="Z543" s="3">
        <v>290.55</v>
      </c>
      <c r="AA543" s="1"/>
      <c r="AB543" s="1"/>
      <c r="AC543" s="1"/>
      <c r="AD543" s="1"/>
      <c r="AE543" s="1"/>
      <c r="AF543" s="1"/>
      <c r="AG543" s="1"/>
      <c r="AH543" s="1"/>
      <c r="AI543" s="1"/>
      <c r="AJ543" s="1"/>
      <c r="AK543" s="1"/>
      <c r="AL543" s="1"/>
      <c r="AM543" s="1"/>
      <c r="AN543" s="1"/>
      <c r="AO543" s="1"/>
      <c r="AP543" s="1"/>
      <c r="AQ543" s="1"/>
      <c r="AR543" s="1"/>
      <c r="AS543" s="1"/>
      <c r="AT543" s="1"/>
      <c r="AU543" s="1"/>
      <c r="AV543" s="1"/>
      <c r="AW543" s="1" t="s">
        <v>6441</v>
      </c>
      <c r="AX543" s="3">
        <v>290.55</v>
      </c>
      <c r="AY543" s="1"/>
      <c r="AZ543" s="1"/>
      <c r="BA543" s="1"/>
      <c r="BB543" s="1"/>
      <c r="BE543" s="67">
        <f t="shared" si="1"/>
        <v>0</v>
      </c>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t="s">
        <v>6442</v>
      </c>
      <c r="Z544" s="3">
        <v>290.55</v>
      </c>
      <c r="AA544" s="1"/>
      <c r="AB544" s="1"/>
      <c r="AC544" s="1"/>
      <c r="AD544" s="1"/>
      <c r="AE544" s="1"/>
      <c r="AF544" s="1"/>
      <c r="AG544" s="1"/>
      <c r="AH544" s="1"/>
      <c r="AI544" s="1"/>
      <c r="AJ544" s="1"/>
      <c r="AK544" s="1"/>
      <c r="AL544" s="1"/>
      <c r="AM544" s="1"/>
      <c r="AN544" s="1"/>
      <c r="AO544" s="1"/>
      <c r="AP544" s="1"/>
      <c r="AQ544" s="1"/>
      <c r="AR544" s="1"/>
      <c r="AS544" s="1"/>
      <c r="AT544" s="1"/>
      <c r="AU544" s="1"/>
      <c r="AV544" s="1"/>
      <c r="AW544" s="1" t="s">
        <v>6443</v>
      </c>
      <c r="AX544" s="3">
        <v>290.55</v>
      </c>
      <c r="AY544" s="1"/>
      <c r="AZ544" s="1"/>
      <c r="BA544" s="1"/>
      <c r="BB544" s="1"/>
      <c r="BE544" s="67">
        <f t="shared" si="1"/>
        <v>0</v>
      </c>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t="s">
        <v>6444</v>
      </c>
      <c r="Z545" s="3">
        <v>290.55</v>
      </c>
      <c r="AA545" s="1"/>
      <c r="AB545" s="1"/>
      <c r="AC545" s="1"/>
      <c r="AD545" s="1"/>
      <c r="AE545" s="1"/>
      <c r="AF545" s="1"/>
      <c r="AG545" s="1"/>
      <c r="AH545" s="1"/>
      <c r="AI545" s="1"/>
      <c r="AJ545" s="1"/>
      <c r="AK545" s="1"/>
      <c r="AL545" s="1"/>
      <c r="AM545" s="1"/>
      <c r="AN545" s="1"/>
      <c r="AO545" s="1"/>
      <c r="AP545" s="1"/>
      <c r="AQ545" s="1"/>
      <c r="AR545" s="1"/>
      <c r="AS545" s="1"/>
      <c r="AT545" s="1"/>
      <c r="AU545" s="1"/>
      <c r="AV545" s="1"/>
      <c r="AW545" s="1" t="s">
        <v>6445</v>
      </c>
      <c r="AX545" s="3">
        <v>290.55</v>
      </c>
      <c r="AY545" s="1"/>
      <c r="AZ545" s="1"/>
      <c r="BA545" s="1"/>
      <c r="BB545" s="1"/>
      <c r="BE545" s="67">
        <f t="shared" si="1"/>
        <v>0</v>
      </c>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t="s">
        <v>6446</v>
      </c>
      <c r="Z546" s="3">
        <v>290.55</v>
      </c>
      <c r="AA546" s="1"/>
      <c r="AB546" s="1"/>
      <c r="AC546" s="1"/>
      <c r="AD546" s="1"/>
      <c r="AE546" s="1"/>
      <c r="AF546" s="1"/>
      <c r="AG546" s="1"/>
      <c r="AH546" s="1"/>
      <c r="AI546" s="1"/>
      <c r="AJ546" s="1"/>
      <c r="AK546" s="1"/>
      <c r="AL546" s="1"/>
      <c r="AM546" s="1"/>
      <c r="AN546" s="1"/>
      <c r="AO546" s="1"/>
      <c r="AP546" s="1"/>
      <c r="AQ546" s="1"/>
      <c r="AR546" s="1"/>
      <c r="AS546" s="1"/>
      <c r="AT546" s="1"/>
      <c r="AU546" s="1"/>
      <c r="AV546" s="1"/>
      <c r="AW546" s="1" t="s">
        <v>6447</v>
      </c>
      <c r="AX546" s="3">
        <v>290.55</v>
      </c>
      <c r="AY546" s="1"/>
      <c r="AZ546" s="1"/>
      <c r="BA546" s="1"/>
      <c r="BB546" s="1"/>
      <c r="BE546" s="67">
        <f t="shared" si="1"/>
        <v>0</v>
      </c>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t="s">
        <v>6448</v>
      </c>
      <c r="Z547" s="3">
        <v>290.55</v>
      </c>
      <c r="AA547" s="1"/>
      <c r="AB547" s="1"/>
      <c r="AC547" s="1"/>
      <c r="AD547" s="1"/>
      <c r="AE547" s="1"/>
      <c r="AF547" s="1"/>
      <c r="AG547" s="1"/>
      <c r="AH547" s="1"/>
      <c r="AI547" s="1"/>
      <c r="AJ547" s="1"/>
      <c r="AK547" s="1"/>
      <c r="AL547" s="1"/>
      <c r="AM547" s="1"/>
      <c r="AN547" s="1"/>
      <c r="AO547" s="1"/>
      <c r="AP547" s="1"/>
      <c r="AQ547" s="1"/>
      <c r="AR547" s="1"/>
      <c r="AS547" s="1"/>
      <c r="AT547" s="1"/>
      <c r="AU547" s="1"/>
      <c r="AV547" s="1"/>
      <c r="AW547" s="1" t="s">
        <v>6449</v>
      </c>
      <c r="AX547" s="3">
        <v>290.55</v>
      </c>
      <c r="AY547" s="1"/>
      <c r="AZ547" s="1"/>
      <c r="BA547" s="1"/>
      <c r="BB547" s="1"/>
      <c r="BE547" s="67">
        <f t="shared" si="1"/>
        <v>0</v>
      </c>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t="s">
        <v>6450</v>
      </c>
      <c r="Z548" s="3">
        <v>290.55</v>
      </c>
      <c r="AA548" s="1"/>
      <c r="AB548" s="1"/>
      <c r="AC548" s="1"/>
      <c r="AD548" s="1"/>
      <c r="AE548" s="1"/>
      <c r="AF548" s="1"/>
      <c r="AG548" s="1"/>
      <c r="AH548" s="1"/>
      <c r="AI548" s="1"/>
      <c r="AJ548" s="1"/>
      <c r="AK548" s="1"/>
      <c r="AL548" s="1"/>
      <c r="AM548" s="1"/>
      <c r="AN548" s="1"/>
      <c r="AO548" s="1"/>
      <c r="AP548" s="1"/>
      <c r="AQ548" s="1"/>
      <c r="AR548" s="1"/>
      <c r="AS548" s="1"/>
      <c r="AT548" s="1"/>
      <c r="AU548" s="1"/>
      <c r="AV548" s="1"/>
      <c r="AW548" s="1" t="s">
        <v>6451</v>
      </c>
      <c r="AX548" s="3">
        <v>290.55</v>
      </c>
      <c r="AY548" s="1"/>
      <c r="AZ548" s="1"/>
      <c r="BA548" s="1"/>
      <c r="BB548" s="1"/>
      <c r="BE548" s="67">
        <f t="shared" si="1"/>
        <v>0</v>
      </c>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t="s">
        <v>6452</v>
      </c>
      <c r="Z549" s="3">
        <v>290.55</v>
      </c>
      <c r="AA549" s="1"/>
      <c r="AB549" s="1"/>
      <c r="AC549" s="1"/>
      <c r="AD549" s="1"/>
      <c r="AE549" s="1"/>
      <c r="AF549" s="1"/>
      <c r="AG549" s="1"/>
      <c r="AH549" s="1"/>
      <c r="AI549" s="1"/>
      <c r="AJ549" s="1"/>
      <c r="AK549" s="1"/>
      <c r="AL549" s="1"/>
      <c r="AM549" s="1"/>
      <c r="AN549" s="1"/>
      <c r="AO549" s="1"/>
      <c r="AP549" s="1"/>
      <c r="AQ549" s="1"/>
      <c r="AR549" s="1"/>
      <c r="AS549" s="1"/>
      <c r="AT549" s="1"/>
      <c r="AU549" s="1"/>
      <c r="AV549" s="1"/>
      <c r="AW549" s="1" t="s">
        <v>6453</v>
      </c>
      <c r="AX549" s="3">
        <v>290.55</v>
      </c>
      <c r="AY549" s="1"/>
      <c r="AZ549" s="1"/>
      <c r="BA549" s="1"/>
      <c r="BB549" s="1"/>
      <c r="BE549" s="67">
        <f t="shared" si="1"/>
        <v>0</v>
      </c>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t="s">
        <v>6454</v>
      </c>
      <c r="Z550" s="3">
        <v>290.55</v>
      </c>
      <c r="AA550" s="1"/>
      <c r="AB550" s="1"/>
      <c r="AC550" s="1"/>
      <c r="AD550" s="1"/>
      <c r="AE550" s="1"/>
      <c r="AF550" s="1"/>
      <c r="AG550" s="1"/>
      <c r="AH550" s="1"/>
      <c r="AI550" s="1"/>
      <c r="AJ550" s="1"/>
      <c r="AK550" s="1"/>
      <c r="AL550" s="1"/>
      <c r="AM550" s="1"/>
      <c r="AN550" s="1"/>
      <c r="AO550" s="1"/>
      <c r="AP550" s="1"/>
      <c r="AQ550" s="1"/>
      <c r="AR550" s="1"/>
      <c r="AS550" s="1"/>
      <c r="AT550" s="1"/>
      <c r="AU550" s="1"/>
      <c r="AV550" s="1"/>
      <c r="AW550" s="1" t="s">
        <v>5419</v>
      </c>
      <c r="AX550" s="3">
        <v>290.55</v>
      </c>
      <c r="AY550" s="1"/>
      <c r="AZ550" s="1"/>
      <c r="BA550" s="1"/>
      <c r="BB550" s="1"/>
      <c r="BE550" s="67">
        <f t="shared" si="1"/>
        <v>0</v>
      </c>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t="s">
        <v>6455</v>
      </c>
      <c r="Z551" s="3">
        <v>290.55</v>
      </c>
      <c r="AA551" s="1"/>
      <c r="AB551" s="1"/>
      <c r="AC551" s="1"/>
      <c r="AD551" s="1"/>
      <c r="AE551" s="1"/>
      <c r="AF551" s="1"/>
      <c r="AG551" s="1"/>
      <c r="AH551" s="1"/>
      <c r="AI551" s="1"/>
      <c r="AJ551" s="1"/>
      <c r="AK551" s="1"/>
      <c r="AL551" s="1"/>
      <c r="AM551" s="1"/>
      <c r="AN551" s="1"/>
      <c r="AO551" s="1"/>
      <c r="AP551" s="1"/>
      <c r="AQ551" s="1"/>
      <c r="AR551" s="1"/>
      <c r="AS551" s="1"/>
      <c r="AT551" s="1"/>
      <c r="AU551" s="1"/>
      <c r="AV551" s="1"/>
      <c r="AW551" s="1" t="s">
        <v>3273</v>
      </c>
      <c r="AX551" s="3">
        <v>290.55</v>
      </c>
      <c r="AY551" s="1"/>
      <c r="AZ551" s="1"/>
      <c r="BA551" s="1"/>
      <c r="BB551" s="1"/>
      <c r="BE551" s="67">
        <f t="shared" si="1"/>
        <v>0</v>
      </c>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t="s">
        <v>6456</v>
      </c>
      <c r="Z552" s="3">
        <v>290.55</v>
      </c>
      <c r="AA552" s="1"/>
      <c r="AB552" s="1"/>
      <c r="AC552" s="1"/>
      <c r="AD552" s="1"/>
      <c r="AE552" s="1"/>
      <c r="AF552" s="1"/>
      <c r="AG552" s="1"/>
      <c r="AH552" s="1"/>
      <c r="AI552" s="1"/>
      <c r="AJ552" s="1"/>
      <c r="AK552" s="1"/>
      <c r="AL552" s="1"/>
      <c r="AM552" s="1"/>
      <c r="AN552" s="1"/>
      <c r="AO552" s="1"/>
      <c r="AP552" s="1"/>
      <c r="AQ552" s="1"/>
      <c r="AR552" s="1"/>
      <c r="AS552" s="1"/>
      <c r="AT552" s="1"/>
      <c r="AU552" s="1"/>
      <c r="AV552" s="1"/>
      <c r="AW552" s="1" t="s">
        <v>6457</v>
      </c>
      <c r="AX552" s="3">
        <v>290.55</v>
      </c>
      <c r="AY552" s="1"/>
      <c r="AZ552" s="1"/>
      <c r="BA552" s="1"/>
      <c r="BB552" s="1"/>
      <c r="BE552" s="67">
        <f t="shared" si="1"/>
        <v>0</v>
      </c>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t="s">
        <v>6458</v>
      </c>
      <c r="Z553" s="3">
        <v>290.55</v>
      </c>
      <c r="AA553" s="1"/>
      <c r="AB553" s="1"/>
      <c r="AC553" s="1"/>
      <c r="AD553" s="1"/>
      <c r="AE553" s="1"/>
      <c r="AF553" s="1"/>
      <c r="AG553" s="1"/>
      <c r="AH553" s="1"/>
      <c r="AI553" s="1"/>
      <c r="AJ553" s="1"/>
      <c r="AK553" s="1"/>
      <c r="AL553" s="1"/>
      <c r="AM553" s="1"/>
      <c r="AN553" s="1"/>
      <c r="AO553" s="1"/>
      <c r="AP553" s="1"/>
      <c r="AQ553" s="1"/>
      <c r="AR553" s="1"/>
      <c r="AS553" s="1"/>
      <c r="AT553" s="1"/>
      <c r="AU553" s="1"/>
      <c r="AV553" s="1"/>
      <c r="AW553" s="1" t="s">
        <v>6459</v>
      </c>
      <c r="AX553" s="3">
        <v>290.55</v>
      </c>
      <c r="AY553" s="1"/>
      <c r="AZ553" s="1"/>
      <c r="BA553" s="1"/>
      <c r="BB553" s="1"/>
      <c r="BE553" s="67">
        <f t="shared" si="1"/>
        <v>0</v>
      </c>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t="s">
        <v>6460</v>
      </c>
      <c r="Z554" s="3">
        <v>290.55</v>
      </c>
      <c r="AA554" s="1"/>
      <c r="AB554" s="1"/>
      <c r="AC554" s="1"/>
      <c r="AD554" s="1"/>
      <c r="AE554" s="1"/>
      <c r="AF554" s="1"/>
      <c r="AG554" s="1"/>
      <c r="AH554" s="1"/>
      <c r="AI554" s="1"/>
      <c r="AJ554" s="1"/>
      <c r="AK554" s="1"/>
      <c r="AL554" s="1"/>
      <c r="AM554" s="1"/>
      <c r="AN554" s="1"/>
      <c r="AO554" s="1"/>
      <c r="AP554" s="1"/>
      <c r="AQ554" s="1"/>
      <c r="AR554" s="1"/>
      <c r="AS554" s="1"/>
      <c r="AT554" s="1"/>
      <c r="AU554" s="1"/>
      <c r="AV554" s="1"/>
      <c r="AW554" s="1" t="s">
        <v>6461</v>
      </c>
      <c r="AX554" s="3">
        <v>290.55</v>
      </c>
      <c r="AY554" s="1"/>
      <c r="AZ554" s="1"/>
      <c r="BA554" s="1"/>
      <c r="BB554" s="1"/>
      <c r="BE554" s="67">
        <f t="shared" si="1"/>
        <v>0</v>
      </c>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t="s">
        <v>6462</v>
      </c>
      <c r="Z555" s="3">
        <v>290.55</v>
      </c>
      <c r="AA555" s="1"/>
      <c r="AB555" s="1"/>
      <c r="AC555" s="1"/>
      <c r="AD555" s="1"/>
      <c r="AE555" s="1"/>
      <c r="AF555" s="1"/>
      <c r="AG555" s="1"/>
      <c r="AH555" s="1"/>
      <c r="AI555" s="1"/>
      <c r="AJ555" s="1"/>
      <c r="AK555" s="1"/>
      <c r="AL555" s="1"/>
      <c r="AM555" s="1"/>
      <c r="AN555" s="1"/>
      <c r="AO555" s="1"/>
      <c r="AP555" s="1"/>
      <c r="AQ555" s="1"/>
      <c r="AR555" s="1"/>
      <c r="AS555" s="1"/>
      <c r="AT555" s="1"/>
      <c r="AU555" s="1"/>
      <c r="AV555" s="1"/>
      <c r="AW555" s="1" t="s">
        <v>6463</v>
      </c>
      <c r="AX555" s="3">
        <v>290.55</v>
      </c>
      <c r="AY555" s="1"/>
      <c r="AZ555" s="1"/>
      <c r="BA555" s="1"/>
      <c r="BB555" s="1"/>
      <c r="BE555" s="67">
        <f t="shared" si="1"/>
        <v>0</v>
      </c>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t="s">
        <v>6464</v>
      </c>
      <c r="Z556" s="3">
        <v>290.55</v>
      </c>
      <c r="AA556" s="1"/>
      <c r="AB556" s="1"/>
      <c r="AC556" s="1"/>
      <c r="AD556" s="1"/>
      <c r="AE556" s="1"/>
      <c r="AF556" s="1"/>
      <c r="AG556" s="1"/>
      <c r="AH556" s="1"/>
      <c r="AI556" s="1"/>
      <c r="AJ556" s="1"/>
      <c r="AK556" s="1"/>
      <c r="AL556" s="1"/>
      <c r="AM556" s="1"/>
      <c r="AN556" s="1"/>
      <c r="AO556" s="1"/>
      <c r="AP556" s="1"/>
      <c r="AQ556" s="1"/>
      <c r="AR556" s="1"/>
      <c r="AS556" s="1"/>
      <c r="AT556" s="1"/>
      <c r="AU556" s="1"/>
      <c r="AV556" s="1"/>
      <c r="AW556" s="1" t="s">
        <v>6465</v>
      </c>
      <c r="AX556" s="3">
        <v>290.55</v>
      </c>
      <c r="AY556" s="1"/>
      <c r="AZ556" s="1"/>
      <c r="BA556" s="1"/>
      <c r="BB556" s="1"/>
      <c r="BE556" s="67">
        <f t="shared" si="1"/>
        <v>0</v>
      </c>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t="s">
        <v>6466</v>
      </c>
      <c r="Z557" s="3">
        <v>290.55</v>
      </c>
      <c r="AA557" s="1"/>
      <c r="AB557" s="1"/>
      <c r="AC557" s="1"/>
      <c r="AD557" s="1"/>
      <c r="AE557" s="1"/>
      <c r="AF557" s="1"/>
      <c r="AG557" s="1"/>
      <c r="AH557" s="1"/>
      <c r="AI557" s="1"/>
      <c r="AJ557" s="1"/>
      <c r="AK557" s="1"/>
      <c r="AL557" s="1"/>
      <c r="AM557" s="1"/>
      <c r="AN557" s="1"/>
      <c r="AO557" s="1"/>
      <c r="AP557" s="1"/>
      <c r="AQ557" s="1"/>
      <c r="AR557" s="1"/>
      <c r="AS557" s="1"/>
      <c r="AT557" s="1"/>
      <c r="AU557" s="1"/>
      <c r="AV557" s="1"/>
      <c r="AW557" s="1" t="s">
        <v>6467</v>
      </c>
      <c r="AX557" s="3">
        <v>290.55</v>
      </c>
      <c r="AY557" s="1"/>
      <c r="AZ557" s="1"/>
      <c r="BA557" s="1"/>
      <c r="BB557" s="1"/>
      <c r="BE557" s="67">
        <f t="shared" si="1"/>
        <v>0</v>
      </c>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t="s">
        <v>6468</v>
      </c>
      <c r="Z558" s="3">
        <v>290.55</v>
      </c>
      <c r="AA558" s="1"/>
      <c r="AB558" s="1"/>
      <c r="AC558" s="1"/>
      <c r="AD558" s="1"/>
      <c r="AE558" s="1"/>
      <c r="AF558" s="1"/>
      <c r="AG558" s="1"/>
      <c r="AH558" s="1"/>
      <c r="AI558" s="1"/>
      <c r="AJ558" s="1"/>
      <c r="AK558" s="1"/>
      <c r="AL558" s="1"/>
      <c r="AM558" s="1"/>
      <c r="AN558" s="1"/>
      <c r="AO558" s="1"/>
      <c r="AP558" s="1"/>
      <c r="AQ558" s="1"/>
      <c r="AR558" s="1"/>
      <c r="AS558" s="1"/>
      <c r="AT558" s="1"/>
      <c r="AU558" s="1"/>
      <c r="AV558" s="1"/>
      <c r="AW558" s="1" t="s">
        <v>6469</v>
      </c>
      <c r="AX558" s="3">
        <v>290.55</v>
      </c>
      <c r="AY558" s="1"/>
      <c r="AZ558" s="1"/>
      <c r="BA558" s="1"/>
      <c r="BB558" s="1"/>
      <c r="BE558" s="67">
        <f t="shared" si="1"/>
        <v>0</v>
      </c>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t="s">
        <v>6470</v>
      </c>
      <c r="Z559" s="3">
        <v>290.55</v>
      </c>
      <c r="AA559" s="1"/>
      <c r="AB559" s="1"/>
      <c r="AC559" s="1"/>
      <c r="AD559" s="1"/>
      <c r="AE559" s="1"/>
      <c r="AF559" s="1"/>
      <c r="AG559" s="1"/>
      <c r="AH559" s="1"/>
      <c r="AI559" s="1"/>
      <c r="AJ559" s="1"/>
      <c r="AK559" s="1"/>
      <c r="AL559" s="1"/>
      <c r="AM559" s="1"/>
      <c r="AN559" s="1"/>
      <c r="AO559" s="1"/>
      <c r="AP559" s="1"/>
      <c r="AQ559" s="1"/>
      <c r="AR559" s="1"/>
      <c r="AS559" s="1"/>
      <c r="AT559" s="1"/>
      <c r="AU559" s="1"/>
      <c r="AV559" s="1"/>
      <c r="AW559" s="1" t="s">
        <v>6471</v>
      </c>
      <c r="AX559" s="3">
        <v>290.55</v>
      </c>
      <c r="AY559" s="1"/>
      <c r="AZ559" s="1"/>
      <c r="BA559" s="1"/>
      <c r="BB559" s="1"/>
      <c r="BE559" s="67">
        <f t="shared" si="1"/>
        <v>0</v>
      </c>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t="s">
        <v>6472</v>
      </c>
      <c r="Z560" s="3">
        <v>290.55</v>
      </c>
      <c r="AA560" s="1"/>
      <c r="AB560" s="1"/>
      <c r="AC560" s="1"/>
      <c r="AD560" s="1"/>
      <c r="AE560" s="1"/>
      <c r="AF560" s="1"/>
      <c r="AG560" s="1"/>
      <c r="AH560" s="1"/>
      <c r="AI560" s="1"/>
      <c r="AJ560" s="1"/>
      <c r="AK560" s="1"/>
      <c r="AL560" s="1"/>
      <c r="AM560" s="1"/>
      <c r="AN560" s="1"/>
      <c r="AO560" s="1"/>
      <c r="AP560" s="1"/>
      <c r="AQ560" s="1"/>
      <c r="AR560" s="1"/>
      <c r="AS560" s="1"/>
      <c r="AT560" s="1"/>
      <c r="AU560" s="1"/>
      <c r="AV560" s="1"/>
      <c r="AW560" s="1" t="s">
        <v>6473</v>
      </c>
      <c r="AX560" s="3">
        <v>290.55</v>
      </c>
      <c r="AY560" s="1"/>
      <c r="AZ560" s="1"/>
      <c r="BA560" s="1"/>
      <c r="BB560" s="1"/>
      <c r="BE560" s="67">
        <f t="shared" si="1"/>
        <v>0</v>
      </c>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t="s">
        <v>6474</v>
      </c>
      <c r="Z561" s="3">
        <v>290.55</v>
      </c>
      <c r="AA561" s="1"/>
      <c r="AB561" s="1"/>
      <c r="AC561" s="1"/>
      <c r="AD561" s="1"/>
      <c r="AE561" s="1"/>
      <c r="AF561" s="1"/>
      <c r="AG561" s="1"/>
      <c r="AH561" s="1"/>
      <c r="AI561" s="1"/>
      <c r="AJ561" s="1"/>
      <c r="AK561" s="1"/>
      <c r="AL561" s="1"/>
      <c r="AM561" s="1"/>
      <c r="AN561" s="1"/>
      <c r="AO561" s="1"/>
      <c r="AP561" s="1"/>
      <c r="AQ561" s="1"/>
      <c r="AR561" s="1"/>
      <c r="AS561" s="1"/>
      <c r="AT561" s="1"/>
      <c r="AU561" s="1"/>
      <c r="AV561" s="1"/>
      <c r="AW561" s="1" t="s">
        <v>6475</v>
      </c>
      <c r="AX561" s="3">
        <v>290.55</v>
      </c>
      <c r="AY561" s="1"/>
      <c r="AZ561" s="1"/>
      <c r="BA561" s="1"/>
      <c r="BB561" s="1"/>
      <c r="BE561" s="67">
        <f t="shared" si="1"/>
        <v>0</v>
      </c>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t="s">
        <v>6476</v>
      </c>
      <c r="Z562" s="3">
        <v>290.55</v>
      </c>
      <c r="AA562" s="1"/>
      <c r="AB562" s="1"/>
      <c r="AC562" s="1"/>
      <c r="AD562" s="1"/>
      <c r="AE562" s="1"/>
      <c r="AF562" s="1"/>
      <c r="AG562" s="1"/>
      <c r="AH562" s="1"/>
      <c r="AI562" s="1"/>
      <c r="AJ562" s="1"/>
      <c r="AK562" s="1"/>
      <c r="AL562" s="1"/>
      <c r="AM562" s="1"/>
      <c r="AN562" s="1"/>
      <c r="AO562" s="1"/>
      <c r="AP562" s="1"/>
      <c r="AQ562" s="1"/>
      <c r="AR562" s="1"/>
      <c r="AS562" s="1"/>
      <c r="AT562" s="1"/>
      <c r="AU562" s="1"/>
      <c r="AV562" s="1"/>
      <c r="AW562" s="1" t="s">
        <v>6477</v>
      </c>
      <c r="AX562" s="3">
        <v>290.55</v>
      </c>
      <c r="AY562" s="1"/>
      <c r="AZ562" s="1"/>
      <c r="BA562" s="1"/>
      <c r="BB562" s="1"/>
      <c r="BE562" s="67">
        <f t="shared" si="1"/>
        <v>0</v>
      </c>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t="s">
        <v>6478</v>
      </c>
      <c r="Z563" s="3">
        <v>290.55</v>
      </c>
      <c r="AA563" s="1"/>
      <c r="AB563" s="1"/>
      <c r="AC563" s="1"/>
      <c r="AD563" s="1"/>
      <c r="AE563" s="1"/>
      <c r="AF563" s="1"/>
      <c r="AG563" s="1"/>
      <c r="AH563" s="1"/>
      <c r="AI563" s="1"/>
      <c r="AJ563" s="1"/>
      <c r="AK563" s="1"/>
      <c r="AL563" s="1"/>
      <c r="AM563" s="1"/>
      <c r="AN563" s="1"/>
      <c r="AO563" s="1"/>
      <c r="AP563" s="1"/>
      <c r="AQ563" s="1"/>
      <c r="AR563" s="1"/>
      <c r="AS563" s="1"/>
      <c r="AT563" s="1"/>
      <c r="AU563" s="1"/>
      <c r="AV563" s="1"/>
      <c r="AW563" s="1" t="s">
        <v>6479</v>
      </c>
      <c r="AX563" s="3">
        <v>290.55</v>
      </c>
      <c r="AY563" s="1"/>
      <c r="AZ563" s="1"/>
      <c r="BA563" s="1"/>
      <c r="BB563" s="1"/>
      <c r="BE563" s="67">
        <f t="shared" si="1"/>
        <v>0</v>
      </c>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t="s">
        <v>6480</v>
      </c>
      <c r="Z564" s="3">
        <v>290.55</v>
      </c>
      <c r="AA564" s="1"/>
      <c r="AB564" s="1"/>
      <c r="AC564" s="1"/>
      <c r="AD564" s="1"/>
      <c r="AE564" s="1"/>
      <c r="AF564" s="1"/>
      <c r="AG564" s="1"/>
      <c r="AH564" s="1"/>
      <c r="AI564" s="1"/>
      <c r="AJ564" s="1"/>
      <c r="AK564" s="1"/>
      <c r="AL564" s="1"/>
      <c r="AM564" s="1"/>
      <c r="AN564" s="1"/>
      <c r="AO564" s="1"/>
      <c r="AP564" s="1"/>
      <c r="AQ564" s="1"/>
      <c r="AR564" s="1"/>
      <c r="AS564" s="1"/>
      <c r="AT564" s="1"/>
      <c r="AU564" s="1"/>
      <c r="AV564" s="1"/>
      <c r="AW564" s="1" t="s">
        <v>6481</v>
      </c>
      <c r="AX564" s="3">
        <v>290.55</v>
      </c>
      <c r="AY564" s="1"/>
      <c r="AZ564" s="1"/>
      <c r="BA564" s="1"/>
      <c r="BB564" s="1"/>
      <c r="BE564" s="67">
        <f t="shared" si="1"/>
        <v>0</v>
      </c>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t="s">
        <v>6482</v>
      </c>
      <c r="Z565" s="3">
        <v>290.55</v>
      </c>
      <c r="AA565" s="1"/>
      <c r="AB565" s="1"/>
      <c r="AC565" s="1"/>
      <c r="AD565" s="1"/>
      <c r="AE565" s="1"/>
      <c r="AF565" s="1"/>
      <c r="AG565" s="1"/>
      <c r="AH565" s="1"/>
      <c r="AI565" s="1"/>
      <c r="AJ565" s="1"/>
      <c r="AK565" s="1"/>
      <c r="AL565" s="1"/>
      <c r="AM565" s="1"/>
      <c r="AN565" s="1"/>
      <c r="AO565" s="1"/>
      <c r="AP565" s="1"/>
      <c r="AQ565" s="1"/>
      <c r="AR565" s="1"/>
      <c r="AS565" s="1"/>
      <c r="AT565" s="1"/>
      <c r="AU565" s="1"/>
      <c r="AV565" s="1"/>
      <c r="AW565" s="1" t="s">
        <v>6483</v>
      </c>
      <c r="AX565" s="3">
        <v>290.55</v>
      </c>
      <c r="AY565" s="1"/>
      <c r="AZ565" s="1"/>
      <c r="BA565" s="1"/>
      <c r="BB565" s="1"/>
      <c r="BE565" s="67">
        <f t="shared" si="1"/>
        <v>0</v>
      </c>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t="s">
        <v>6484</v>
      </c>
      <c r="Z566" s="3">
        <v>290.55</v>
      </c>
      <c r="AA566" s="1"/>
      <c r="AB566" s="1"/>
      <c r="AC566" s="1"/>
      <c r="AD566" s="1"/>
      <c r="AE566" s="1"/>
      <c r="AF566" s="1"/>
      <c r="AG566" s="1"/>
      <c r="AH566" s="1"/>
      <c r="AI566" s="1"/>
      <c r="AJ566" s="1"/>
      <c r="AK566" s="1"/>
      <c r="AL566" s="1"/>
      <c r="AM566" s="1"/>
      <c r="AN566" s="1"/>
      <c r="AO566" s="1"/>
      <c r="AP566" s="1"/>
      <c r="AQ566" s="1"/>
      <c r="AR566" s="1"/>
      <c r="AS566" s="1"/>
      <c r="AT566" s="1"/>
      <c r="AU566" s="1"/>
      <c r="AV566" s="1"/>
      <c r="AW566" s="1" t="s">
        <v>1606</v>
      </c>
      <c r="AX566" s="3">
        <v>371.26</v>
      </c>
      <c r="AY566" s="1"/>
      <c r="AZ566" s="1"/>
      <c r="BA566" s="1"/>
      <c r="BB566" s="1"/>
      <c r="BE566" s="67">
        <f t="shared" si="1"/>
        <v>0</v>
      </c>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t="s">
        <v>6485</v>
      </c>
      <c r="Z567" s="3">
        <v>290.55</v>
      </c>
      <c r="AA567" s="1"/>
      <c r="AB567" s="1"/>
      <c r="AC567" s="1"/>
      <c r="AD567" s="1"/>
      <c r="AE567" s="1"/>
      <c r="AF567" s="1"/>
      <c r="AG567" s="1"/>
      <c r="AH567" s="1"/>
      <c r="AI567" s="1"/>
      <c r="AJ567" s="1"/>
      <c r="AK567" s="1"/>
      <c r="AL567" s="1"/>
      <c r="AM567" s="1"/>
      <c r="AN567" s="1"/>
      <c r="AO567" s="1"/>
      <c r="AP567" s="1"/>
      <c r="AQ567" s="1"/>
      <c r="AR567" s="1"/>
      <c r="AS567" s="1"/>
      <c r="AT567" s="1"/>
      <c r="AU567" s="1"/>
      <c r="AV567" s="1"/>
      <c r="AW567" s="1" t="s">
        <v>4383</v>
      </c>
      <c r="AX567" s="3">
        <v>290.55</v>
      </c>
      <c r="AY567" s="1"/>
      <c r="AZ567" s="1"/>
      <c r="BA567" s="1"/>
      <c r="BB567" s="1"/>
      <c r="BE567" s="67">
        <f t="shared" si="1"/>
        <v>0</v>
      </c>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t="s">
        <v>6486</v>
      </c>
      <c r="Z568" s="3">
        <v>290.55</v>
      </c>
      <c r="AA568" s="1"/>
      <c r="AB568" s="1"/>
      <c r="AC568" s="1"/>
      <c r="AD568" s="1"/>
      <c r="AE568" s="1"/>
      <c r="AF568" s="1"/>
      <c r="AG568" s="1"/>
      <c r="AH568" s="1"/>
      <c r="AI568" s="1"/>
      <c r="AJ568" s="1"/>
      <c r="AK568" s="1"/>
      <c r="AL568" s="1"/>
      <c r="AM568" s="1"/>
      <c r="AN568" s="1"/>
      <c r="AO568" s="1"/>
      <c r="AP568" s="1"/>
      <c r="AQ568" s="1"/>
      <c r="AR568" s="1"/>
      <c r="AS568" s="1"/>
      <c r="AT568" s="1"/>
      <c r="AU568" s="1"/>
      <c r="AV568" s="1"/>
      <c r="AW568" s="1" t="s">
        <v>6487</v>
      </c>
      <c r="AX568" s="3">
        <v>290.55</v>
      </c>
      <c r="AY568" s="1"/>
      <c r="AZ568" s="1"/>
      <c r="BA568" s="1"/>
      <c r="BB568" s="1"/>
      <c r="BE568" s="67">
        <f t="shared" si="1"/>
        <v>0</v>
      </c>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t="s">
        <v>6488</v>
      </c>
      <c r="Z569" s="3">
        <v>290.55</v>
      </c>
      <c r="AA569" s="1"/>
      <c r="AB569" s="1"/>
      <c r="AC569" s="1"/>
      <c r="AD569" s="1"/>
      <c r="AE569" s="1"/>
      <c r="AF569" s="1"/>
      <c r="AG569" s="1"/>
      <c r="AH569" s="1"/>
      <c r="AI569" s="1"/>
      <c r="AJ569" s="1"/>
      <c r="AK569" s="1"/>
      <c r="AL569" s="1"/>
      <c r="AM569" s="1"/>
      <c r="AN569" s="1"/>
      <c r="AO569" s="1"/>
      <c r="AP569" s="1"/>
      <c r="AQ569" s="1"/>
      <c r="AR569" s="1"/>
      <c r="AS569" s="1"/>
      <c r="AT569" s="1"/>
      <c r="AU569" s="1"/>
      <c r="AV569" s="1"/>
      <c r="AW569" s="1" t="s">
        <v>6489</v>
      </c>
      <c r="AX569" s="3">
        <v>290.55</v>
      </c>
      <c r="AY569" s="1"/>
      <c r="AZ569" s="1"/>
      <c r="BA569" s="1"/>
      <c r="BB569" s="1"/>
      <c r="BE569" s="67">
        <f t="shared" si="1"/>
        <v>0</v>
      </c>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t="s">
        <v>6490</v>
      </c>
      <c r="Z570" s="3">
        <v>290.55</v>
      </c>
      <c r="AA570" s="1"/>
      <c r="AB570" s="1"/>
      <c r="AC570" s="1"/>
      <c r="AD570" s="1"/>
      <c r="AE570" s="1"/>
      <c r="AF570" s="1"/>
      <c r="AG570" s="1"/>
      <c r="AH570" s="1"/>
      <c r="AI570" s="1"/>
      <c r="AJ570" s="1"/>
      <c r="AK570" s="1"/>
      <c r="AL570" s="1"/>
      <c r="AM570" s="1"/>
      <c r="AN570" s="1"/>
      <c r="AO570" s="1"/>
      <c r="AP570" s="1"/>
      <c r="AQ570" s="1"/>
      <c r="AR570" s="1"/>
      <c r="AS570" s="1"/>
      <c r="AT570" s="1"/>
      <c r="AU570" s="1"/>
      <c r="AV570" s="1"/>
      <c r="AW570" s="1" t="s">
        <v>3725</v>
      </c>
      <c r="AX570" s="3">
        <v>290.55</v>
      </c>
      <c r="AY570" s="1"/>
      <c r="AZ570" s="1"/>
      <c r="BA570" s="1"/>
      <c r="BB570" s="1"/>
      <c r="BE570" s="67">
        <f t="shared" si="1"/>
        <v>0</v>
      </c>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t="s">
        <v>6491</v>
      </c>
      <c r="Z571" s="3">
        <v>290.55</v>
      </c>
      <c r="AA571" s="1"/>
      <c r="AB571" s="1"/>
      <c r="AC571" s="1"/>
      <c r="AD571" s="1"/>
      <c r="AE571" s="1"/>
      <c r="AF571" s="1"/>
      <c r="AG571" s="1"/>
      <c r="AH571" s="1"/>
      <c r="AI571" s="1"/>
      <c r="AJ571" s="1"/>
      <c r="AK571" s="1"/>
      <c r="AL571" s="1"/>
      <c r="AM571" s="1"/>
      <c r="AN571" s="1"/>
      <c r="AO571" s="1"/>
      <c r="AP571" s="1"/>
      <c r="AQ571" s="1"/>
      <c r="AR571" s="1"/>
      <c r="AS571" s="1"/>
      <c r="AT571" s="1"/>
      <c r="AU571" s="1"/>
      <c r="AV571" s="1"/>
      <c r="AW571" s="1" t="s">
        <v>6492</v>
      </c>
      <c r="AX571" s="3">
        <v>290.55</v>
      </c>
      <c r="AY571" s="1"/>
      <c r="AZ571" s="1"/>
      <c r="BA571" s="1"/>
      <c r="BB571" s="1"/>
      <c r="BE571" s="67">
        <f t="shared" si="1"/>
        <v>0</v>
      </c>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t="s">
        <v>6493</v>
      </c>
      <c r="Z572" s="3">
        <v>290.55</v>
      </c>
      <c r="AA572" s="1"/>
      <c r="AB572" s="1"/>
      <c r="AC572" s="1"/>
      <c r="AD572" s="1"/>
      <c r="AE572" s="1"/>
      <c r="AF572" s="1"/>
      <c r="AG572" s="1"/>
      <c r="AH572" s="1"/>
      <c r="AI572" s="1"/>
      <c r="AJ572" s="1"/>
      <c r="AK572" s="1"/>
      <c r="AL572" s="1"/>
      <c r="AM572" s="1"/>
      <c r="AN572" s="1"/>
      <c r="AO572" s="1"/>
      <c r="AP572" s="1"/>
      <c r="AQ572" s="1"/>
      <c r="AR572" s="1"/>
      <c r="AS572" s="1"/>
      <c r="AT572" s="1"/>
      <c r="AU572" s="1"/>
      <c r="AV572" s="1"/>
      <c r="AW572" s="1" t="s">
        <v>5311</v>
      </c>
      <c r="AX572" s="3">
        <v>290.55</v>
      </c>
      <c r="AY572" s="1"/>
      <c r="AZ572" s="1"/>
      <c r="BA572" s="1"/>
      <c r="BB572" s="1"/>
      <c r="BE572" s="67">
        <f t="shared" si="1"/>
        <v>0</v>
      </c>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t="s">
        <v>6494</v>
      </c>
      <c r="Z573" s="3">
        <v>290.55</v>
      </c>
      <c r="AA573" s="1"/>
      <c r="AB573" s="1"/>
      <c r="AC573" s="1"/>
      <c r="AD573" s="1"/>
      <c r="AE573" s="1"/>
      <c r="AF573" s="1"/>
      <c r="AG573" s="1"/>
      <c r="AH573" s="1"/>
      <c r="AI573" s="1"/>
      <c r="AJ573" s="1"/>
      <c r="AK573" s="1"/>
      <c r="AL573" s="1"/>
      <c r="AM573" s="1"/>
      <c r="AN573" s="1"/>
      <c r="AO573" s="1"/>
      <c r="AP573" s="1"/>
      <c r="AQ573" s="1"/>
      <c r="AR573" s="1"/>
      <c r="AS573" s="1"/>
      <c r="AT573" s="1"/>
      <c r="AU573" s="1"/>
      <c r="AV573" s="1"/>
      <c r="AW573" s="1" t="s">
        <v>4429</v>
      </c>
      <c r="AX573" s="3">
        <v>290.55</v>
      </c>
      <c r="AY573" s="1"/>
      <c r="AZ573" s="1"/>
      <c r="BA573" s="1"/>
      <c r="BB573" s="1"/>
      <c r="BE573" s="67">
        <f t="shared" si="1"/>
        <v>0</v>
      </c>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t="s">
        <v>6495</v>
      </c>
      <c r="Z574" s="3">
        <v>290.55</v>
      </c>
      <c r="AA574" s="1"/>
      <c r="AB574" s="1"/>
      <c r="AC574" s="1"/>
      <c r="AD574" s="1"/>
      <c r="AE574" s="1"/>
      <c r="AF574" s="1"/>
      <c r="AG574" s="1"/>
      <c r="AH574" s="1"/>
      <c r="AI574" s="1"/>
      <c r="AJ574" s="1"/>
      <c r="AK574" s="1"/>
      <c r="AL574" s="1"/>
      <c r="AM574" s="1"/>
      <c r="AN574" s="1"/>
      <c r="AO574" s="1"/>
      <c r="AP574" s="1"/>
      <c r="AQ574" s="1"/>
      <c r="AR574" s="1"/>
      <c r="AS574" s="1"/>
      <c r="AT574" s="1"/>
      <c r="AU574" s="1"/>
      <c r="AV574" s="1"/>
      <c r="AW574" s="1" t="s">
        <v>6496</v>
      </c>
      <c r="AX574" s="3">
        <v>290.55</v>
      </c>
      <c r="AY574" s="1"/>
      <c r="AZ574" s="1"/>
      <c r="BA574" s="1"/>
      <c r="BB574" s="1"/>
      <c r="BE574" s="67">
        <f t="shared" si="1"/>
        <v>0</v>
      </c>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t="s">
        <v>6497</v>
      </c>
      <c r="Z575" s="3">
        <v>290.55</v>
      </c>
      <c r="AA575" s="1"/>
      <c r="AB575" s="1"/>
      <c r="AC575" s="1"/>
      <c r="AD575" s="1"/>
      <c r="AE575" s="1"/>
      <c r="AF575" s="1"/>
      <c r="AG575" s="1"/>
      <c r="AH575" s="1"/>
      <c r="AI575" s="1"/>
      <c r="AJ575" s="1"/>
      <c r="AK575" s="1"/>
      <c r="AL575" s="1"/>
      <c r="AM575" s="1"/>
      <c r="AN575" s="1"/>
      <c r="AO575" s="1"/>
      <c r="AP575" s="1"/>
      <c r="AQ575" s="1"/>
      <c r="AR575" s="1"/>
      <c r="AS575" s="1"/>
      <c r="AT575" s="1"/>
      <c r="AU575" s="1"/>
      <c r="AV575" s="1"/>
      <c r="AW575" s="1" t="s">
        <v>6498</v>
      </c>
      <c r="AX575" s="3">
        <v>290.55</v>
      </c>
      <c r="AY575" s="1"/>
      <c r="AZ575" s="1"/>
      <c r="BA575" s="1"/>
      <c r="BB575" s="1"/>
      <c r="BE575" s="67">
        <f t="shared" si="1"/>
        <v>0</v>
      </c>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t="s">
        <v>6499</v>
      </c>
      <c r="Z576" s="3">
        <v>290.55</v>
      </c>
      <c r="AA576" s="1"/>
      <c r="AB576" s="1"/>
      <c r="AC576" s="1"/>
      <c r="AD576" s="1"/>
      <c r="AE576" s="1"/>
      <c r="AF576" s="1"/>
      <c r="AG576" s="1"/>
      <c r="AH576" s="1"/>
      <c r="AI576" s="1"/>
      <c r="AJ576" s="1"/>
      <c r="AK576" s="1"/>
      <c r="AL576" s="1"/>
      <c r="AM576" s="1"/>
      <c r="AN576" s="1"/>
      <c r="AO576" s="1"/>
      <c r="AP576" s="1"/>
      <c r="AQ576" s="1"/>
      <c r="AR576" s="1"/>
      <c r="AS576" s="1"/>
      <c r="AT576" s="1"/>
      <c r="AU576" s="1"/>
      <c r="AV576" s="1"/>
      <c r="AW576" s="1" t="s">
        <v>6500</v>
      </c>
      <c r="AX576" s="3">
        <v>290.55</v>
      </c>
      <c r="AY576" s="1"/>
      <c r="AZ576" s="1"/>
      <c r="BA576" s="1"/>
      <c r="BB576" s="1"/>
      <c r="BE576" s="67">
        <f t="shared" si="1"/>
        <v>0</v>
      </c>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t="s">
        <v>6501</v>
      </c>
      <c r="Z577" s="3">
        <v>290.55</v>
      </c>
      <c r="AA577" s="1"/>
      <c r="AB577" s="1"/>
      <c r="AC577" s="1"/>
      <c r="AD577" s="1"/>
      <c r="AE577" s="1"/>
      <c r="AF577" s="1"/>
      <c r="AG577" s="1"/>
      <c r="AH577" s="1"/>
      <c r="AI577" s="1"/>
      <c r="AJ577" s="1"/>
      <c r="AK577" s="1"/>
      <c r="AL577" s="1"/>
      <c r="AM577" s="1"/>
      <c r="AN577" s="1"/>
      <c r="AO577" s="1"/>
      <c r="AP577" s="1"/>
      <c r="AQ577" s="1"/>
      <c r="AR577" s="1"/>
      <c r="AS577" s="1"/>
      <c r="AT577" s="1"/>
      <c r="AU577" s="1"/>
      <c r="AV577" s="1"/>
      <c r="AW577" s="1" t="s">
        <v>6502</v>
      </c>
      <c r="AX577" s="3">
        <v>290.55</v>
      </c>
      <c r="AY577" s="1"/>
      <c r="AZ577" s="1"/>
      <c r="BA577" s="1"/>
      <c r="BB577" s="1"/>
      <c r="BE577" s="67">
        <f t="shared" si="1"/>
        <v>0</v>
      </c>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t="s">
        <v>6503</v>
      </c>
      <c r="Z578" s="3">
        <v>290.55</v>
      </c>
      <c r="AA578" s="1"/>
      <c r="AB578" s="1"/>
      <c r="AC578" s="1"/>
      <c r="AD578" s="1"/>
      <c r="AE578" s="1"/>
      <c r="AF578" s="1"/>
      <c r="AG578" s="1"/>
      <c r="AH578" s="1"/>
      <c r="AI578" s="1"/>
      <c r="AJ578" s="1"/>
      <c r="AK578" s="1"/>
      <c r="AL578" s="1"/>
      <c r="AM578" s="1"/>
      <c r="AN578" s="1"/>
      <c r="AO578" s="1"/>
      <c r="AP578" s="1"/>
      <c r="AQ578" s="1"/>
      <c r="AR578" s="1"/>
      <c r="AS578" s="1"/>
      <c r="AT578" s="1"/>
      <c r="AU578" s="1"/>
      <c r="AV578" s="1"/>
      <c r="AW578" s="1" t="s">
        <v>6504</v>
      </c>
      <c r="AX578" s="3">
        <v>290.55</v>
      </c>
      <c r="AY578" s="1"/>
      <c r="AZ578" s="1"/>
      <c r="BA578" s="1"/>
      <c r="BB578" s="1"/>
      <c r="BE578" s="67">
        <f t="shared" si="1"/>
        <v>0</v>
      </c>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t="s">
        <v>6505</v>
      </c>
      <c r="Z579" s="3">
        <v>290.55</v>
      </c>
      <c r="AA579" s="1"/>
      <c r="AB579" s="1"/>
      <c r="AC579" s="1"/>
      <c r="AD579" s="1"/>
      <c r="AE579" s="1"/>
      <c r="AF579" s="1"/>
      <c r="AG579" s="1"/>
      <c r="AH579" s="1"/>
      <c r="AI579" s="1"/>
      <c r="AJ579" s="1"/>
      <c r="AK579" s="1"/>
      <c r="AL579" s="1"/>
      <c r="AM579" s="1"/>
      <c r="AN579" s="1"/>
      <c r="AO579" s="1"/>
      <c r="AP579" s="1"/>
      <c r="AQ579" s="1"/>
      <c r="AR579" s="1"/>
      <c r="AS579" s="1"/>
      <c r="AT579" s="1"/>
      <c r="AU579" s="1"/>
      <c r="AV579" s="1"/>
      <c r="AW579" s="1" t="s">
        <v>6506</v>
      </c>
      <c r="AX579" s="3">
        <v>290.55</v>
      </c>
      <c r="AY579" s="1"/>
      <c r="AZ579" s="1"/>
      <c r="BA579" s="1"/>
      <c r="BB579" s="1"/>
      <c r="BE579" s="67">
        <f t="shared" si="1"/>
        <v>0</v>
      </c>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t="s">
        <v>6507</v>
      </c>
      <c r="Z580" s="3">
        <v>290.55</v>
      </c>
      <c r="AA580" s="1"/>
      <c r="AB580" s="1"/>
      <c r="AC580" s="1"/>
      <c r="AD580" s="1"/>
      <c r="AE580" s="1"/>
      <c r="AF580" s="1"/>
      <c r="AG580" s="1"/>
      <c r="AH580" s="1"/>
      <c r="AI580" s="1"/>
      <c r="AJ580" s="1"/>
      <c r="AK580" s="1"/>
      <c r="AL580" s="1"/>
      <c r="AM580" s="1"/>
      <c r="AN580" s="1"/>
      <c r="AO580" s="1"/>
      <c r="AP580" s="1"/>
      <c r="AQ580" s="1"/>
      <c r="AR580" s="1"/>
      <c r="AS580" s="1"/>
      <c r="AT580" s="1"/>
      <c r="AU580" s="1"/>
      <c r="AV580" s="1"/>
      <c r="AW580" s="1" t="s">
        <v>5152</v>
      </c>
      <c r="AX580" s="3">
        <v>290.55</v>
      </c>
      <c r="AY580" s="1"/>
      <c r="AZ580" s="1"/>
      <c r="BA580" s="1"/>
      <c r="BB580" s="1"/>
      <c r="BE580" s="67">
        <f t="shared" si="1"/>
        <v>0</v>
      </c>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t="s">
        <v>6508</v>
      </c>
      <c r="Z581" s="3">
        <v>290.55</v>
      </c>
      <c r="AA581" s="1"/>
      <c r="AB581" s="1"/>
      <c r="AC581" s="1"/>
      <c r="AD581" s="1"/>
      <c r="AE581" s="1"/>
      <c r="AF581" s="1"/>
      <c r="AG581" s="1"/>
      <c r="AH581" s="1"/>
      <c r="AI581" s="1"/>
      <c r="AJ581" s="1"/>
      <c r="AK581" s="1"/>
      <c r="AL581" s="1"/>
      <c r="AM581" s="1"/>
      <c r="AN581" s="1"/>
      <c r="AO581" s="1"/>
      <c r="AP581" s="1"/>
      <c r="AQ581" s="1"/>
      <c r="AR581" s="1"/>
      <c r="AS581" s="1"/>
      <c r="AT581" s="1"/>
      <c r="AU581" s="1"/>
      <c r="AV581" s="1"/>
      <c r="AW581" s="1" t="s">
        <v>6509</v>
      </c>
      <c r="AX581" s="3">
        <v>290.55</v>
      </c>
      <c r="AY581" s="1"/>
      <c r="AZ581" s="1"/>
      <c r="BA581" s="1"/>
      <c r="BB581" s="1"/>
      <c r="BE581" s="67">
        <f t="shared" si="1"/>
        <v>0</v>
      </c>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t="s">
        <v>6510</v>
      </c>
      <c r="Z582" s="3">
        <v>290.55</v>
      </c>
      <c r="AA582" s="1"/>
      <c r="AB582" s="1"/>
      <c r="AC582" s="1"/>
      <c r="AD582" s="1"/>
      <c r="AE582" s="1"/>
      <c r="AF582" s="1"/>
      <c r="AG582" s="1"/>
      <c r="AH582" s="1"/>
      <c r="AI582" s="1"/>
      <c r="AJ582" s="1"/>
      <c r="AK582" s="1"/>
      <c r="AL582" s="1"/>
      <c r="AM582" s="1"/>
      <c r="AN582" s="1"/>
      <c r="AO582" s="1"/>
      <c r="AP582" s="1"/>
      <c r="AQ582" s="1"/>
      <c r="AR582" s="1"/>
      <c r="AS582" s="1"/>
      <c r="AT582" s="1"/>
      <c r="AU582" s="1"/>
      <c r="AV582" s="1"/>
      <c r="AW582" s="1" t="s">
        <v>6511</v>
      </c>
      <c r="AX582" s="3">
        <v>290.55</v>
      </c>
      <c r="AY582" s="1"/>
      <c r="AZ582" s="1"/>
      <c r="BA582" s="1"/>
      <c r="BB582" s="1"/>
      <c r="BE582" s="67">
        <f t="shared" si="1"/>
        <v>0</v>
      </c>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t="s">
        <v>6512</v>
      </c>
      <c r="Z583" s="3">
        <v>290.55</v>
      </c>
      <c r="AA583" s="1"/>
      <c r="AB583" s="1"/>
      <c r="AC583" s="1"/>
      <c r="AD583" s="1"/>
      <c r="AE583" s="1"/>
      <c r="AF583" s="1"/>
      <c r="AG583" s="1"/>
      <c r="AH583" s="1"/>
      <c r="AI583" s="1"/>
      <c r="AJ583" s="1"/>
      <c r="AK583" s="1"/>
      <c r="AL583" s="1"/>
      <c r="AM583" s="1"/>
      <c r="AN583" s="1"/>
      <c r="AO583" s="1"/>
      <c r="AP583" s="1"/>
      <c r="AQ583" s="1"/>
      <c r="AR583" s="1"/>
      <c r="AS583" s="1"/>
      <c r="AT583" s="1"/>
      <c r="AU583" s="1"/>
      <c r="AV583" s="1"/>
      <c r="AW583" s="1" t="s">
        <v>6513</v>
      </c>
      <c r="AX583" s="3">
        <v>290.55</v>
      </c>
      <c r="AY583" s="1"/>
      <c r="AZ583" s="1"/>
      <c r="BA583" s="1"/>
      <c r="BB583" s="1"/>
      <c r="BE583" s="67">
        <f t="shared" si="1"/>
        <v>0</v>
      </c>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t="s">
        <v>6514</v>
      </c>
      <c r="Z584" s="3">
        <v>290.55</v>
      </c>
      <c r="AA584" s="1"/>
      <c r="AB584" s="1"/>
      <c r="AC584" s="1"/>
      <c r="AD584" s="1"/>
      <c r="AE584" s="1"/>
      <c r="AF584" s="1"/>
      <c r="AG584" s="1"/>
      <c r="AH584" s="1"/>
      <c r="AI584" s="1"/>
      <c r="AJ584" s="1"/>
      <c r="AK584" s="1"/>
      <c r="AL584" s="1"/>
      <c r="AM584" s="1"/>
      <c r="AN584" s="1"/>
      <c r="AO584" s="1"/>
      <c r="AP584" s="1"/>
      <c r="AQ584" s="1"/>
      <c r="AR584" s="1"/>
      <c r="AS584" s="1"/>
      <c r="AT584" s="1"/>
      <c r="AU584" s="1"/>
      <c r="AV584" s="1"/>
      <c r="AW584" s="1" t="s">
        <v>6515</v>
      </c>
      <c r="AX584" s="3">
        <v>290.55</v>
      </c>
      <c r="AY584" s="1"/>
      <c r="AZ584" s="1"/>
      <c r="BA584" s="1"/>
      <c r="BB584" s="1"/>
      <c r="BE584" s="67">
        <f t="shared" si="1"/>
        <v>0</v>
      </c>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t="s">
        <v>6516</v>
      </c>
      <c r="Z585" s="3">
        <v>290.55</v>
      </c>
      <c r="AA585" s="1"/>
      <c r="AB585" s="1"/>
      <c r="AC585" s="1"/>
      <c r="AD585" s="1"/>
      <c r="AE585" s="1"/>
      <c r="AF585" s="1"/>
      <c r="AG585" s="1"/>
      <c r="AH585" s="1"/>
      <c r="AI585" s="1"/>
      <c r="AJ585" s="1"/>
      <c r="AK585" s="1"/>
      <c r="AL585" s="1"/>
      <c r="AM585" s="1"/>
      <c r="AN585" s="1"/>
      <c r="AO585" s="1"/>
      <c r="AP585" s="1"/>
      <c r="AQ585" s="1"/>
      <c r="AR585" s="1"/>
      <c r="AS585" s="1"/>
      <c r="AT585" s="1"/>
      <c r="AU585" s="1"/>
      <c r="AV585" s="1"/>
      <c r="AW585" s="1" t="s">
        <v>6517</v>
      </c>
      <c r="AX585" s="3">
        <v>290.55</v>
      </c>
      <c r="AY585" s="1"/>
      <c r="AZ585" s="1"/>
      <c r="BA585" s="1"/>
      <c r="BB585" s="1"/>
      <c r="BE585" s="67">
        <f t="shared" si="1"/>
        <v>0</v>
      </c>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t="s">
        <v>6518</v>
      </c>
      <c r="Z586" s="3">
        <v>290.55</v>
      </c>
      <c r="AA586" s="1"/>
      <c r="AB586" s="1"/>
      <c r="AC586" s="1"/>
      <c r="AD586" s="1"/>
      <c r="AE586" s="1"/>
      <c r="AF586" s="1"/>
      <c r="AG586" s="1"/>
      <c r="AH586" s="1"/>
      <c r="AI586" s="1"/>
      <c r="AJ586" s="1"/>
      <c r="AK586" s="1"/>
      <c r="AL586" s="1"/>
      <c r="AM586" s="1"/>
      <c r="AN586" s="1"/>
      <c r="AO586" s="1"/>
      <c r="AP586" s="1"/>
      <c r="AQ586" s="1"/>
      <c r="AR586" s="1"/>
      <c r="AS586" s="1"/>
      <c r="AT586" s="1"/>
      <c r="AU586" s="1"/>
      <c r="AV586" s="1"/>
      <c r="AW586" s="1" t="s">
        <v>6519</v>
      </c>
      <c r="AX586" s="3">
        <v>290.55</v>
      </c>
      <c r="AY586" s="1"/>
      <c r="AZ586" s="1"/>
      <c r="BA586" s="1"/>
      <c r="BB586" s="1"/>
      <c r="BE586" s="67">
        <f t="shared" si="1"/>
        <v>0</v>
      </c>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t="s">
        <v>6520</v>
      </c>
      <c r="Z587" s="3">
        <v>290.55</v>
      </c>
      <c r="AA587" s="1"/>
      <c r="AB587" s="1"/>
      <c r="AC587" s="1"/>
      <c r="AD587" s="1"/>
      <c r="AE587" s="1"/>
      <c r="AF587" s="1"/>
      <c r="AG587" s="1"/>
      <c r="AH587" s="1"/>
      <c r="AI587" s="1"/>
      <c r="AJ587" s="1"/>
      <c r="AK587" s="1"/>
      <c r="AL587" s="1"/>
      <c r="AM587" s="1"/>
      <c r="AN587" s="1"/>
      <c r="AO587" s="1"/>
      <c r="AP587" s="1"/>
      <c r="AQ587" s="1"/>
      <c r="AR587" s="1"/>
      <c r="AS587" s="1"/>
      <c r="AT587" s="1"/>
      <c r="AU587" s="1"/>
      <c r="AV587" s="1"/>
      <c r="AW587" s="1" t="s">
        <v>6521</v>
      </c>
      <c r="AX587" s="3">
        <v>290.55</v>
      </c>
      <c r="AY587" s="1"/>
      <c r="AZ587" s="1"/>
      <c r="BA587" s="1"/>
      <c r="BB587" s="1"/>
      <c r="BE587" s="67">
        <f t="shared" si="1"/>
        <v>0</v>
      </c>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t="s">
        <v>6522</v>
      </c>
      <c r="Z588" s="3">
        <v>290.55</v>
      </c>
      <c r="AA588" s="1"/>
      <c r="AB588" s="1"/>
      <c r="AC588" s="1"/>
      <c r="AD588" s="1"/>
      <c r="AE588" s="1"/>
      <c r="AF588" s="1"/>
      <c r="AG588" s="1"/>
      <c r="AH588" s="1"/>
      <c r="AI588" s="1"/>
      <c r="AJ588" s="1"/>
      <c r="AK588" s="1"/>
      <c r="AL588" s="1"/>
      <c r="AM588" s="1"/>
      <c r="AN588" s="1"/>
      <c r="AO588" s="1"/>
      <c r="AP588" s="1"/>
      <c r="AQ588" s="1"/>
      <c r="AR588" s="1"/>
      <c r="AS588" s="1"/>
      <c r="AT588" s="1"/>
      <c r="AU588" s="1"/>
      <c r="AV588" s="1"/>
      <c r="AW588" s="1" t="s">
        <v>6523</v>
      </c>
      <c r="AX588" s="3">
        <v>290.55</v>
      </c>
      <c r="AY588" s="1"/>
      <c r="AZ588" s="1"/>
      <c r="BA588" s="1"/>
      <c r="BB588" s="1"/>
      <c r="BE588" s="67">
        <f t="shared" si="1"/>
        <v>0</v>
      </c>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t="s">
        <v>6524</v>
      </c>
      <c r="Z589" s="3">
        <v>290.55</v>
      </c>
      <c r="AA589" s="1"/>
      <c r="AB589" s="1"/>
      <c r="AC589" s="1"/>
      <c r="AD589" s="1"/>
      <c r="AE589" s="1"/>
      <c r="AF589" s="1"/>
      <c r="AG589" s="1"/>
      <c r="AH589" s="1"/>
      <c r="AI589" s="1"/>
      <c r="AJ589" s="1"/>
      <c r="AK589" s="1"/>
      <c r="AL589" s="1"/>
      <c r="AM589" s="1"/>
      <c r="AN589" s="1"/>
      <c r="AO589" s="1"/>
      <c r="AP589" s="1"/>
      <c r="AQ589" s="1"/>
      <c r="AR589" s="1"/>
      <c r="AS589" s="1"/>
      <c r="AT589" s="1"/>
      <c r="AU589" s="1"/>
      <c r="AV589" s="1"/>
      <c r="AW589" s="1" t="s">
        <v>6525</v>
      </c>
      <c r="AX589" s="3">
        <v>290.55</v>
      </c>
      <c r="AY589" s="1"/>
      <c r="AZ589" s="1"/>
      <c r="BA589" s="1"/>
      <c r="BB589" s="1"/>
      <c r="BE589" s="67">
        <f t="shared" si="1"/>
        <v>0</v>
      </c>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t="s">
        <v>6526</v>
      </c>
      <c r="Z590" s="3">
        <v>290.55</v>
      </c>
      <c r="AA590" s="1"/>
      <c r="AB590" s="1"/>
      <c r="AC590" s="1"/>
      <c r="AD590" s="1"/>
      <c r="AE590" s="1"/>
      <c r="AF590" s="1"/>
      <c r="AG590" s="1"/>
      <c r="AH590" s="1"/>
      <c r="AI590" s="1"/>
      <c r="AJ590" s="1"/>
      <c r="AK590" s="1"/>
      <c r="AL590" s="1"/>
      <c r="AM590" s="1"/>
      <c r="AN590" s="1"/>
      <c r="AO590" s="1"/>
      <c r="AP590" s="1"/>
      <c r="AQ590" s="1"/>
      <c r="AR590" s="1"/>
      <c r="AS590" s="1"/>
      <c r="AT590" s="1"/>
      <c r="AU590" s="1"/>
      <c r="AV590" s="1"/>
      <c r="AW590" s="1" t="s">
        <v>6527</v>
      </c>
      <c r="AX590" s="3">
        <v>290.55</v>
      </c>
      <c r="AY590" s="1"/>
      <c r="AZ590" s="1"/>
      <c r="BA590" s="1"/>
      <c r="BB590" s="1"/>
      <c r="BE590" s="67">
        <f t="shared" si="1"/>
        <v>0</v>
      </c>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t="s">
        <v>6528</v>
      </c>
      <c r="Z591" s="3">
        <v>290.55</v>
      </c>
      <c r="AA591" s="1"/>
      <c r="AB591" s="1"/>
      <c r="AC591" s="1"/>
      <c r="AD591" s="1"/>
      <c r="AE591" s="1"/>
      <c r="AF591" s="1"/>
      <c r="AG591" s="1"/>
      <c r="AH591" s="1"/>
      <c r="AI591" s="1"/>
      <c r="AJ591" s="1"/>
      <c r="AK591" s="1"/>
      <c r="AL591" s="1"/>
      <c r="AM591" s="1"/>
      <c r="AN591" s="1"/>
      <c r="AO591" s="1"/>
      <c r="AP591" s="1"/>
      <c r="AQ591" s="1"/>
      <c r="AR591" s="1"/>
      <c r="AS591" s="1"/>
      <c r="AT591" s="1"/>
      <c r="AU591" s="1"/>
      <c r="AV591" s="1"/>
      <c r="AW591" s="1" t="s">
        <v>3010</v>
      </c>
      <c r="AX591" s="3">
        <v>290.55</v>
      </c>
      <c r="AY591" s="1"/>
      <c r="AZ591" s="1"/>
      <c r="BA591" s="1"/>
      <c r="BB591" s="1"/>
      <c r="BE591" s="67">
        <f t="shared" si="1"/>
        <v>0</v>
      </c>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t="s">
        <v>6529</v>
      </c>
      <c r="Z592" s="3">
        <v>290.55</v>
      </c>
      <c r="AA592" s="1"/>
      <c r="AB592" s="1"/>
      <c r="AC592" s="1"/>
      <c r="AD592" s="1"/>
      <c r="AE592" s="1"/>
      <c r="AF592" s="1"/>
      <c r="AG592" s="1"/>
      <c r="AH592" s="1"/>
      <c r="AI592" s="1"/>
      <c r="AJ592" s="1"/>
      <c r="AK592" s="1"/>
      <c r="AL592" s="1"/>
      <c r="AM592" s="1"/>
      <c r="AN592" s="1"/>
      <c r="AO592" s="1"/>
      <c r="AP592" s="1"/>
      <c r="AQ592" s="1"/>
      <c r="AR592" s="1"/>
      <c r="AS592" s="1"/>
      <c r="AT592" s="1"/>
      <c r="AU592" s="1"/>
      <c r="AV592" s="1"/>
      <c r="AW592" s="1" t="s">
        <v>6530</v>
      </c>
      <c r="AX592" s="3">
        <v>290.55</v>
      </c>
      <c r="AY592" s="1"/>
      <c r="AZ592" s="1"/>
      <c r="BA592" s="1"/>
      <c r="BB592" s="1"/>
      <c r="BE592" s="67">
        <f t="shared" si="1"/>
        <v>0</v>
      </c>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t="s">
        <v>6531</v>
      </c>
      <c r="Z593" s="3">
        <v>290.55</v>
      </c>
      <c r="AA593" s="1"/>
      <c r="AB593" s="1"/>
      <c r="AC593" s="1"/>
      <c r="AD593" s="1"/>
      <c r="AE593" s="1"/>
      <c r="AF593" s="1"/>
      <c r="AG593" s="1"/>
      <c r="AH593" s="1"/>
      <c r="AI593" s="1"/>
      <c r="AJ593" s="1"/>
      <c r="AK593" s="1"/>
      <c r="AL593" s="1"/>
      <c r="AM593" s="1"/>
      <c r="AN593" s="1"/>
      <c r="AO593" s="1"/>
      <c r="AP593" s="1"/>
      <c r="AQ593" s="1"/>
      <c r="AR593" s="1"/>
      <c r="AS593" s="1"/>
      <c r="AT593" s="1"/>
      <c r="AU593" s="1"/>
      <c r="AV593" s="1"/>
      <c r="AW593" s="1" t="s">
        <v>6532</v>
      </c>
      <c r="AX593" s="3">
        <v>290.55</v>
      </c>
      <c r="AY593" s="1"/>
      <c r="AZ593" s="1"/>
      <c r="BA593" s="1"/>
      <c r="BB593" s="1"/>
      <c r="BE593" s="67">
        <f t="shared" si="1"/>
        <v>0</v>
      </c>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t="s">
        <v>6533</v>
      </c>
      <c r="Z594" s="3">
        <v>290.55</v>
      </c>
      <c r="AA594" s="1"/>
      <c r="AB594" s="1"/>
      <c r="AC594" s="1"/>
      <c r="AD594" s="1"/>
      <c r="AE594" s="1"/>
      <c r="AF594" s="1"/>
      <c r="AG594" s="1"/>
      <c r="AH594" s="1"/>
      <c r="AI594" s="1"/>
      <c r="AJ594" s="1"/>
      <c r="AK594" s="1"/>
      <c r="AL594" s="1"/>
      <c r="AM594" s="1"/>
      <c r="AN594" s="1"/>
      <c r="AO594" s="1"/>
      <c r="AP594" s="1"/>
      <c r="AQ594" s="1"/>
      <c r="AR594" s="1"/>
      <c r="AS594" s="1"/>
      <c r="AT594" s="1"/>
      <c r="AU594" s="1"/>
      <c r="AV594" s="1"/>
      <c r="AW594" s="1" t="s">
        <v>6534</v>
      </c>
      <c r="AX594" s="3">
        <v>290.55</v>
      </c>
      <c r="AY594" s="1"/>
      <c r="AZ594" s="1"/>
      <c r="BA594" s="1"/>
      <c r="BB594" s="1"/>
      <c r="BE594" s="67">
        <f t="shared" si="1"/>
        <v>0</v>
      </c>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t="s">
        <v>6535</v>
      </c>
      <c r="Z595" s="3">
        <v>290.55</v>
      </c>
      <c r="AA595" s="1"/>
      <c r="AB595" s="1"/>
      <c r="AC595" s="1"/>
      <c r="AD595" s="1"/>
      <c r="AE595" s="1"/>
      <c r="AF595" s="1"/>
      <c r="AG595" s="1"/>
      <c r="AH595" s="1"/>
      <c r="AI595" s="1"/>
      <c r="AJ595" s="1"/>
      <c r="AK595" s="1"/>
      <c r="AL595" s="1"/>
      <c r="AM595" s="1"/>
      <c r="AN595" s="1"/>
      <c r="AO595" s="1"/>
      <c r="AP595" s="1"/>
      <c r="AQ595" s="1"/>
      <c r="AR595" s="1"/>
      <c r="AS595" s="1"/>
      <c r="AT595" s="1"/>
      <c r="AU595" s="1"/>
      <c r="AV595" s="1"/>
      <c r="AW595" s="1" t="s">
        <v>6536</v>
      </c>
      <c r="AX595" s="3">
        <v>290.55</v>
      </c>
      <c r="AY595" s="1"/>
      <c r="AZ595" s="1"/>
      <c r="BA595" s="1"/>
      <c r="BB595" s="1"/>
      <c r="BE595" s="67">
        <f t="shared" si="1"/>
        <v>0</v>
      </c>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t="s">
        <v>6537</v>
      </c>
      <c r="Z596" s="3">
        <v>290.55</v>
      </c>
      <c r="AA596" s="1"/>
      <c r="AB596" s="1"/>
      <c r="AC596" s="1"/>
      <c r="AD596" s="1"/>
      <c r="AE596" s="1"/>
      <c r="AF596" s="1"/>
      <c r="AG596" s="1"/>
      <c r="AH596" s="1"/>
      <c r="AI596" s="1"/>
      <c r="AJ596" s="1"/>
      <c r="AK596" s="1"/>
      <c r="AL596" s="1"/>
      <c r="AM596" s="1"/>
      <c r="AN596" s="1"/>
      <c r="AO596" s="1"/>
      <c r="AP596" s="1"/>
      <c r="AQ596" s="1"/>
      <c r="AR596" s="1"/>
      <c r="AS596" s="1"/>
      <c r="AT596" s="1"/>
      <c r="AU596" s="1"/>
      <c r="AV596" s="1"/>
      <c r="AW596" s="1" t="s">
        <v>6538</v>
      </c>
      <c r="AX596" s="3">
        <v>290.55</v>
      </c>
      <c r="AY596" s="1"/>
      <c r="AZ596" s="1"/>
      <c r="BA596" s="1"/>
      <c r="BB596" s="1"/>
      <c r="BE596" s="67">
        <f t="shared" si="1"/>
        <v>0</v>
      </c>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t="s">
        <v>6539</v>
      </c>
      <c r="Z597" s="3">
        <v>290.55</v>
      </c>
      <c r="AA597" s="1"/>
      <c r="AB597" s="1"/>
      <c r="AC597" s="1"/>
      <c r="AD597" s="1"/>
      <c r="AE597" s="1"/>
      <c r="AF597" s="1"/>
      <c r="AG597" s="1"/>
      <c r="AH597" s="1"/>
      <c r="AI597" s="1"/>
      <c r="AJ597" s="1"/>
      <c r="AK597" s="1"/>
      <c r="AL597" s="1"/>
      <c r="AM597" s="1"/>
      <c r="AN597" s="1"/>
      <c r="AO597" s="1"/>
      <c r="AP597" s="1"/>
      <c r="AQ597" s="1"/>
      <c r="AR597" s="1"/>
      <c r="AS597" s="1"/>
      <c r="AT597" s="1"/>
      <c r="AU597" s="1"/>
      <c r="AV597" s="1"/>
      <c r="AW597" s="1" t="s">
        <v>6540</v>
      </c>
      <c r="AX597" s="3">
        <v>290.55</v>
      </c>
      <c r="AY597" s="1"/>
      <c r="AZ597" s="1"/>
      <c r="BA597" s="1"/>
      <c r="BB597" s="1"/>
      <c r="BE597" s="67">
        <f t="shared" si="1"/>
        <v>0</v>
      </c>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t="s">
        <v>6541</v>
      </c>
      <c r="Z598" s="3">
        <v>290.55</v>
      </c>
      <c r="AA598" s="1"/>
      <c r="AB598" s="1"/>
      <c r="AC598" s="1"/>
      <c r="AD598" s="1"/>
      <c r="AE598" s="1"/>
      <c r="AF598" s="1"/>
      <c r="AG598" s="1"/>
      <c r="AH598" s="1"/>
      <c r="AI598" s="1"/>
      <c r="AJ598" s="1"/>
      <c r="AK598" s="1"/>
      <c r="AL598" s="1"/>
      <c r="AM598" s="1"/>
      <c r="AN598" s="1"/>
      <c r="AO598" s="1"/>
      <c r="AP598" s="1"/>
      <c r="AQ598" s="1"/>
      <c r="AR598" s="1"/>
      <c r="AS598" s="1"/>
      <c r="AT598" s="1"/>
      <c r="AU598" s="1"/>
      <c r="AV598" s="1"/>
      <c r="AW598" s="1" t="s">
        <v>6542</v>
      </c>
      <c r="AX598" s="3">
        <v>290.55</v>
      </c>
      <c r="AY598" s="1"/>
      <c r="AZ598" s="1"/>
      <c r="BA598" s="1"/>
      <c r="BB598" s="1"/>
      <c r="BE598" s="67">
        <f t="shared" si="1"/>
        <v>0</v>
      </c>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t="s">
        <v>6543</v>
      </c>
      <c r="Z599" s="3">
        <v>290.55</v>
      </c>
      <c r="AA599" s="1"/>
      <c r="AB599" s="1"/>
      <c r="AC599" s="1"/>
      <c r="AD599" s="1"/>
      <c r="AE599" s="1"/>
      <c r="AF599" s="1"/>
      <c r="AG599" s="1"/>
      <c r="AH599" s="1"/>
      <c r="AI599" s="1"/>
      <c r="AJ599" s="1"/>
      <c r="AK599" s="1"/>
      <c r="AL599" s="1"/>
      <c r="AM599" s="1"/>
      <c r="AN599" s="1"/>
      <c r="AO599" s="1"/>
      <c r="AP599" s="1"/>
      <c r="AQ599" s="1"/>
      <c r="AR599" s="1"/>
      <c r="AS599" s="1"/>
      <c r="AT599" s="1"/>
      <c r="AU599" s="1"/>
      <c r="AV599" s="1"/>
      <c r="AW599" s="1" t="s">
        <v>6544</v>
      </c>
      <c r="AX599" s="3">
        <v>290.55</v>
      </c>
      <c r="AY599" s="1"/>
      <c r="AZ599" s="1"/>
      <c r="BA599" s="1"/>
      <c r="BB599" s="1"/>
      <c r="BE599" s="67">
        <f t="shared" si="1"/>
        <v>0</v>
      </c>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t="s">
        <v>6545</v>
      </c>
      <c r="Z600" s="3">
        <v>290.55</v>
      </c>
      <c r="AA600" s="1"/>
      <c r="AB600" s="1"/>
      <c r="AC600" s="1"/>
      <c r="AD600" s="1"/>
      <c r="AE600" s="1"/>
      <c r="AF600" s="1"/>
      <c r="AG600" s="1"/>
      <c r="AH600" s="1"/>
      <c r="AI600" s="1"/>
      <c r="AJ600" s="1"/>
      <c r="AK600" s="1"/>
      <c r="AL600" s="1"/>
      <c r="AM600" s="1"/>
      <c r="AN600" s="1"/>
      <c r="AO600" s="1"/>
      <c r="AP600" s="1"/>
      <c r="AQ600" s="1"/>
      <c r="AR600" s="1"/>
      <c r="AS600" s="1"/>
      <c r="AT600" s="1"/>
      <c r="AU600" s="1"/>
      <c r="AV600" s="1"/>
      <c r="AW600" s="1" t="s">
        <v>6546</v>
      </c>
      <c r="AX600" s="3">
        <v>290.55</v>
      </c>
      <c r="AY600" s="1"/>
      <c r="AZ600" s="1"/>
      <c r="BA600" s="1"/>
      <c r="BB600" s="1"/>
      <c r="BE600" s="67">
        <f t="shared" si="1"/>
        <v>0</v>
      </c>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t="s">
        <v>6547</v>
      </c>
      <c r="Z601" s="3">
        <v>290.55</v>
      </c>
      <c r="AA601" s="1"/>
      <c r="AB601" s="1"/>
      <c r="AC601" s="1"/>
      <c r="AD601" s="1"/>
      <c r="AE601" s="1"/>
      <c r="AF601" s="1"/>
      <c r="AG601" s="1"/>
      <c r="AH601" s="1"/>
      <c r="AI601" s="1"/>
      <c r="AJ601" s="1"/>
      <c r="AK601" s="1"/>
      <c r="AL601" s="1"/>
      <c r="AM601" s="1"/>
      <c r="AN601" s="1"/>
      <c r="AO601" s="1"/>
      <c r="AP601" s="1"/>
      <c r="AQ601" s="1"/>
      <c r="AR601" s="1"/>
      <c r="AS601" s="1"/>
      <c r="AT601" s="1"/>
      <c r="AU601" s="1"/>
      <c r="AV601" s="1"/>
      <c r="AW601" s="1" t="s">
        <v>6548</v>
      </c>
      <c r="AX601" s="3">
        <v>290.55</v>
      </c>
      <c r="AY601" s="1"/>
      <c r="AZ601" s="1"/>
      <c r="BA601" s="1"/>
      <c r="BB601" s="1"/>
      <c r="BE601" s="67">
        <f t="shared" si="1"/>
        <v>0</v>
      </c>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t="s">
        <v>6549</v>
      </c>
      <c r="Z602" s="3">
        <v>290.55</v>
      </c>
      <c r="AA602" s="1"/>
      <c r="AB602" s="1"/>
      <c r="AC602" s="1"/>
      <c r="AD602" s="1"/>
      <c r="AE602" s="1"/>
      <c r="AF602" s="1"/>
      <c r="AG602" s="1"/>
      <c r="AH602" s="1"/>
      <c r="AI602" s="1"/>
      <c r="AJ602" s="1"/>
      <c r="AK602" s="1"/>
      <c r="AL602" s="1"/>
      <c r="AM602" s="1"/>
      <c r="AN602" s="1"/>
      <c r="AO602" s="1"/>
      <c r="AP602" s="1"/>
      <c r="AQ602" s="1"/>
      <c r="AR602" s="1"/>
      <c r="AS602" s="1"/>
      <c r="AT602" s="1"/>
      <c r="AU602" s="1"/>
      <c r="AV602" s="1"/>
      <c r="AW602" s="1" t="s">
        <v>6550</v>
      </c>
      <c r="AX602" s="3">
        <v>290.55</v>
      </c>
      <c r="AY602" s="1"/>
      <c r="AZ602" s="1"/>
      <c r="BA602" s="1"/>
      <c r="BB602" s="1"/>
      <c r="BE602" s="67">
        <f t="shared" si="1"/>
        <v>0</v>
      </c>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t="s">
        <v>6551</v>
      </c>
      <c r="Z603" s="3">
        <v>290.55</v>
      </c>
      <c r="AA603" s="1"/>
      <c r="AB603" s="1"/>
      <c r="AC603" s="1"/>
      <c r="AD603" s="1"/>
      <c r="AE603" s="1"/>
      <c r="AF603" s="1"/>
      <c r="AG603" s="1"/>
      <c r="AH603" s="1"/>
      <c r="AI603" s="1"/>
      <c r="AJ603" s="1"/>
      <c r="AK603" s="1"/>
      <c r="AL603" s="1"/>
      <c r="AM603" s="1"/>
      <c r="AN603" s="1"/>
      <c r="AO603" s="1"/>
      <c r="AP603" s="1"/>
      <c r="AQ603" s="1"/>
      <c r="AR603" s="1"/>
      <c r="AS603" s="1"/>
      <c r="AT603" s="1"/>
      <c r="AU603" s="1"/>
      <c r="AV603" s="1"/>
      <c r="AW603" s="1" t="s">
        <v>6552</v>
      </c>
      <c r="AX603" s="3">
        <v>290.55</v>
      </c>
      <c r="AY603" s="1"/>
      <c r="AZ603" s="1"/>
      <c r="BA603" s="1"/>
      <c r="BB603" s="1"/>
      <c r="BE603" s="67">
        <f t="shared" si="1"/>
        <v>0</v>
      </c>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t="s">
        <v>6553</v>
      </c>
      <c r="Z604" s="3">
        <v>290.55</v>
      </c>
      <c r="AA604" s="1"/>
      <c r="AB604" s="1"/>
      <c r="AC604" s="1"/>
      <c r="AD604" s="1"/>
      <c r="AE604" s="1"/>
      <c r="AF604" s="1"/>
      <c r="AG604" s="1"/>
      <c r="AH604" s="1"/>
      <c r="AI604" s="1"/>
      <c r="AJ604" s="1"/>
      <c r="AK604" s="1"/>
      <c r="AL604" s="1"/>
      <c r="AM604" s="1"/>
      <c r="AN604" s="1"/>
      <c r="AO604" s="1"/>
      <c r="AP604" s="1"/>
      <c r="AQ604" s="1"/>
      <c r="AR604" s="1"/>
      <c r="AS604" s="1"/>
      <c r="AT604" s="1"/>
      <c r="AU604" s="1"/>
      <c r="AV604" s="1"/>
      <c r="AW604" s="1" t="s">
        <v>6554</v>
      </c>
      <c r="AX604" s="3">
        <v>290.55</v>
      </c>
      <c r="AY604" s="1"/>
      <c r="AZ604" s="1"/>
      <c r="BA604" s="1"/>
      <c r="BB604" s="1"/>
      <c r="BE604" s="67">
        <f t="shared" si="1"/>
        <v>0</v>
      </c>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t="s">
        <v>6555</v>
      </c>
      <c r="Z605" s="3">
        <v>290.55</v>
      </c>
      <c r="AA605" s="1"/>
      <c r="AB605" s="1"/>
      <c r="AC605" s="1"/>
      <c r="AD605" s="1"/>
      <c r="AE605" s="1"/>
      <c r="AF605" s="1"/>
      <c r="AG605" s="1"/>
      <c r="AH605" s="1"/>
      <c r="AI605" s="1"/>
      <c r="AJ605" s="1"/>
      <c r="AK605" s="1"/>
      <c r="AL605" s="1"/>
      <c r="AM605" s="1"/>
      <c r="AN605" s="1"/>
      <c r="AO605" s="1"/>
      <c r="AP605" s="1"/>
      <c r="AQ605" s="1"/>
      <c r="AR605" s="1"/>
      <c r="AS605" s="1"/>
      <c r="AT605" s="1"/>
      <c r="AU605" s="1"/>
      <c r="AV605" s="1"/>
      <c r="AW605" s="1" t="s">
        <v>6556</v>
      </c>
      <c r="AX605" s="3">
        <v>290.55</v>
      </c>
      <c r="AY605" s="1"/>
      <c r="AZ605" s="1"/>
      <c r="BA605" s="1"/>
      <c r="BB605" s="1"/>
      <c r="BE605" s="67">
        <f t="shared" si="1"/>
        <v>0</v>
      </c>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t="s">
        <v>6557</v>
      </c>
      <c r="Z606" s="3">
        <v>290.55</v>
      </c>
      <c r="AA606" s="1"/>
      <c r="AB606" s="1"/>
      <c r="AC606" s="1"/>
      <c r="AD606" s="1"/>
      <c r="AE606" s="1"/>
      <c r="AF606" s="1"/>
      <c r="AG606" s="1"/>
      <c r="AH606" s="1"/>
      <c r="AI606" s="1"/>
      <c r="AJ606" s="1"/>
      <c r="AK606" s="1"/>
      <c r="AL606" s="1"/>
      <c r="AM606" s="1"/>
      <c r="AN606" s="1"/>
      <c r="AO606" s="1"/>
      <c r="AP606" s="1"/>
      <c r="AQ606" s="1"/>
      <c r="AR606" s="1"/>
      <c r="AS606" s="1"/>
      <c r="AT606" s="1"/>
      <c r="AU606" s="1"/>
      <c r="AV606" s="1"/>
      <c r="AW606" s="1" t="s">
        <v>6558</v>
      </c>
      <c r="AX606" s="3">
        <v>290.55</v>
      </c>
      <c r="AY606" s="1"/>
      <c r="AZ606" s="1"/>
      <c r="BA606" s="1"/>
      <c r="BB606" s="1"/>
      <c r="BE606" s="67">
        <f t="shared" si="1"/>
        <v>0</v>
      </c>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t="s">
        <v>640</v>
      </c>
      <c r="Z607" s="3">
        <v>290.55</v>
      </c>
      <c r="AA607" s="1"/>
      <c r="AB607" s="1"/>
      <c r="AC607" s="1"/>
      <c r="AD607" s="1"/>
      <c r="AE607" s="1"/>
      <c r="AF607" s="1"/>
      <c r="AG607" s="1"/>
      <c r="AH607" s="1"/>
      <c r="AI607" s="1"/>
      <c r="AJ607" s="1"/>
      <c r="AK607" s="1"/>
      <c r="AL607" s="1"/>
      <c r="AM607" s="1"/>
      <c r="AN607" s="1"/>
      <c r="AO607" s="1"/>
      <c r="AP607" s="1"/>
      <c r="AQ607" s="1"/>
      <c r="AR607" s="1"/>
      <c r="AS607" s="1"/>
      <c r="AT607" s="1"/>
      <c r="AU607" s="1"/>
      <c r="AV607" s="1"/>
      <c r="AW607" s="1" t="s">
        <v>6559</v>
      </c>
      <c r="AX607" s="3">
        <v>290.55</v>
      </c>
      <c r="AY607" s="1"/>
      <c r="AZ607" s="1"/>
      <c r="BA607" s="1"/>
      <c r="BB607" s="1"/>
      <c r="BE607" s="67">
        <f t="shared" si="1"/>
        <v>0</v>
      </c>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t="s">
        <v>6560</v>
      </c>
      <c r="Z608" s="3">
        <v>290.55</v>
      </c>
      <c r="AA608" s="1"/>
      <c r="AB608" s="1"/>
      <c r="AC608" s="1"/>
      <c r="AD608" s="1"/>
      <c r="AE608" s="1"/>
      <c r="AF608" s="1"/>
      <c r="AG608" s="1"/>
      <c r="AH608" s="1"/>
      <c r="AI608" s="1"/>
      <c r="AJ608" s="1"/>
      <c r="AK608" s="1"/>
      <c r="AL608" s="1"/>
      <c r="AM608" s="1"/>
      <c r="AN608" s="1"/>
      <c r="AO608" s="1"/>
      <c r="AP608" s="1"/>
      <c r="AQ608" s="1"/>
      <c r="AR608" s="1"/>
      <c r="AS608" s="1"/>
      <c r="AT608" s="1"/>
      <c r="AU608" s="1"/>
      <c r="AV608" s="1"/>
      <c r="AW608" s="1" t="s">
        <v>6561</v>
      </c>
      <c r="AX608" s="3">
        <v>290.55</v>
      </c>
      <c r="AY608" s="1"/>
      <c r="AZ608" s="1"/>
      <c r="BA608" s="1"/>
      <c r="BB608" s="1"/>
      <c r="BE608" s="67">
        <f t="shared" si="1"/>
        <v>0</v>
      </c>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t="s">
        <v>6562</v>
      </c>
      <c r="Z609" s="3">
        <v>290.55</v>
      </c>
      <c r="AA609" s="1"/>
      <c r="AB609" s="1"/>
      <c r="AC609" s="1"/>
      <c r="AD609" s="1"/>
      <c r="AE609" s="1"/>
      <c r="AF609" s="1"/>
      <c r="AG609" s="1"/>
      <c r="AH609" s="1"/>
      <c r="AI609" s="1"/>
      <c r="AJ609" s="1"/>
      <c r="AK609" s="1"/>
      <c r="AL609" s="1"/>
      <c r="AM609" s="1"/>
      <c r="AN609" s="1"/>
      <c r="AO609" s="1"/>
      <c r="AP609" s="1"/>
      <c r="AQ609" s="1"/>
      <c r="AR609" s="1"/>
      <c r="AS609" s="1"/>
      <c r="AT609" s="1"/>
      <c r="AU609" s="1"/>
      <c r="AV609" s="1"/>
      <c r="AW609" s="1" t="s">
        <v>6563</v>
      </c>
      <c r="AX609" s="3">
        <v>290.55</v>
      </c>
      <c r="AY609" s="1"/>
      <c r="AZ609" s="1"/>
      <c r="BA609" s="1"/>
      <c r="BB609" s="1"/>
      <c r="BE609" s="67">
        <f t="shared" si="1"/>
        <v>0</v>
      </c>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t="s">
        <v>6564</v>
      </c>
      <c r="Z610" s="3">
        <v>290.55</v>
      </c>
      <c r="AA610" s="1"/>
      <c r="AB610" s="1"/>
      <c r="AC610" s="1"/>
      <c r="AD610" s="1"/>
      <c r="AE610" s="1"/>
      <c r="AF610" s="1"/>
      <c r="AG610" s="1"/>
      <c r="AH610" s="1"/>
      <c r="AI610" s="1"/>
      <c r="AJ610" s="1"/>
      <c r="AK610" s="1"/>
      <c r="AL610" s="1"/>
      <c r="AM610" s="1"/>
      <c r="AN610" s="1"/>
      <c r="AO610" s="1"/>
      <c r="AP610" s="1"/>
      <c r="AQ610" s="1"/>
      <c r="AR610" s="1"/>
      <c r="AS610" s="1"/>
      <c r="AT610" s="1"/>
      <c r="AU610" s="1"/>
      <c r="AV610" s="1"/>
      <c r="AW610" s="1" t="s">
        <v>6030</v>
      </c>
      <c r="AX610" s="3">
        <v>290.55</v>
      </c>
      <c r="AY610" s="1"/>
      <c r="AZ610" s="1"/>
      <c r="BA610" s="1"/>
      <c r="BB610" s="1"/>
      <c r="BE610" s="67">
        <f t="shared" si="1"/>
        <v>0</v>
      </c>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t="s">
        <v>6565</v>
      </c>
      <c r="Z611" s="3">
        <v>290.55</v>
      </c>
      <c r="AA611" s="1"/>
      <c r="AB611" s="1"/>
      <c r="AC611" s="1"/>
      <c r="AD611" s="1"/>
      <c r="AE611" s="1"/>
      <c r="AF611" s="1"/>
      <c r="AG611" s="1"/>
      <c r="AH611" s="1"/>
      <c r="AI611" s="1"/>
      <c r="AJ611" s="1"/>
      <c r="AK611" s="1"/>
      <c r="AL611" s="1"/>
      <c r="AM611" s="1"/>
      <c r="AN611" s="1"/>
      <c r="AO611" s="1"/>
      <c r="AP611" s="1"/>
      <c r="AQ611" s="1"/>
      <c r="AR611" s="1"/>
      <c r="AS611" s="1"/>
      <c r="AT611" s="1"/>
      <c r="AU611" s="1"/>
      <c r="AV611" s="1"/>
      <c r="AW611" s="1" t="s">
        <v>383</v>
      </c>
      <c r="AX611" s="3">
        <v>290.55</v>
      </c>
      <c r="AY611" s="1"/>
      <c r="AZ611" s="1"/>
      <c r="BA611" s="1"/>
      <c r="BB611" s="1"/>
      <c r="BE611" s="67">
        <f t="shared" si="1"/>
        <v>0</v>
      </c>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t="s">
        <v>6566</v>
      </c>
      <c r="Z612" s="3">
        <v>290.55</v>
      </c>
      <c r="AA612" s="1"/>
      <c r="AB612" s="1"/>
      <c r="AC612" s="1"/>
      <c r="AD612" s="1"/>
      <c r="AE612" s="1"/>
      <c r="AF612" s="1"/>
      <c r="AG612" s="1"/>
      <c r="AH612" s="1"/>
      <c r="AI612" s="1"/>
      <c r="AJ612" s="1"/>
      <c r="AK612" s="1"/>
      <c r="AL612" s="1"/>
      <c r="AM612" s="1"/>
      <c r="AN612" s="1"/>
      <c r="AO612" s="1"/>
      <c r="AP612" s="1"/>
      <c r="AQ612" s="1"/>
      <c r="AR612" s="1"/>
      <c r="AS612" s="1"/>
      <c r="AT612" s="1"/>
      <c r="AU612" s="1"/>
      <c r="AV612" s="1"/>
      <c r="AW612" s="1" t="s">
        <v>6567</v>
      </c>
      <c r="AX612" s="3">
        <v>290.55</v>
      </c>
      <c r="AY612" s="1"/>
      <c r="AZ612" s="1"/>
      <c r="BA612" s="1"/>
      <c r="BB612" s="1"/>
      <c r="BE612" s="67">
        <f t="shared" si="1"/>
        <v>0</v>
      </c>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t="s">
        <v>6568</v>
      </c>
      <c r="Z613" s="3">
        <v>290.55</v>
      </c>
      <c r="AA613" s="1"/>
      <c r="AB613" s="1"/>
      <c r="AC613" s="1"/>
      <c r="AD613" s="1"/>
      <c r="AE613" s="1"/>
      <c r="AF613" s="1"/>
      <c r="AG613" s="1"/>
      <c r="AH613" s="1"/>
      <c r="AI613" s="1"/>
      <c r="AJ613" s="1"/>
      <c r="AK613" s="1"/>
      <c r="AL613" s="1"/>
      <c r="AM613" s="1"/>
      <c r="AN613" s="1"/>
      <c r="AO613" s="1"/>
      <c r="AP613" s="1"/>
      <c r="AQ613" s="1"/>
      <c r="AR613" s="1"/>
      <c r="AS613" s="1"/>
      <c r="AT613" s="1"/>
      <c r="AU613" s="1"/>
      <c r="AV613" s="1"/>
      <c r="AW613" s="1" t="s">
        <v>6569</v>
      </c>
      <c r="AX613" s="3">
        <v>290.55</v>
      </c>
      <c r="AY613" s="1"/>
      <c r="AZ613" s="1"/>
      <c r="BA613" s="1"/>
      <c r="BB613" s="1"/>
      <c r="BE613" s="67">
        <f t="shared" si="1"/>
        <v>0</v>
      </c>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t="s">
        <v>6570</v>
      </c>
      <c r="Z614" s="3">
        <v>290.55</v>
      </c>
      <c r="AA614" s="1"/>
      <c r="AB614" s="1"/>
      <c r="AC614" s="1"/>
      <c r="AD614" s="1"/>
      <c r="AE614" s="1"/>
      <c r="AF614" s="1"/>
      <c r="AG614" s="1"/>
      <c r="AH614" s="1"/>
      <c r="AI614" s="1"/>
      <c r="AJ614" s="1"/>
      <c r="AK614" s="1"/>
      <c r="AL614" s="1"/>
      <c r="AM614" s="1"/>
      <c r="AN614" s="1"/>
      <c r="AO614" s="1"/>
      <c r="AP614" s="1"/>
      <c r="AQ614" s="1"/>
      <c r="AR614" s="1"/>
      <c r="AS614" s="1"/>
      <c r="AT614" s="1"/>
      <c r="AU614" s="1"/>
      <c r="AV614" s="1"/>
      <c r="AW614" s="1" t="s">
        <v>6571</v>
      </c>
      <c r="AX614" s="3">
        <v>290.55</v>
      </c>
      <c r="AY614" s="1"/>
      <c r="AZ614" s="1"/>
      <c r="BA614" s="1"/>
      <c r="BB614" s="1"/>
      <c r="BE614" s="67">
        <f t="shared" si="1"/>
        <v>0</v>
      </c>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t="s">
        <v>6572</v>
      </c>
      <c r="Z615" s="3">
        <v>290.55</v>
      </c>
      <c r="AA615" s="1"/>
      <c r="AB615" s="1"/>
      <c r="AC615" s="1"/>
      <c r="AD615" s="1"/>
      <c r="AE615" s="1"/>
      <c r="AF615" s="1"/>
      <c r="AG615" s="1"/>
      <c r="AH615" s="1"/>
      <c r="AI615" s="1"/>
      <c r="AJ615" s="1"/>
      <c r="AK615" s="1"/>
      <c r="AL615" s="1"/>
      <c r="AM615" s="1"/>
      <c r="AN615" s="1"/>
      <c r="AO615" s="1"/>
      <c r="AP615" s="1"/>
      <c r="AQ615" s="1"/>
      <c r="AR615" s="1"/>
      <c r="AS615" s="1"/>
      <c r="AT615" s="1"/>
      <c r="AU615" s="1"/>
      <c r="AV615" s="1"/>
      <c r="AW615" s="1" t="s">
        <v>6573</v>
      </c>
      <c r="AX615" s="3">
        <v>290.55</v>
      </c>
      <c r="AY615" s="1"/>
      <c r="AZ615" s="1"/>
      <c r="BA615" s="1"/>
      <c r="BB615" s="1"/>
      <c r="BE615" s="67">
        <f t="shared" si="1"/>
        <v>0</v>
      </c>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t="s">
        <v>6574</v>
      </c>
      <c r="Z616" s="3">
        <v>290.55</v>
      </c>
      <c r="AA616" s="1"/>
      <c r="AB616" s="1"/>
      <c r="AC616" s="1"/>
      <c r="AD616" s="1"/>
      <c r="AE616" s="1"/>
      <c r="AF616" s="1"/>
      <c r="AG616" s="1"/>
      <c r="AH616" s="1"/>
      <c r="AI616" s="1"/>
      <c r="AJ616" s="1"/>
      <c r="AK616" s="1"/>
      <c r="AL616" s="1"/>
      <c r="AM616" s="1"/>
      <c r="AN616" s="1"/>
      <c r="AO616" s="1"/>
      <c r="AP616" s="1"/>
      <c r="AQ616" s="1"/>
      <c r="AR616" s="1"/>
      <c r="AS616" s="1"/>
      <c r="AT616" s="1"/>
      <c r="AU616" s="1"/>
      <c r="AV616" s="1"/>
      <c r="AW616" s="1" t="s">
        <v>6575</v>
      </c>
      <c r="AX616" s="3">
        <v>290.55</v>
      </c>
      <c r="AY616" s="1"/>
      <c r="AZ616" s="1"/>
      <c r="BA616" s="1"/>
      <c r="BB616" s="1"/>
      <c r="BE616" s="67">
        <f t="shared" si="1"/>
        <v>0</v>
      </c>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t="s">
        <v>6576</v>
      </c>
      <c r="Z617" s="3">
        <v>290.55</v>
      </c>
      <c r="AA617" s="1"/>
      <c r="AB617" s="1"/>
      <c r="AC617" s="1"/>
      <c r="AD617" s="1"/>
      <c r="AE617" s="1"/>
      <c r="AF617" s="1"/>
      <c r="AG617" s="1"/>
      <c r="AH617" s="1"/>
      <c r="AI617" s="1"/>
      <c r="AJ617" s="1"/>
      <c r="AK617" s="1"/>
      <c r="AL617" s="1"/>
      <c r="AM617" s="1"/>
      <c r="AN617" s="1"/>
      <c r="AO617" s="1"/>
      <c r="AP617" s="1"/>
      <c r="AQ617" s="1"/>
      <c r="AR617" s="1"/>
      <c r="AS617" s="1"/>
      <c r="AT617" s="1"/>
      <c r="AU617" s="1"/>
      <c r="AV617" s="1"/>
      <c r="AW617" s="1" t="s">
        <v>6577</v>
      </c>
      <c r="AX617" s="3">
        <v>290.55</v>
      </c>
      <c r="AY617" s="1"/>
      <c r="AZ617" s="1"/>
      <c r="BA617" s="1"/>
      <c r="BB617" s="1"/>
      <c r="BE617" s="67">
        <f t="shared" si="1"/>
        <v>0</v>
      </c>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t="s">
        <v>6578</v>
      </c>
      <c r="Z618" s="3">
        <v>290.55</v>
      </c>
      <c r="AA618" s="1"/>
      <c r="AB618" s="1"/>
      <c r="AC618" s="1"/>
      <c r="AD618" s="1"/>
      <c r="AE618" s="1"/>
      <c r="AF618" s="1"/>
      <c r="AG618" s="1"/>
      <c r="AH618" s="1"/>
      <c r="AI618" s="1"/>
      <c r="AJ618" s="1"/>
      <c r="AK618" s="1"/>
      <c r="AL618" s="1"/>
      <c r="AM618" s="1"/>
      <c r="AN618" s="1"/>
      <c r="AO618" s="1"/>
      <c r="AP618" s="1"/>
      <c r="AQ618" s="1"/>
      <c r="AR618" s="1"/>
      <c r="AS618" s="1"/>
      <c r="AT618" s="1"/>
      <c r="AU618" s="1"/>
      <c r="AV618" s="1"/>
      <c r="AW618" s="1" t="s">
        <v>6579</v>
      </c>
      <c r="AX618" s="3">
        <v>290.55</v>
      </c>
      <c r="AY618" s="1"/>
      <c r="AZ618" s="1"/>
      <c r="BA618" s="1"/>
      <c r="BB618" s="1"/>
      <c r="BE618" s="67">
        <f t="shared" si="1"/>
        <v>0</v>
      </c>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t="s">
        <v>4580</v>
      </c>
      <c r="Z619" s="3">
        <v>290.55</v>
      </c>
      <c r="AA619" s="1"/>
      <c r="AB619" s="1"/>
      <c r="AC619" s="1"/>
      <c r="AD619" s="1"/>
      <c r="AE619" s="1"/>
      <c r="AF619" s="1"/>
      <c r="AG619" s="1"/>
      <c r="AH619" s="1"/>
      <c r="AI619" s="1"/>
      <c r="AJ619" s="1"/>
      <c r="AK619" s="1"/>
      <c r="AL619" s="1"/>
      <c r="AM619" s="1"/>
      <c r="AN619" s="1"/>
      <c r="AO619" s="1"/>
      <c r="AP619" s="1"/>
      <c r="AQ619" s="1"/>
      <c r="AR619" s="1"/>
      <c r="AS619" s="1"/>
      <c r="AT619" s="1"/>
      <c r="AU619" s="1"/>
      <c r="AV619" s="1"/>
      <c r="AW619" s="1" t="s">
        <v>6580</v>
      </c>
      <c r="AX619" s="3">
        <v>290.55</v>
      </c>
      <c r="AY619" s="1"/>
      <c r="AZ619" s="1"/>
      <c r="BA619" s="1"/>
      <c r="BB619" s="1"/>
      <c r="BE619" s="67">
        <f t="shared" si="1"/>
        <v>0</v>
      </c>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t="s">
        <v>6581</v>
      </c>
      <c r="Z620" s="3">
        <v>290.55</v>
      </c>
      <c r="AA620" s="1"/>
      <c r="AB620" s="1"/>
      <c r="AC620" s="1"/>
      <c r="AD620" s="1"/>
      <c r="AE620" s="1"/>
      <c r="AF620" s="1"/>
      <c r="AG620" s="1"/>
      <c r="AH620" s="1"/>
      <c r="AI620" s="1"/>
      <c r="AJ620" s="1"/>
      <c r="AK620" s="1"/>
      <c r="AL620" s="1"/>
      <c r="AM620" s="1"/>
      <c r="AN620" s="1"/>
      <c r="AO620" s="1"/>
      <c r="AP620" s="1"/>
      <c r="AQ620" s="1"/>
      <c r="AR620" s="1"/>
      <c r="AS620" s="1"/>
      <c r="AT620" s="1"/>
      <c r="AU620" s="1"/>
      <c r="AV620" s="1"/>
      <c r="AW620" s="1" t="s">
        <v>6582</v>
      </c>
      <c r="AX620" s="3">
        <v>290.55</v>
      </c>
      <c r="AY620" s="1"/>
      <c r="AZ620" s="1"/>
      <c r="BA620" s="1"/>
      <c r="BB620" s="1"/>
      <c r="BE620" s="67">
        <f t="shared" si="1"/>
        <v>0</v>
      </c>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t="s">
        <v>6583</v>
      </c>
      <c r="Z621" s="3">
        <v>290.55</v>
      </c>
      <c r="AA621" s="1"/>
      <c r="AB621" s="1"/>
      <c r="AC621" s="1"/>
      <c r="AD621" s="1"/>
      <c r="AE621" s="1"/>
      <c r="AF621" s="1"/>
      <c r="AG621" s="1"/>
      <c r="AH621" s="1"/>
      <c r="AI621" s="1"/>
      <c r="AJ621" s="1"/>
      <c r="AK621" s="1"/>
      <c r="AL621" s="1"/>
      <c r="AM621" s="1"/>
      <c r="AN621" s="1"/>
      <c r="AO621" s="1"/>
      <c r="AP621" s="1"/>
      <c r="AQ621" s="1"/>
      <c r="AR621" s="1"/>
      <c r="AS621" s="1"/>
      <c r="AT621" s="1"/>
      <c r="AU621" s="1"/>
      <c r="AV621" s="1"/>
      <c r="AW621" s="1" t="s">
        <v>6584</v>
      </c>
      <c r="AX621" s="3">
        <v>290.55</v>
      </c>
      <c r="AY621" s="1"/>
      <c r="AZ621" s="1"/>
      <c r="BA621" s="1"/>
      <c r="BB621" s="1"/>
      <c r="BE621" s="67">
        <f t="shared" si="1"/>
        <v>0</v>
      </c>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t="s">
        <v>6265</v>
      </c>
      <c r="Z622" s="3">
        <v>290.55</v>
      </c>
      <c r="AA622" s="1"/>
      <c r="AB622" s="1"/>
      <c r="AC622" s="1"/>
      <c r="AD622" s="1"/>
      <c r="AE622" s="1"/>
      <c r="AF622" s="1"/>
      <c r="AG622" s="1"/>
      <c r="AH622" s="1"/>
      <c r="AI622" s="1"/>
      <c r="AJ622" s="1"/>
      <c r="AK622" s="1"/>
      <c r="AL622" s="1"/>
      <c r="AM622" s="1"/>
      <c r="AN622" s="1"/>
      <c r="AO622" s="1"/>
      <c r="AP622" s="1"/>
      <c r="AQ622" s="1"/>
      <c r="AR622" s="1"/>
      <c r="AS622" s="1"/>
      <c r="AT622" s="1"/>
      <c r="AU622" s="1"/>
      <c r="AV622" s="1"/>
      <c r="AW622" s="1" t="s">
        <v>6585</v>
      </c>
      <c r="AX622" s="3">
        <v>290.55</v>
      </c>
      <c r="AY622" s="1"/>
      <c r="AZ622" s="1"/>
      <c r="BA622" s="1"/>
      <c r="BB622" s="1"/>
      <c r="BE622" s="67">
        <f t="shared" si="1"/>
        <v>0</v>
      </c>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t="s">
        <v>4566</v>
      </c>
      <c r="Z623" s="3">
        <v>290.55</v>
      </c>
      <c r="AA623" s="1"/>
      <c r="AB623" s="1"/>
      <c r="AC623" s="1"/>
      <c r="AD623" s="1"/>
      <c r="AE623" s="1"/>
      <c r="AF623" s="1"/>
      <c r="AG623" s="1"/>
      <c r="AH623" s="1"/>
      <c r="AI623" s="1"/>
      <c r="AJ623" s="1"/>
      <c r="AK623" s="1"/>
      <c r="AL623" s="1"/>
      <c r="AM623" s="1"/>
      <c r="AN623" s="1"/>
      <c r="AO623" s="1"/>
      <c r="AP623" s="1"/>
      <c r="AQ623" s="1"/>
      <c r="AR623" s="1"/>
      <c r="AS623" s="1"/>
      <c r="AT623" s="1"/>
      <c r="AU623" s="1"/>
      <c r="AV623" s="1"/>
      <c r="AW623" s="1" t="s">
        <v>6586</v>
      </c>
      <c r="AX623" s="3">
        <v>290.55</v>
      </c>
      <c r="AY623" s="1"/>
      <c r="AZ623" s="1"/>
      <c r="BA623" s="1"/>
      <c r="BB623" s="1"/>
      <c r="BE623" s="67">
        <f t="shared" si="1"/>
        <v>0</v>
      </c>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t="s">
        <v>6587</v>
      </c>
      <c r="Z624" s="3">
        <v>290.55</v>
      </c>
      <c r="AA624" s="1"/>
      <c r="AB624" s="1"/>
      <c r="AC624" s="1"/>
      <c r="AD624" s="1"/>
      <c r="AE624" s="1"/>
      <c r="AF624" s="1"/>
      <c r="AG624" s="1"/>
      <c r="AH624" s="1"/>
      <c r="AI624" s="1"/>
      <c r="AJ624" s="1"/>
      <c r="AK624" s="1"/>
      <c r="AL624" s="1"/>
      <c r="AM624" s="1"/>
      <c r="AN624" s="1"/>
      <c r="AO624" s="1"/>
      <c r="AP624" s="1"/>
      <c r="AQ624" s="1"/>
      <c r="AR624" s="1"/>
      <c r="AS624" s="1"/>
      <c r="AT624" s="1"/>
      <c r="AU624" s="1"/>
      <c r="AV624" s="1"/>
      <c r="AW624" s="1" t="s">
        <v>6588</v>
      </c>
      <c r="AX624" s="3">
        <v>290.55</v>
      </c>
      <c r="AY624" s="1"/>
      <c r="AZ624" s="1"/>
      <c r="BA624" s="1"/>
      <c r="BB624" s="1"/>
      <c r="BE624" s="67">
        <f t="shared" si="1"/>
        <v>0</v>
      </c>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t="s">
        <v>6589</v>
      </c>
      <c r="Z625" s="3">
        <v>290.55</v>
      </c>
      <c r="AA625" s="1"/>
      <c r="AB625" s="1"/>
      <c r="AC625" s="1"/>
      <c r="AD625" s="1"/>
      <c r="AE625" s="1"/>
      <c r="AF625" s="1"/>
      <c r="AG625" s="1"/>
      <c r="AH625" s="1"/>
      <c r="AI625" s="1"/>
      <c r="AJ625" s="1"/>
      <c r="AK625" s="1"/>
      <c r="AL625" s="1"/>
      <c r="AM625" s="1"/>
      <c r="AN625" s="1"/>
      <c r="AO625" s="1"/>
      <c r="AP625" s="1"/>
      <c r="AQ625" s="1"/>
      <c r="AR625" s="1"/>
      <c r="AS625" s="1"/>
      <c r="AT625" s="1"/>
      <c r="AU625" s="1"/>
      <c r="AV625" s="1"/>
      <c r="AW625" s="1" t="s">
        <v>6590</v>
      </c>
      <c r="AX625" s="3">
        <v>290.55</v>
      </c>
      <c r="AY625" s="1"/>
      <c r="AZ625" s="1"/>
      <c r="BA625" s="1"/>
      <c r="BB625" s="1"/>
      <c r="BE625" s="67">
        <f t="shared" si="1"/>
        <v>0</v>
      </c>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t="s">
        <v>6591</v>
      </c>
      <c r="Z626" s="3">
        <v>290.55</v>
      </c>
      <c r="AA626" s="1"/>
      <c r="AB626" s="1"/>
      <c r="AC626" s="1"/>
      <c r="AD626" s="1"/>
      <c r="AE626" s="1"/>
      <c r="AF626" s="1"/>
      <c r="AG626" s="1"/>
      <c r="AH626" s="1"/>
      <c r="AI626" s="1"/>
      <c r="AJ626" s="1"/>
      <c r="AK626" s="1"/>
      <c r="AL626" s="1"/>
      <c r="AM626" s="1"/>
      <c r="AN626" s="1"/>
      <c r="AO626" s="1"/>
      <c r="AP626" s="1"/>
      <c r="AQ626" s="1"/>
      <c r="AR626" s="1"/>
      <c r="AS626" s="1"/>
      <c r="AT626" s="1"/>
      <c r="AU626" s="1"/>
      <c r="AV626" s="1"/>
      <c r="AW626" s="1" t="s">
        <v>6592</v>
      </c>
      <c r="AX626" s="3">
        <v>290.55</v>
      </c>
      <c r="AY626" s="1"/>
      <c r="AZ626" s="1"/>
      <c r="BA626" s="1"/>
      <c r="BB626" s="1"/>
      <c r="BE626" s="67">
        <f t="shared" si="1"/>
        <v>0</v>
      </c>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t="s">
        <v>6593</v>
      </c>
      <c r="Z627" s="3">
        <v>290.55</v>
      </c>
      <c r="AA627" s="1"/>
      <c r="AB627" s="1"/>
      <c r="AC627" s="1"/>
      <c r="AD627" s="1"/>
      <c r="AE627" s="1"/>
      <c r="AF627" s="1"/>
      <c r="AG627" s="1"/>
      <c r="AH627" s="1"/>
      <c r="AI627" s="1"/>
      <c r="AJ627" s="1"/>
      <c r="AK627" s="1"/>
      <c r="AL627" s="1"/>
      <c r="AM627" s="1"/>
      <c r="AN627" s="1"/>
      <c r="AO627" s="1"/>
      <c r="AP627" s="1"/>
      <c r="AQ627" s="1"/>
      <c r="AR627" s="1"/>
      <c r="AS627" s="1"/>
      <c r="AT627" s="1"/>
      <c r="AU627" s="1"/>
      <c r="AV627" s="1"/>
      <c r="AW627" s="1" t="s">
        <v>6594</v>
      </c>
      <c r="AX627" s="3">
        <v>290.55</v>
      </c>
      <c r="AY627" s="1"/>
      <c r="AZ627" s="1"/>
      <c r="BA627" s="1"/>
      <c r="BB627" s="1"/>
      <c r="BE627" s="67">
        <f t="shared" si="1"/>
        <v>0</v>
      </c>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t="s">
        <v>6595</v>
      </c>
      <c r="Z628" s="3">
        <v>290.55</v>
      </c>
      <c r="AA628" s="1"/>
      <c r="AB628" s="1"/>
      <c r="AC628" s="1"/>
      <c r="AD628" s="1"/>
      <c r="AE628" s="1"/>
      <c r="AF628" s="1"/>
      <c r="AG628" s="1"/>
      <c r="AH628" s="1"/>
      <c r="AI628" s="1"/>
      <c r="AJ628" s="1"/>
      <c r="AK628" s="1"/>
      <c r="AL628" s="1"/>
      <c r="AM628" s="1"/>
      <c r="AN628" s="1"/>
      <c r="AO628" s="1"/>
      <c r="AP628" s="1"/>
      <c r="AQ628" s="1"/>
      <c r="AR628" s="1"/>
      <c r="AS628" s="1"/>
      <c r="AT628" s="1"/>
      <c r="AU628" s="1"/>
      <c r="AV628" s="1"/>
      <c r="AW628" s="1" t="s">
        <v>6596</v>
      </c>
      <c r="AX628" s="3">
        <v>290.55</v>
      </c>
      <c r="AY628" s="1"/>
      <c r="AZ628" s="1"/>
      <c r="BA628" s="1"/>
      <c r="BB628" s="1"/>
      <c r="BE628" s="67">
        <f t="shared" si="1"/>
        <v>0</v>
      </c>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t="s">
        <v>6597</v>
      </c>
      <c r="Z629" s="3">
        <v>290.55</v>
      </c>
      <c r="AA629" s="1"/>
      <c r="AB629" s="1"/>
      <c r="AC629" s="1"/>
      <c r="AD629" s="1"/>
      <c r="AE629" s="1"/>
      <c r="AF629" s="1"/>
      <c r="AG629" s="1"/>
      <c r="AH629" s="1"/>
      <c r="AI629" s="1"/>
      <c r="AJ629" s="1"/>
      <c r="AK629" s="1"/>
      <c r="AL629" s="1"/>
      <c r="AM629" s="1"/>
      <c r="AN629" s="1"/>
      <c r="AO629" s="1"/>
      <c r="AP629" s="1"/>
      <c r="AQ629" s="1"/>
      <c r="AR629" s="1"/>
      <c r="AS629" s="1"/>
      <c r="AT629" s="1"/>
      <c r="AU629" s="1"/>
      <c r="AV629" s="1"/>
      <c r="AW629" s="1" t="s">
        <v>6598</v>
      </c>
      <c r="AX629" s="3">
        <v>290.55</v>
      </c>
      <c r="AY629" s="1"/>
      <c r="AZ629" s="1"/>
      <c r="BA629" s="1"/>
      <c r="BB629" s="1"/>
      <c r="BE629" s="67">
        <f t="shared" si="1"/>
        <v>0</v>
      </c>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t="s">
        <v>6599</v>
      </c>
      <c r="Z630" s="3">
        <v>290.55</v>
      </c>
      <c r="AA630" s="1"/>
      <c r="AB630" s="1"/>
      <c r="AC630" s="1"/>
      <c r="AD630" s="1"/>
      <c r="AE630" s="1"/>
      <c r="AF630" s="1"/>
      <c r="AG630" s="1"/>
      <c r="AH630" s="1"/>
      <c r="AI630" s="1"/>
      <c r="AJ630" s="1"/>
      <c r="AK630" s="1"/>
      <c r="AL630" s="1"/>
      <c r="AM630" s="1"/>
      <c r="AN630" s="1"/>
      <c r="AO630" s="1"/>
      <c r="AP630" s="1"/>
      <c r="AQ630" s="1"/>
      <c r="AR630" s="1"/>
      <c r="AS630" s="1"/>
      <c r="AT630" s="1"/>
      <c r="AU630" s="1"/>
      <c r="AV630" s="1"/>
      <c r="AW630" s="1" t="s">
        <v>6600</v>
      </c>
      <c r="AX630" s="3">
        <v>290.55</v>
      </c>
      <c r="AY630" s="1"/>
      <c r="AZ630" s="1"/>
      <c r="BA630" s="1"/>
      <c r="BB630" s="1"/>
      <c r="BE630" s="67">
        <f t="shared" si="1"/>
        <v>0</v>
      </c>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t="s">
        <v>6601</v>
      </c>
      <c r="Z631" s="3">
        <v>290.55</v>
      </c>
      <c r="AA631" s="1"/>
      <c r="AB631" s="1"/>
      <c r="AC631" s="1"/>
      <c r="AD631" s="1"/>
      <c r="AE631" s="1"/>
      <c r="AF631" s="1"/>
      <c r="AG631" s="1"/>
      <c r="AH631" s="1"/>
      <c r="AI631" s="1"/>
      <c r="AJ631" s="1"/>
      <c r="AK631" s="1"/>
      <c r="AL631" s="1"/>
      <c r="AM631" s="1"/>
      <c r="AN631" s="1"/>
      <c r="AO631" s="1"/>
      <c r="AP631" s="1"/>
      <c r="AQ631" s="1"/>
      <c r="AR631" s="1"/>
      <c r="AS631" s="1"/>
      <c r="AT631" s="1"/>
      <c r="AU631" s="1"/>
      <c r="AV631" s="1"/>
      <c r="AW631" s="1" t="s">
        <v>6602</v>
      </c>
      <c r="AX631" s="3">
        <v>290.55</v>
      </c>
      <c r="AY631" s="1"/>
      <c r="AZ631" s="1"/>
      <c r="BA631" s="1"/>
      <c r="BB631" s="1"/>
      <c r="BE631" s="67">
        <f t="shared" si="1"/>
        <v>0</v>
      </c>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t="s">
        <v>6603</v>
      </c>
      <c r="Z632" s="3">
        <v>290.55</v>
      </c>
      <c r="AA632" s="1"/>
      <c r="AB632" s="1"/>
      <c r="AC632" s="1"/>
      <c r="AD632" s="1"/>
      <c r="AE632" s="1"/>
      <c r="AF632" s="1"/>
      <c r="AG632" s="1"/>
      <c r="AH632" s="1"/>
      <c r="AI632" s="1"/>
      <c r="AJ632" s="1"/>
      <c r="AK632" s="1"/>
      <c r="AL632" s="1"/>
      <c r="AM632" s="1"/>
      <c r="AN632" s="1"/>
      <c r="AO632" s="1"/>
      <c r="AP632" s="1"/>
      <c r="AQ632" s="1"/>
      <c r="AR632" s="1"/>
      <c r="AS632" s="1"/>
      <c r="AT632" s="1"/>
      <c r="AU632" s="1"/>
      <c r="AV632" s="1"/>
      <c r="AW632" s="1" t="s">
        <v>6604</v>
      </c>
      <c r="AX632" s="3">
        <v>290.55</v>
      </c>
      <c r="AY632" s="1"/>
      <c r="AZ632" s="1"/>
      <c r="BA632" s="1"/>
      <c r="BB632" s="1"/>
      <c r="BE632" s="67">
        <f t="shared" si="1"/>
        <v>0</v>
      </c>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t="s">
        <v>6605</v>
      </c>
      <c r="Z633" s="3">
        <v>290.55</v>
      </c>
      <c r="AA633" s="1"/>
      <c r="AB633" s="1"/>
      <c r="AC633" s="1"/>
      <c r="AD633" s="1"/>
      <c r="AE633" s="1"/>
      <c r="AF633" s="1"/>
      <c r="AG633" s="1"/>
      <c r="AH633" s="1"/>
      <c r="AI633" s="1"/>
      <c r="AJ633" s="1"/>
      <c r="AK633" s="1"/>
      <c r="AL633" s="1"/>
      <c r="AM633" s="1"/>
      <c r="AN633" s="1"/>
      <c r="AO633" s="1"/>
      <c r="AP633" s="1"/>
      <c r="AQ633" s="1"/>
      <c r="AR633" s="1"/>
      <c r="AS633" s="1"/>
      <c r="AT633" s="1"/>
      <c r="AU633" s="1"/>
      <c r="AV633" s="1"/>
      <c r="AW633" s="1" t="s">
        <v>6606</v>
      </c>
      <c r="AX633" s="3">
        <v>290.55</v>
      </c>
      <c r="AY633" s="1"/>
      <c r="AZ633" s="1"/>
      <c r="BA633" s="1"/>
      <c r="BB633" s="1"/>
      <c r="BE633" s="67">
        <f t="shared" si="1"/>
        <v>0</v>
      </c>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t="s">
        <v>6607</v>
      </c>
      <c r="Z634" s="3">
        <v>290.55</v>
      </c>
      <c r="AA634" s="1"/>
      <c r="AB634" s="1"/>
      <c r="AC634" s="1"/>
      <c r="AD634" s="1"/>
      <c r="AE634" s="1"/>
      <c r="AF634" s="1"/>
      <c r="AG634" s="1"/>
      <c r="AH634" s="1"/>
      <c r="AI634" s="1"/>
      <c r="AJ634" s="1"/>
      <c r="AK634" s="1"/>
      <c r="AL634" s="1"/>
      <c r="AM634" s="1"/>
      <c r="AN634" s="1"/>
      <c r="AO634" s="1"/>
      <c r="AP634" s="1"/>
      <c r="AQ634" s="1"/>
      <c r="AR634" s="1"/>
      <c r="AS634" s="1"/>
      <c r="AT634" s="1"/>
      <c r="AU634" s="1"/>
      <c r="AV634" s="1"/>
      <c r="AW634" s="1" t="s">
        <v>6608</v>
      </c>
      <c r="AX634" s="3">
        <v>290.55</v>
      </c>
      <c r="AY634" s="1"/>
      <c r="AZ634" s="1"/>
      <c r="BA634" s="1"/>
      <c r="BB634" s="1"/>
      <c r="BE634" s="67">
        <f t="shared" si="1"/>
        <v>0</v>
      </c>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t="s">
        <v>6609</v>
      </c>
      <c r="Z635" s="3">
        <v>290.55</v>
      </c>
      <c r="AA635" s="1"/>
      <c r="AB635" s="1"/>
      <c r="AC635" s="1"/>
      <c r="AD635" s="1"/>
      <c r="AE635" s="1"/>
      <c r="AF635" s="1"/>
      <c r="AG635" s="1"/>
      <c r="AH635" s="1"/>
      <c r="AI635" s="1"/>
      <c r="AJ635" s="1"/>
      <c r="AK635" s="1"/>
      <c r="AL635" s="1"/>
      <c r="AM635" s="1"/>
      <c r="AN635" s="1"/>
      <c r="AO635" s="1"/>
      <c r="AP635" s="1"/>
      <c r="AQ635" s="1"/>
      <c r="AR635" s="1"/>
      <c r="AS635" s="1"/>
      <c r="AT635" s="1"/>
      <c r="AU635" s="1"/>
      <c r="AV635" s="1"/>
      <c r="AW635" s="1" t="s">
        <v>5635</v>
      </c>
      <c r="AX635" s="3">
        <v>290.55</v>
      </c>
      <c r="AY635" s="1"/>
      <c r="AZ635" s="1"/>
      <c r="BA635" s="1"/>
      <c r="BB635" s="1"/>
      <c r="BE635" s="67">
        <f t="shared" si="1"/>
        <v>0</v>
      </c>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t="s">
        <v>3973</v>
      </c>
      <c r="Z636" s="3">
        <v>290.55</v>
      </c>
      <c r="AA636" s="1"/>
      <c r="AB636" s="1"/>
      <c r="AC636" s="1"/>
      <c r="AD636" s="1"/>
      <c r="AE636" s="1"/>
      <c r="AF636" s="1"/>
      <c r="AG636" s="1"/>
      <c r="AH636" s="1"/>
      <c r="AI636" s="1"/>
      <c r="AJ636" s="1"/>
      <c r="AK636" s="1"/>
      <c r="AL636" s="1"/>
      <c r="AM636" s="1"/>
      <c r="AN636" s="1"/>
      <c r="AO636" s="1"/>
      <c r="AP636" s="1"/>
      <c r="AQ636" s="1"/>
      <c r="AR636" s="1"/>
      <c r="AS636" s="1"/>
      <c r="AT636" s="1"/>
      <c r="AU636" s="1"/>
      <c r="AV636" s="1"/>
      <c r="AW636" s="1" t="s">
        <v>6610</v>
      </c>
      <c r="AX636" s="3">
        <v>290.55</v>
      </c>
      <c r="AY636" s="1"/>
      <c r="AZ636" s="1"/>
      <c r="BA636" s="1"/>
      <c r="BB636" s="1"/>
      <c r="BE636" s="67">
        <f t="shared" si="1"/>
        <v>0</v>
      </c>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t="s">
        <v>6611</v>
      </c>
      <c r="Z637" s="3">
        <v>290.55</v>
      </c>
      <c r="AA637" s="1"/>
      <c r="AB637" s="1"/>
      <c r="AC637" s="1"/>
      <c r="AD637" s="1"/>
      <c r="AE637" s="1"/>
      <c r="AF637" s="1"/>
      <c r="AG637" s="1"/>
      <c r="AH637" s="1"/>
      <c r="AI637" s="1"/>
      <c r="AJ637" s="1"/>
      <c r="AK637" s="1"/>
      <c r="AL637" s="1"/>
      <c r="AM637" s="1"/>
      <c r="AN637" s="1"/>
      <c r="AO637" s="1"/>
      <c r="AP637" s="1"/>
      <c r="AQ637" s="1"/>
      <c r="AR637" s="1"/>
      <c r="AS637" s="1"/>
      <c r="AT637" s="1"/>
      <c r="AU637" s="1"/>
      <c r="AV637" s="1"/>
      <c r="AW637" s="1" t="s">
        <v>6612</v>
      </c>
      <c r="AX637" s="3">
        <v>290.55</v>
      </c>
      <c r="AY637" s="1"/>
      <c r="AZ637" s="1"/>
      <c r="BA637" s="1"/>
      <c r="BB637" s="1"/>
      <c r="BE637" s="67">
        <f t="shared" si="1"/>
        <v>0</v>
      </c>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t="s">
        <v>6613</v>
      </c>
      <c r="Z638" s="3">
        <v>290.55</v>
      </c>
      <c r="AA638" s="1"/>
      <c r="AB638" s="1"/>
      <c r="AC638" s="1"/>
      <c r="AD638" s="1"/>
      <c r="AE638" s="1"/>
      <c r="AF638" s="1"/>
      <c r="AG638" s="1"/>
      <c r="AH638" s="1"/>
      <c r="AI638" s="1"/>
      <c r="AJ638" s="1"/>
      <c r="AK638" s="1"/>
      <c r="AL638" s="1"/>
      <c r="AM638" s="1"/>
      <c r="AN638" s="1"/>
      <c r="AO638" s="1"/>
      <c r="AP638" s="1"/>
      <c r="AQ638" s="1"/>
      <c r="AR638" s="1"/>
      <c r="AS638" s="1"/>
      <c r="AT638" s="1"/>
      <c r="AU638" s="1"/>
      <c r="AV638" s="1"/>
      <c r="AW638" s="1" t="s">
        <v>6614</v>
      </c>
      <c r="AX638" s="3">
        <v>290.55</v>
      </c>
      <c r="AY638" s="1"/>
      <c r="AZ638" s="1"/>
      <c r="BA638" s="1"/>
      <c r="BB638" s="1"/>
      <c r="BE638" s="67">
        <f t="shared" si="1"/>
        <v>0</v>
      </c>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t="s">
        <v>6615</v>
      </c>
      <c r="Z639" s="3">
        <v>290.55</v>
      </c>
      <c r="AA639" s="1"/>
      <c r="AB639" s="1"/>
      <c r="AC639" s="1"/>
      <c r="AD639" s="1"/>
      <c r="AE639" s="1"/>
      <c r="AF639" s="1"/>
      <c r="AG639" s="1"/>
      <c r="AH639" s="1"/>
      <c r="AI639" s="1"/>
      <c r="AJ639" s="1"/>
      <c r="AK639" s="1"/>
      <c r="AL639" s="1"/>
      <c r="AM639" s="1"/>
      <c r="AN639" s="1"/>
      <c r="AO639" s="1"/>
      <c r="AP639" s="1"/>
      <c r="AQ639" s="1"/>
      <c r="AR639" s="1"/>
      <c r="AS639" s="1"/>
      <c r="AT639" s="1"/>
      <c r="AU639" s="1"/>
      <c r="AV639" s="1"/>
      <c r="AW639" s="1" t="s">
        <v>4738</v>
      </c>
      <c r="AX639" s="3">
        <v>290.55</v>
      </c>
      <c r="AY639" s="1"/>
      <c r="AZ639" s="1"/>
      <c r="BA639" s="1"/>
      <c r="BB639" s="1"/>
      <c r="BE639" s="67">
        <f t="shared" si="1"/>
        <v>0</v>
      </c>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t="s">
        <v>6616</v>
      </c>
      <c r="Z640" s="3">
        <v>290.55</v>
      </c>
      <c r="AA640" s="1"/>
      <c r="AB640" s="1"/>
      <c r="AC640" s="1"/>
      <c r="AD640" s="1"/>
      <c r="AE640" s="1"/>
      <c r="AF640" s="1"/>
      <c r="AG640" s="1"/>
      <c r="AH640" s="1"/>
      <c r="AI640" s="1"/>
      <c r="AJ640" s="1"/>
      <c r="AK640" s="1"/>
      <c r="AL640" s="1"/>
      <c r="AM640" s="1"/>
      <c r="AN640" s="1"/>
      <c r="AO640" s="1"/>
      <c r="AP640" s="1"/>
      <c r="AQ640" s="1"/>
      <c r="AR640" s="1"/>
      <c r="AS640" s="1"/>
      <c r="AT640" s="1"/>
      <c r="AU640" s="1"/>
      <c r="AV640" s="1"/>
      <c r="AW640" s="1" t="s">
        <v>6617</v>
      </c>
      <c r="AX640" s="3">
        <v>290.55</v>
      </c>
      <c r="AY640" s="1"/>
      <c r="AZ640" s="1"/>
      <c r="BA640" s="1"/>
      <c r="BB640" s="1"/>
      <c r="BE640" s="67">
        <f t="shared" si="1"/>
        <v>0</v>
      </c>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t="s">
        <v>6618</v>
      </c>
      <c r="Z641" s="3">
        <v>290.55</v>
      </c>
      <c r="AA641" s="1"/>
      <c r="AB641" s="1"/>
      <c r="AC641" s="1"/>
      <c r="AD641" s="1"/>
      <c r="AE641" s="1"/>
      <c r="AF641" s="1"/>
      <c r="AG641" s="1"/>
      <c r="AH641" s="1"/>
      <c r="AI641" s="1"/>
      <c r="AJ641" s="1"/>
      <c r="AK641" s="1"/>
      <c r="AL641" s="1"/>
      <c r="AM641" s="1"/>
      <c r="AN641" s="1"/>
      <c r="AO641" s="1"/>
      <c r="AP641" s="1"/>
      <c r="AQ641" s="1"/>
      <c r="AR641" s="1"/>
      <c r="AS641" s="1"/>
      <c r="AT641" s="1"/>
      <c r="AU641" s="1"/>
      <c r="AV641" s="1"/>
      <c r="AW641" s="1" t="s">
        <v>6619</v>
      </c>
      <c r="AX641" s="3">
        <v>290.55</v>
      </c>
      <c r="AY641" s="1"/>
      <c r="AZ641" s="1"/>
      <c r="BA641" s="1"/>
      <c r="BB641" s="1"/>
      <c r="BE641" s="67">
        <f t="shared" si="1"/>
        <v>0</v>
      </c>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t="s">
        <v>6620</v>
      </c>
      <c r="Z642" s="3">
        <v>290.55</v>
      </c>
      <c r="AA642" s="1"/>
      <c r="AB642" s="1"/>
      <c r="AC642" s="1"/>
      <c r="AD642" s="1"/>
      <c r="AE642" s="1"/>
      <c r="AF642" s="1"/>
      <c r="AG642" s="1"/>
      <c r="AH642" s="1"/>
      <c r="AI642" s="1"/>
      <c r="AJ642" s="1"/>
      <c r="AK642" s="1"/>
      <c r="AL642" s="1"/>
      <c r="AM642" s="1"/>
      <c r="AN642" s="1"/>
      <c r="AO642" s="1"/>
      <c r="AP642" s="1"/>
      <c r="AQ642" s="1"/>
      <c r="AR642" s="1"/>
      <c r="AS642" s="1"/>
      <c r="AT642" s="1"/>
      <c r="AU642" s="1"/>
      <c r="AV642" s="1"/>
      <c r="AW642" s="1" t="s">
        <v>6621</v>
      </c>
      <c r="AX642" s="3">
        <v>290.55</v>
      </c>
      <c r="AY642" s="1"/>
      <c r="AZ642" s="1"/>
      <c r="BA642" s="1"/>
      <c r="BB642" s="1"/>
      <c r="BE642" s="67">
        <f t="shared" si="1"/>
        <v>0</v>
      </c>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t="s">
        <v>6622</v>
      </c>
      <c r="Z643" s="3">
        <v>290.55</v>
      </c>
      <c r="AA643" s="1"/>
      <c r="AB643" s="1"/>
      <c r="AC643" s="1"/>
      <c r="AD643" s="1"/>
      <c r="AE643" s="1"/>
      <c r="AF643" s="1"/>
      <c r="AG643" s="1"/>
      <c r="AH643" s="1"/>
      <c r="AI643" s="1"/>
      <c r="AJ643" s="1"/>
      <c r="AK643" s="1"/>
      <c r="AL643" s="1"/>
      <c r="AM643" s="1"/>
      <c r="AN643" s="1"/>
      <c r="AO643" s="1"/>
      <c r="AP643" s="1"/>
      <c r="AQ643" s="1"/>
      <c r="AR643" s="1"/>
      <c r="AS643" s="1"/>
      <c r="AT643" s="1"/>
      <c r="AU643" s="1"/>
      <c r="AV643" s="1"/>
      <c r="AW643" s="1" t="s">
        <v>6623</v>
      </c>
      <c r="AX643" s="3">
        <v>290.55</v>
      </c>
      <c r="AY643" s="1"/>
      <c r="AZ643" s="1"/>
      <c r="BA643" s="1"/>
      <c r="BB643" s="1"/>
      <c r="BE643" s="67">
        <f t="shared" si="1"/>
        <v>0</v>
      </c>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t="s">
        <v>6624</v>
      </c>
      <c r="Z644" s="3">
        <v>290.55</v>
      </c>
      <c r="AA644" s="1"/>
      <c r="AB644" s="1"/>
      <c r="AC644" s="1"/>
      <c r="AD644" s="1"/>
      <c r="AE644" s="1"/>
      <c r="AF644" s="1"/>
      <c r="AG644" s="1"/>
      <c r="AH644" s="1"/>
      <c r="AI644" s="1"/>
      <c r="AJ644" s="1"/>
      <c r="AK644" s="1"/>
      <c r="AL644" s="1"/>
      <c r="AM644" s="1"/>
      <c r="AN644" s="1"/>
      <c r="AO644" s="1"/>
      <c r="AP644" s="1"/>
      <c r="AQ644" s="1"/>
      <c r="AR644" s="1"/>
      <c r="AS644" s="1"/>
      <c r="AT644" s="1"/>
      <c r="AU644" s="1"/>
      <c r="AV644" s="1"/>
      <c r="AW644" s="1" t="s">
        <v>6625</v>
      </c>
      <c r="AX644" s="3">
        <v>290.55</v>
      </c>
      <c r="AY644" s="1"/>
      <c r="AZ644" s="1"/>
      <c r="BA644" s="1"/>
      <c r="BB644" s="1"/>
      <c r="BE644" s="67">
        <f t="shared" si="1"/>
        <v>0</v>
      </c>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t="s">
        <v>6626</v>
      </c>
      <c r="Z645" s="3">
        <v>290.55</v>
      </c>
      <c r="AA645" s="1"/>
      <c r="AB645" s="1"/>
      <c r="AC645" s="1"/>
      <c r="AD645" s="1"/>
      <c r="AE645" s="1"/>
      <c r="AF645" s="1"/>
      <c r="AG645" s="1"/>
      <c r="AH645" s="1"/>
      <c r="AI645" s="1"/>
      <c r="AJ645" s="1"/>
      <c r="AK645" s="1"/>
      <c r="AL645" s="1"/>
      <c r="AM645" s="1"/>
      <c r="AN645" s="1"/>
      <c r="AO645" s="1"/>
      <c r="AP645" s="1"/>
      <c r="AQ645" s="1"/>
      <c r="AR645" s="1"/>
      <c r="AS645" s="1"/>
      <c r="AT645" s="1"/>
      <c r="AU645" s="1"/>
      <c r="AV645" s="1"/>
      <c r="AW645" s="1" t="s">
        <v>6627</v>
      </c>
      <c r="AX645" s="3">
        <v>290.55</v>
      </c>
      <c r="AY645" s="1"/>
      <c r="AZ645" s="1"/>
      <c r="BA645" s="1"/>
      <c r="BB645" s="1"/>
      <c r="BE645" s="67">
        <f t="shared" si="1"/>
        <v>0</v>
      </c>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t="s">
        <v>6628</v>
      </c>
      <c r="Z646" s="3">
        <v>290.55</v>
      </c>
      <c r="AA646" s="1"/>
      <c r="AB646" s="1"/>
      <c r="AC646" s="1"/>
      <c r="AD646" s="1"/>
      <c r="AE646" s="1"/>
      <c r="AF646" s="1"/>
      <c r="AG646" s="1"/>
      <c r="AH646" s="1"/>
      <c r="AI646" s="1"/>
      <c r="AJ646" s="1"/>
      <c r="AK646" s="1"/>
      <c r="AL646" s="1"/>
      <c r="AM646" s="1"/>
      <c r="AN646" s="1"/>
      <c r="AO646" s="1"/>
      <c r="AP646" s="1"/>
      <c r="AQ646" s="1"/>
      <c r="AR646" s="1"/>
      <c r="AS646" s="1"/>
      <c r="AT646" s="1"/>
      <c r="AU646" s="1"/>
      <c r="AV646" s="1"/>
      <c r="AW646" s="1" t="s">
        <v>6629</v>
      </c>
      <c r="AX646" s="3">
        <v>290.55</v>
      </c>
      <c r="AY646" s="1"/>
      <c r="AZ646" s="1"/>
      <c r="BA646" s="1"/>
      <c r="BB646" s="1"/>
      <c r="BE646" s="67">
        <f t="shared" si="1"/>
        <v>0</v>
      </c>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t="s">
        <v>6630</v>
      </c>
      <c r="Z647" s="3">
        <v>290.55</v>
      </c>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E647" s="67">
        <f t="shared" si="1"/>
        <v>0</v>
      </c>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t="s">
        <v>6631</v>
      </c>
      <c r="Z648" s="3">
        <v>290.55</v>
      </c>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E648" s="67">
        <f t="shared" si="1"/>
        <v>0</v>
      </c>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t="s">
        <v>6632</v>
      </c>
      <c r="Z649" s="3">
        <v>290.55</v>
      </c>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E649" s="67">
        <f t="shared" si="1"/>
        <v>0</v>
      </c>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t="s">
        <v>6633</v>
      </c>
      <c r="Z650" s="3">
        <v>290.55</v>
      </c>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E650" s="67">
        <f t="shared" si="1"/>
        <v>0</v>
      </c>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t="s">
        <v>6634</v>
      </c>
      <c r="Z651" s="3">
        <v>290.55</v>
      </c>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E651" s="67">
        <f t="shared" si="1"/>
        <v>0</v>
      </c>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t="s">
        <v>6635</v>
      </c>
      <c r="Z652" s="3">
        <v>290.55</v>
      </c>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E652" s="67">
        <f t="shared" si="1"/>
        <v>0</v>
      </c>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t="s">
        <v>6636</v>
      </c>
      <c r="Z653" s="3">
        <v>290.55</v>
      </c>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E653" s="67">
        <f t="shared" si="1"/>
        <v>0</v>
      </c>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t="s">
        <v>6637</v>
      </c>
      <c r="Z654" s="3">
        <v>290.55</v>
      </c>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E654" s="67">
        <f t="shared" si="1"/>
        <v>0</v>
      </c>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t="s">
        <v>6638</v>
      </c>
      <c r="Z655" s="3">
        <v>290.55</v>
      </c>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E655" s="67">
        <f t="shared" si="1"/>
        <v>0</v>
      </c>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t="s">
        <v>6639</v>
      </c>
      <c r="Z656" s="3">
        <v>290.55</v>
      </c>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E656" s="67">
        <f t="shared" si="1"/>
        <v>0</v>
      </c>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t="s">
        <v>6640</v>
      </c>
      <c r="Z657" s="3">
        <v>290.55</v>
      </c>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E657" s="67">
        <f t="shared" si="1"/>
        <v>0</v>
      </c>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t="s">
        <v>6641</v>
      </c>
      <c r="Z658" s="3">
        <v>290.55</v>
      </c>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E658" s="67">
        <f t="shared" si="1"/>
        <v>0</v>
      </c>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t="s">
        <v>6642</v>
      </c>
      <c r="Z659" s="3">
        <v>290.55</v>
      </c>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E659" s="67">
        <f t="shared" si="1"/>
        <v>0</v>
      </c>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t="s">
        <v>6643</v>
      </c>
      <c r="Z660" s="3">
        <v>290.55</v>
      </c>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E660" s="67">
        <f t="shared" si="1"/>
        <v>0</v>
      </c>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t="s">
        <v>6644</v>
      </c>
      <c r="Z661" s="3">
        <v>290.55</v>
      </c>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E661" s="67">
        <f t="shared" si="1"/>
        <v>0</v>
      </c>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t="s">
        <v>6645</v>
      </c>
      <c r="Z662" s="3">
        <v>290.55</v>
      </c>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E662" s="67">
        <f t="shared" si="1"/>
        <v>0</v>
      </c>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t="s">
        <v>6646</v>
      </c>
      <c r="Z663" s="3">
        <v>290.55</v>
      </c>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E663" s="67">
        <f t="shared" si="1"/>
        <v>0</v>
      </c>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t="s">
        <v>6647</v>
      </c>
      <c r="Z664" s="3">
        <v>290.55</v>
      </c>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E664" s="67">
        <f t="shared" si="1"/>
        <v>0</v>
      </c>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t="s">
        <v>5836</v>
      </c>
      <c r="Z665" s="3">
        <v>290.55</v>
      </c>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E665" s="67">
        <f t="shared" si="1"/>
        <v>0</v>
      </c>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t="s">
        <v>6648</v>
      </c>
      <c r="Z666" s="3">
        <v>290.55</v>
      </c>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E666" s="67">
        <f t="shared" si="1"/>
        <v>0</v>
      </c>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t="s">
        <v>6649</v>
      </c>
      <c r="Z667" s="3">
        <v>290.55</v>
      </c>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E667" s="67">
        <f t="shared" si="1"/>
        <v>0</v>
      </c>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t="s">
        <v>6650</v>
      </c>
      <c r="Z668" s="3">
        <v>290.55</v>
      </c>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E668" s="67">
        <f t="shared" si="1"/>
        <v>0</v>
      </c>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t="s">
        <v>6651</v>
      </c>
      <c r="Z669" s="3">
        <v>290.55</v>
      </c>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E669" s="67">
        <f t="shared" si="1"/>
        <v>0</v>
      </c>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t="s">
        <v>6652</v>
      </c>
      <c r="Z670" s="3">
        <v>290.55</v>
      </c>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E670" s="67">
        <f t="shared" si="1"/>
        <v>0</v>
      </c>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t="s">
        <v>6653</v>
      </c>
      <c r="Z671" s="3">
        <v>290.55</v>
      </c>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E671" s="67">
        <f t="shared" si="1"/>
        <v>0</v>
      </c>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t="s">
        <v>6654</v>
      </c>
      <c r="Z672" s="3">
        <v>290.55</v>
      </c>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E672" s="67">
        <f t="shared" si="1"/>
        <v>0</v>
      </c>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t="s">
        <v>6655</v>
      </c>
      <c r="Z673" s="3">
        <v>290.55</v>
      </c>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E673" s="67">
        <f t="shared" si="1"/>
        <v>0</v>
      </c>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t="s">
        <v>6656</v>
      </c>
      <c r="Z674" s="3">
        <v>290.55</v>
      </c>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E674" s="67">
        <f t="shared" si="1"/>
        <v>0</v>
      </c>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t="s">
        <v>6657</v>
      </c>
      <c r="Z675" s="3">
        <v>290.55</v>
      </c>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E675" s="67">
        <f t="shared" si="1"/>
        <v>0</v>
      </c>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t="s">
        <v>4721</v>
      </c>
      <c r="Z676" s="3">
        <v>290.55</v>
      </c>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E676" s="67">
        <f t="shared" si="1"/>
        <v>0</v>
      </c>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t="s">
        <v>6658</v>
      </c>
      <c r="Z677" s="3">
        <v>290.55</v>
      </c>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E677" s="67">
        <f t="shared" si="1"/>
        <v>0</v>
      </c>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t="s">
        <v>6659</v>
      </c>
      <c r="Z678" s="3">
        <v>290.55</v>
      </c>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E678" s="67">
        <f t="shared" si="1"/>
        <v>0</v>
      </c>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t="s">
        <v>6660</v>
      </c>
      <c r="Z679" s="3">
        <v>290.55</v>
      </c>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E679" s="67">
        <f t="shared" si="1"/>
        <v>0</v>
      </c>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t="s">
        <v>6661</v>
      </c>
      <c r="Z680" s="3">
        <v>290.55</v>
      </c>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E680" s="67">
        <f t="shared" si="1"/>
        <v>0</v>
      </c>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t="s">
        <v>6662</v>
      </c>
      <c r="Z681" s="3">
        <v>290.55</v>
      </c>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E681" s="67">
        <f t="shared" si="1"/>
        <v>0</v>
      </c>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t="s">
        <v>6663</v>
      </c>
      <c r="Z682" s="3">
        <v>290.55</v>
      </c>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E682" s="67">
        <f t="shared" si="1"/>
        <v>0</v>
      </c>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t="s">
        <v>6664</v>
      </c>
      <c r="Z683" s="3">
        <v>290.55</v>
      </c>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E683" s="67">
        <f t="shared" si="1"/>
        <v>0</v>
      </c>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t="s">
        <v>6665</v>
      </c>
      <c r="Z684" s="3">
        <v>290.55</v>
      </c>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E684" s="67">
        <f t="shared" si="1"/>
        <v>0</v>
      </c>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t="s">
        <v>6666</v>
      </c>
      <c r="Z685" s="3">
        <v>290.55</v>
      </c>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E685" s="67">
        <f t="shared" si="1"/>
        <v>0</v>
      </c>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t="s">
        <v>6667</v>
      </c>
      <c r="Z686" s="3">
        <v>290.55</v>
      </c>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E686" s="67">
        <f t="shared" si="1"/>
        <v>0</v>
      </c>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t="s">
        <v>6668</v>
      </c>
      <c r="Z687" s="3">
        <v>290.55</v>
      </c>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E687" s="67">
        <f t="shared" si="1"/>
        <v>0</v>
      </c>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t="s">
        <v>6669</v>
      </c>
      <c r="Z688" s="3">
        <v>290.55</v>
      </c>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E688" s="67">
        <f t="shared" si="1"/>
        <v>0</v>
      </c>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t="s">
        <v>6670</v>
      </c>
      <c r="Z689" s="3">
        <v>290.55</v>
      </c>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E689" s="67">
        <f t="shared" si="1"/>
        <v>0</v>
      </c>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t="s">
        <v>6671</v>
      </c>
      <c r="Z690" s="3">
        <v>290.55</v>
      </c>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E690" s="67">
        <f t="shared" si="1"/>
        <v>0</v>
      </c>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t="s">
        <v>6672</v>
      </c>
      <c r="Z691" s="3">
        <v>290.55</v>
      </c>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E691" s="67">
        <f t="shared" si="1"/>
        <v>0</v>
      </c>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t="s">
        <v>6673</v>
      </c>
      <c r="Z692" s="3">
        <v>290.55</v>
      </c>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E692" s="67">
        <f t="shared" si="1"/>
        <v>0</v>
      </c>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t="s">
        <v>6674</v>
      </c>
      <c r="Z693" s="3">
        <v>290.55</v>
      </c>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E693" s="67">
        <f t="shared" si="1"/>
        <v>0</v>
      </c>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t="s">
        <v>6675</v>
      </c>
      <c r="Z694" s="3">
        <v>290.55</v>
      </c>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E694" s="67">
        <f t="shared" si="1"/>
        <v>0</v>
      </c>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t="s">
        <v>6676</v>
      </c>
      <c r="Z695" s="3">
        <v>290.55</v>
      </c>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E695" s="67">
        <f t="shared" si="1"/>
        <v>0</v>
      </c>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t="s">
        <v>6677</v>
      </c>
      <c r="Z696" s="3">
        <v>290.55</v>
      </c>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E696" s="67">
        <f t="shared" si="1"/>
        <v>0</v>
      </c>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t="s">
        <v>6678</v>
      </c>
      <c r="Z697" s="3">
        <v>290.55</v>
      </c>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E697" s="67">
        <f t="shared" si="1"/>
        <v>0</v>
      </c>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t="s">
        <v>6679</v>
      </c>
      <c r="Z698" s="3">
        <v>290.55</v>
      </c>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E698" s="67">
        <f t="shared" si="1"/>
        <v>0</v>
      </c>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t="s">
        <v>6680</v>
      </c>
      <c r="Z699" s="3">
        <v>290.55</v>
      </c>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E699" s="67">
        <f t="shared" si="1"/>
        <v>0</v>
      </c>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t="s">
        <v>6681</v>
      </c>
      <c r="Z700" s="3">
        <v>290.55</v>
      </c>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E700" s="67">
        <f t="shared" si="1"/>
        <v>0</v>
      </c>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t="s">
        <v>6682</v>
      </c>
      <c r="Z701" s="3">
        <v>290.55</v>
      </c>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E701" s="67">
        <f t="shared" si="1"/>
        <v>0</v>
      </c>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t="s">
        <v>6683</v>
      </c>
      <c r="Z702" s="3">
        <v>290.55</v>
      </c>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E702" s="67">
        <f t="shared" si="1"/>
        <v>0</v>
      </c>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t="s">
        <v>6684</v>
      </c>
      <c r="Z703" s="3">
        <v>290.55</v>
      </c>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E703" s="67">
        <f t="shared" si="1"/>
        <v>0</v>
      </c>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t="s">
        <v>6685</v>
      </c>
      <c r="Z704" s="3">
        <v>290.55</v>
      </c>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E704" s="67">
        <f t="shared" si="1"/>
        <v>0</v>
      </c>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t="s">
        <v>6686</v>
      </c>
      <c r="Z705" s="3">
        <v>290.55</v>
      </c>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E705" s="67">
        <f t="shared" si="1"/>
        <v>0</v>
      </c>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t="s">
        <v>6687</v>
      </c>
      <c r="Z706" s="3">
        <v>290.55</v>
      </c>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E706" s="67">
        <f t="shared" si="1"/>
        <v>0</v>
      </c>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t="s">
        <v>6688</v>
      </c>
      <c r="Z707" s="3">
        <v>290.55</v>
      </c>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E707" s="67">
        <f t="shared" si="1"/>
        <v>0</v>
      </c>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t="s">
        <v>6689</v>
      </c>
      <c r="Z708" s="3">
        <v>290.55</v>
      </c>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E708" s="67">
        <f t="shared" si="1"/>
        <v>0</v>
      </c>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t="s">
        <v>6690</v>
      </c>
      <c r="Z709" s="3">
        <v>290.55</v>
      </c>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E709" s="67">
        <f t="shared" si="1"/>
        <v>0</v>
      </c>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t="s">
        <v>6691</v>
      </c>
      <c r="Z710" s="3">
        <v>290.55</v>
      </c>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E710" s="67">
        <f t="shared" si="1"/>
        <v>0</v>
      </c>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t="s">
        <v>6692</v>
      </c>
      <c r="Z711" s="3">
        <v>290.55</v>
      </c>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E711" s="67">
        <f t="shared" si="1"/>
        <v>0</v>
      </c>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t="s">
        <v>6693</v>
      </c>
      <c r="Z712" s="3">
        <v>290.55</v>
      </c>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E712" s="67">
        <f t="shared" si="1"/>
        <v>0</v>
      </c>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t="s">
        <v>6694</v>
      </c>
      <c r="Z713" s="3">
        <v>290.55</v>
      </c>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E713" s="67">
        <f t="shared" si="1"/>
        <v>0</v>
      </c>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t="s">
        <v>3273</v>
      </c>
      <c r="Z714" s="3">
        <v>290.55</v>
      </c>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E714" s="67">
        <f t="shared" si="1"/>
        <v>0</v>
      </c>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t="s">
        <v>6018</v>
      </c>
      <c r="Z715" s="3">
        <v>290.55</v>
      </c>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E715" s="67">
        <f t="shared" si="1"/>
        <v>0</v>
      </c>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t="s">
        <v>6695</v>
      </c>
      <c r="Z716" s="3">
        <v>290.55</v>
      </c>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E716" s="67">
        <f t="shared" si="1"/>
        <v>0</v>
      </c>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t="s">
        <v>6696</v>
      </c>
      <c r="Z717" s="3">
        <v>290.55</v>
      </c>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E717" s="67">
        <f t="shared" si="1"/>
        <v>0</v>
      </c>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t="s">
        <v>6697</v>
      </c>
      <c r="Z718" s="3">
        <v>290.55</v>
      </c>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E718" s="67">
        <f t="shared" si="1"/>
        <v>0</v>
      </c>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t="s">
        <v>6698</v>
      </c>
      <c r="Z719" s="3">
        <v>290.55</v>
      </c>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E719" s="67">
        <f t="shared" si="1"/>
        <v>0</v>
      </c>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t="s">
        <v>6699</v>
      </c>
      <c r="Z720" s="3">
        <v>290.55</v>
      </c>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E720" s="67">
        <f t="shared" si="1"/>
        <v>0</v>
      </c>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t="s">
        <v>6700</v>
      </c>
      <c r="Z721" s="3">
        <v>290.55</v>
      </c>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E721" s="67">
        <f t="shared" si="1"/>
        <v>0</v>
      </c>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t="s">
        <v>6701</v>
      </c>
      <c r="Z722" s="3">
        <v>290.55</v>
      </c>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E722" s="67">
        <f t="shared" si="1"/>
        <v>0</v>
      </c>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t="s">
        <v>6702</v>
      </c>
      <c r="Z723" s="3">
        <v>290.55</v>
      </c>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E723" s="67">
        <f t="shared" si="1"/>
        <v>0</v>
      </c>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t="s">
        <v>6703</v>
      </c>
      <c r="Z724" s="3">
        <v>290.55</v>
      </c>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E724" s="67">
        <f t="shared" si="1"/>
        <v>0</v>
      </c>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t="s">
        <v>6704</v>
      </c>
      <c r="Z725" s="3">
        <v>290.55</v>
      </c>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E725" s="67">
        <f t="shared" si="1"/>
        <v>0</v>
      </c>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t="s">
        <v>6705</v>
      </c>
      <c r="Z726" s="3">
        <v>290.55</v>
      </c>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E726" s="67">
        <f t="shared" si="1"/>
        <v>0</v>
      </c>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t="s">
        <v>6706</v>
      </c>
      <c r="Z727" s="3">
        <v>290.55</v>
      </c>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E727" s="67">
        <f t="shared" si="1"/>
        <v>0</v>
      </c>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t="s">
        <v>6707</v>
      </c>
      <c r="Z728" s="3">
        <v>290.55</v>
      </c>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E728" s="67">
        <f t="shared" si="1"/>
        <v>0</v>
      </c>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t="s">
        <v>6708</v>
      </c>
      <c r="Z729" s="3">
        <v>290.55</v>
      </c>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E729" s="67">
        <f t="shared" si="1"/>
        <v>0</v>
      </c>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t="s">
        <v>6709</v>
      </c>
      <c r="Z730" s="3">
        <v>290.55</v>
      </c>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E730" s="67">
        <f t="shared" si="1"/>
        <v>0</v>
      </c>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t="s">
        <v>6710</v>
      </c>
      <c r="Z731" s="3">
        <v>290.55</v>
      </c>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E731" s="67">
        <f t="shared" si="1"/>
        <v>0</v>
      </c>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t="s">
        <v>6711</v>
      </c>
      <c r="Z732" s="3">
        <v>290.55</v>
      </c>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E732" s="67">
        <f t="shared" si="1"/>
        <v>0</v>
      </c>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t="s">
        <v>6712</v>
      </c>
      <c r="Z733" s="3">
        <v>290.55</v>
      </c>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E733" s="67">
        <f t="shared" si="1"/>
        <v>0</v>
      </c>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t="s">
        <v>6713</v>
      </c>
      <c r="Z734" s="3">
        <v>290.55</v>
      </c>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E734" s="67">
        <f t="shared" si="1"/>
        <v>0</v>
      </c>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t="s">
        <v>6714</v>
      </c>
      <c r="Z735" s="3">
        <v>290.55</v>
      </c>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E735" s="67">
        <f t="shared" si="1"/>
        <v>0</v>
      </c>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t="s">
        <v>6715</v>
      </c>
      <c r="Z736" s="3">
        <v>290.55</v>
      </c>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E736" s="67">
        <f t="shared" si="1"/>
        <v>0</v>
      </c>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t="s">
        <v>4912</v>
      </c>
      <c r="Z737" s="3">
        <v>290.55</v>
      </c>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E737" s="67">
        <f t="shared" si="1"/>
        <v>0</v>
      </c>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t="s">
        <v>6716</v>
      </c>
      <c r="Z738" s="3">
        <v>290.55</v>
      </c>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E738" s="67">
        <f t="shared" si="1"/>
        <v>0</v>
      </c>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t="s">
        <v>6717</v>
      </c>
      <c r="Z739" s="3">
        <v>290.55</v>
      </c>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E739" s="67">
        <f t="shared" si="1"/>
        <v>0</v>
      </c>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t="s">
        <v>6718</v>
      </c>
      <c r="Z740" s="3">
        <v>290.55</v>
      </c>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E740" s="67">
        <f t="shared" si="1"/>
        <v>0</v>
      </c>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t="s">
        <v>6719</v>
      </c>
      <c r="Z741" s="3">
        <v>290.55</v>
      </c>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E741" s="67">
        <f t="shared" si="1"/>
        <v>0</v>
      </c>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t="s">
        <v>6720</v>
      </c>
      <c r="Z742" s="3">
        <v>290.55</v>
      </c>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E742" s="67">
        <f t="shared" si="1"/>
        <v>0</v>
      </c>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t="s">
        <v>6721</v>
      </c>
      <c r="Z743" s="3">
        <v>290.55</v>
      </c>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E743" s="67">
        <f t="shared" si="1"/>
        <v>0</v>
      </c>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t="s">
        <v>6722</v>
      </c>
      <c r="Z744" s="3">
        <v>290.55</v>
      </c>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E744" s="67">
        <f t="shared" si="1"/>
        <v>0</v>
      </c>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t="s">
        <v>6723</v>
      </c>
      <c r="Z745" s="3">
        <v>290.55</v>
      </c>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E745" s="67">
        <f t="shared" si="1"/>
        <v>0</v>
      </c>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t="s">
        <v>5067</v>
      </c>
      <c r="Z746" s="3">
        <v>290.55</v>
      </c>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E746" s="67">
        <f t="shared" si="1"/>
        <v>0</v>
      </c>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t="s">
        <v>6724</v>
      </c>
      <c r="Z747" s="3">
        <v>290.55</v>
      </c>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E747" s="67">
        <f t="shared" si="1"/>
        <v>0</v>
      </c>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t="s">
        <v>6725</v>
      </c>
      <c r="Z748" s="3">
        <v>290.55</v>
      </c>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E748" s="67">
        <f t="shared" si="1"/>
        <v>0</v>
      </c>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t="s">
        <v>6726</v>
      </c>
      <c r="Z749" s="3">
        <v>290.55</v>
      </c>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E749" s="67">
        <f t="shared" si="1"/>
        <v>0</v>
      </c>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t="s">
        <v>6727</v>
      </c>
      <c r="Z750" s="3">
        <v>290.55</v>
      </c>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E750" s="67">
        <f t="shared" si="1"/>
        <v>0</v>
      </c>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t="s">
        <v>6728</v>
      </c>
      <c r="Z751" s="3">
        <v>290.55</v>
      </c>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E751" s="67">
        <f t="shared" si="1"/>
        <v>0</v>
      </c>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t="s">
        <v>6729</v>
      </c>
      <c r="Z752" s="3">
        <v>290.55</v>
      </c>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E752" s="67">
        <f t="shared" si="1"/>
        <v>0</v>
      </c>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t="s">
        <v>6730</v>
      </c>
      <c r="Z753" s="3">
        <v>290.55</v>
      </c>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E753" s="67">
        <f t="shared" si="1"/>
        <v>0</v>
      </c>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t="s">
        <v>6731</v>
      </c>
      <c r="Z754" s="3">
        <v>290.55</v>
      </c>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E754" s="67">
        <f t="shared" si="1"/>
        <v>0</v>
      </c>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t="s">
        <v>6732</v>
      </c>
      <c r="Z755" s="3">
        <v>290.55</v>
      </c>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E755" s="67">
        <f t="shared" si="1"/>
        <v>0</v>
      </c>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t="s">
        <v>6733</v>
      </c>
      <c r="Z756" s="3">
        <v>290.55</v>
      </c>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E756" s="67">
        <f t="shared" si="1"/>
        <v>0</v>
      </c>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t="s">
        <v>6734</v>
      </c>
      <c r="Z757" s="3">
        <v>290.55</v>
      </c>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E757" s="67">
        <f t="shared" si="1"/>
        <v>0</v>
      </c>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t="s">
        <v>6735</v>
      </c>
      <c r="Z758" s="3">
        <v>290.55</v>
      </c>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E758" s="67">
        <f t="shared" si="1"/>
        <v>0</v>
      </c>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t="s">
        <v>6736</v>
      </c>
      <c r="Z759" s="3">
        <v>290.55</v>
      </c>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E759" s="67">
        <f t="shared" si="1"/>
        <v>0</v>
      </c>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t="s">
        <v>6737</v>
      </c>
      <c r="Z760" s="3">
        <v>290.55</v>
      </c>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E760" s="67">
        <f t="shared" si="1"/>
        <v>0</v>
      </c>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t="s">
        <v>6738</v>
      </c>
      <c r="Z761" s="3">
        <v>290.55</v>
      </c>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E761" s="67">
        <f t="shared" si="1"/>
        <v>0</v>
      </c>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t="s">
        <v>6739</v>
      </c>
      <c r="Z762" s="3">
        <v>290.55</v>
      </c>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E762" s="67">
        <f t="shared" si="1"/>
        <v>0</v>
      </c>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t="s">
        <v>6740</v>
      </c>
      <c r="Z763" s="3">
        <v>290.55</v>
      </c>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E763" s="67">
        <f t="shared" si="1"/>
        <v>0</v>
      </c>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t="s">
        <v>6741</v>
      </c>
      <c r="Z764" s="3">
        <v>290.55</v>
      </c>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E764" s="67">
        <f t="shared" si="1"/>
        <v>0</v>
      </c>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t="s">
        <v>6742</v>
      </c>
      <c r="Z765" s="3">
        <v>290.55</v>
      </c>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E765" s="67">
        <f t="shared" si="1"/>
        <v>0</v>
      </c>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t="s">
        <v>6743</v>
      </c>
      <c r="Z766" s="3">
        <v>290.55</v>
      </c>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E766" s="67">
        <f t="shared" si="1"/>
        <v>0</v>
      </c>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t="s">
        <v>6744</v>
      </c>
      <c r="Z767" s="3">
        <v>290.55</v>
      </c>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E767" s="67">
        <f t="shared" si="1"/>
        <v>0</v>
      </c>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t="s">
        <v>6745</v>
      </c>
      <c r="Z768" s="3">
        <v>290.55</v>
      </c>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E768" s="67">
        <f t="shared" si="1"/>
        <v>0</v>
      </c>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t="s">
        <v>6746</v>
      </c>
      <c r="Z769" s="3">
        <v>290.55</v>
      </c>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E769" s="67">
        <f t="shared" si="1"/>
        <v>0</v>
      </c>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t="s">
        <v>6747</v>
      </c>
      <c r="Z770" s="3">
        <v>290.55</v>
      </c>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E770" s="67">
        <f t="shared" si="1"/>
        <v>0</v>
      </c>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t="s">
        <v>6748</v>
      </c>
      <c r="Z771" s="3">
        <v>290.55</v>
      </c>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E771" s="67">
        <f t="shared" si="1"/>
        <v>0</v>
      </c>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t="s">
        <v>6749</v>
      </c>
      <c r="Z772" s="3">
        <v>290.55</v>
      </c>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E772" s="67">
        <f t="shared" si="1"/>
        <v>0</v>
      </c>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t="s">
        <v>702</v>
      </c>
      <c r="Z773" s="3">
        <v>290.55</v>
      </c>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E773" s="67">
        <f t="shared" si="1"/>
        <v>0</v>
      </c>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t="s">
        <v>6750</v>
      </c>
      <c r="Z774" s="3">
        <v>290.55</v>
      </c>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E774" s="67">
        <f t="shared" si="1"/>
        <v>0</v>
      </c>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t="s">
        <v>6751</v>
      </c>
      <c r="Z775" s="3">
        <v>290.55</v>
      </c>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E775" s="67">
        <f t="shared" si="1"/>
        <v>0</v>
      </c>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t="s">
        <v>6752</v>
      </c>
      <c r="Z776" s="3">
        <v>290.55</v>
      </c>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E776" s="67">
        <f t="shared" si="1"/>
        <v>0</v>
      </c>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t="s">
        <v>6753</v>
      </c>
      <c r="Z777" s="3">
        <v>290.55</v>
      </c>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E777" s="67">
        <f t="shared" si="1"/>
        <v>0</v>
      </c>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t="s">
        <v>6754</v>
      </c>
      <c r="Z778" s="3">
        <v>290.55</v>
      </c>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E778" s="67">
        <f t="shared" si="1"/>
        <v>0</v>
      </c>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t="s">
        <v>6755</v>
      </c>
      <c r="Z779" s="3">
        <v>290.55</v>
      </c>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E779" s="67">
        <f t="shared" si="1"/>
        <v>0</v>
      </c>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t="s">
        <v>6756</v>
      </c>
      <c r="Z780" s="3">
        <v>290.55</v>
      </c>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E780" s="67">
        <f t="shared" si="1"/>
        <v>0</v>
      </c>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t="s">
        <v>6757</v>
      </c>
      <c r="Z781" s="3">
        <v>290.55</v>
      </c>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E781" s="67">
        <f t="shared" si="1"/>
        <v>0</v>
      </c>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t="s">
        <v>6758</v>
      </c>
      <c r="Z782" s="3">
        <v>290.55</v>
      </c>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E782" s="67">
        <f t="shared" si="1"/>
        <v>0</v>
      </c>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t="s">
        <v>6759</v>
      </c>
      <c r="Z783" s="3">
        <v>290.55</v>
      </c>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E783" s="67">
        <f t="shared" si="1"/>
        <v>0</v>
      </c>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t="s">
        <v>6760</v>
      </c>
      <c r="Z784" s="3">
        <v>290.55</v>
      </c>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E784" s="67">
        <f t="shared" si="1"/>
        <v>0</v>
      </c>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t="s">
        <v>6761</v>
      </c>
      <c r="Z785" s="3">
        <v>290.55</v>
      </c>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E785" s="67">
        <f t="shared" si="1"/>
        <v>0</v>
      </c>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t="s">
        <v>6762</v>
      </c>
      <c r="Z786" s="3">
        <v>290.55</v>
      </c>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E786" s="67">
        <f t="shared" si="1"/>
        <v>0</v>
      </c>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t="s">
        <v>6763</v>
      </c>
      <c r="Z787" s="3">
        <v>290.55</v>
      </c>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E787" s="67">
        <f t="shared" si="1"/>
        <v>0</v>
      </c>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t="s">
        <v>6764</v>
      </c>
      <c r="Z788" s="3">
        <v>290.55</v>
      </c>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E788" s="67">
        <f t="shared" si="1"/>
        <v>0</v>
      </c>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t="s">
        <v>6765</v>
      </c>
      <c r="Z789" s="3">
        <v>290.55</v>
      </c>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E789" s="67">
        <f t="shared" si="1"/>
        <v>0</v>
      </c>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t="s">
        <v>6766</v>
      </c>
      <c r="Z790" s="3">
        <v>290.55</v>
      </c>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E790" s="67">
        <f t="shared" si="1"/>
        <v>0</v>
      </c>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t="s">
        <v>6767</v>
      </c>
      <c r="Z791" s="3">
        <v>290.55</v>
      </c>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E791" s="67">
        <f t="shared" si="1"/>
        <v>0</v>
      </c>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t="s">
        <v>6768</v>
      </c>
      <c r="Z792" s="3">
        <v>290.55</v>
      </c>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E792" s="67">
        <f t="shared" si="1"/>
        <v>0</v>
      </c>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t="s">
        <v>6769</v>
      </c>
      <c r="Z793" s="3">
        <v>290.55</v>
      </c>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E793" s="67">
        <f t="shared" si="1"/>
        <v>0</v>
      </c>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t="s">
        <v>6770</v>
      </c>
      <c r="Z794" s="3">
        <v>290.55</v>
      </c>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E794" s="67">
        <f t="shared" si="1"/>
        <v>0</v>
      </c>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t="s">
        <v>6771</v>
      </c>
      <c r="Z795" s="3">
        <v>290.55</v>
      </c>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E795" s="67">
        <f t="shared" si="1"/>
        <v>0</v>
      </c>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t="s">
        <v>6772</v>
      </c>
      <c r="Z796" s="3">
        <v>290.55</v>
      </c>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E796" s="67">
        <f t="shared" si="1"/>
        <v>0</v>
      </c>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t="s">
        <v>6773</v>
      </c>
      <c r="Z797" s="3">
        <v>290.55</v>
      </c>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E797" s="67">
        <f t="shared" si="1"/>
        <v>0</v>
      </c>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t="s">
        <v>6774</v>
      </c>
      <c r="Z798" s="3">
        <v>290.55</v>
      </c>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E798" s="67">
        <f t="shared" si="1"/>
        <v>0</v>
      </c>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t="s">
        <v>6775</v>
      </c>
      <c r="Z799" s="3">
        <v>290.55</v>
      </c>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E799" s="67">
        <f t="shared" si="1"/>
        <v>0</v>
      </c>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t="s">
        <v>6776</v>
      </c>
      <c r="Z800" s="3">
        <v>290.55</v>
      </c>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E800" s="67">
        <f t="shared" si="1"/>
        <v>0</v>
      </c>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t="s">
        <v>6777</v>
      </c>
      <c r="Z801" s="3">
        <v>290.55</v>
      </c>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E801" s="67">
        <f t="shared" si="1"/>
        <v>0</v>
      </c>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t="s">
        <v>378</v>
      </c>
      <c r="Z802" s="3">
        <v>290.55</v>
      </c>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E802" s="67">
        <f t="shared" si="1"/>
        <v>0</v>
      </c>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t="s">
        <v>6544</v>
      </c>
      <c r="Z803" s="3">
        <v>290.55</v>
      </c>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E803" s="67">
        <f t="shared" si="1"/>
        <v>0</v>
      </c>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t="s">
        <v>6778</v>
      </c>
      <c r="Z804" s="3">
        <v>290.55</v>
      </c>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E804" s="67">
        <f t="shared" si="1"/>
        <v>0</v>
      </c>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t="s">
        <v>6779</v>
      </c>
      <c r="Z805" s="3">
        <v>290.55</v>
      </c>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E805" s="67">
        <f t="shared" si="1"/>
        <v>0</v>
      </c>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t="s">
        <v>6780</v>
      </c>
      <c r="Z806" s="3">
        <v>290.55</v>
      </c>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E806" s="67">
        <f t="shared" si="1"/>
        <v>0</v>
      </c>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t="s">
        <v>6781</v>
      </c>
      <c r="Z807" s="3">
        <v>290.55</v>
      </c>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E807" s="67">
        <f t="shared" si="1"/>
        <v>0</v>
      </c>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t="s">
        <v>6782</v>
      </c>
      <c r="Z808" s="3">
        <v>290.55</v>
      </c>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E808" s="67">
        <f t="shared" si="1"/>
        <v>0</v>
      </c>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t="s">
        <v>6783</v>
      </c>
      <c r="Z809" s="3">
        <v>290.55</v>
      </c>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E809" s="67">
        <f t="shared" si="1"/>
        <v>0</v>
      </c>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t="s">
        <v>6784</v>
      </c>
      <c r="Z810" s="3">
        <v>290.55</v>
      </c>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E810" s="67">
        <f t="shared" si="1"/>
        <v>0</v>
      </c>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t="s">
        <v>6785</v>
      </c>
      <c r="Z811" s="3">
        <v>290.55</v>
      </c>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E811" s="67">
        <f t="shared" si="1"/>
        <v>0</v>
      </c>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t="s">
        <v>6786</v>
      </c>
      <c r="Z812" s="3">
        <v>290.55</v>
      </c>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E812" s="67">
        <f t="shared" si="1"/>
        <v>0</v>
      </c>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t="s">
        <v>42</v>
      </c>
      <c r="Z813" s="3">
        <v>290.55</v>
      </c>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E813" s="67">
        <f t="shared" si="1"/>
        <v>0</v>
      </c>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t="s">
        <v>6787</v>
      </c>
      <c r="Z814" s="3">
        <v>290.55</v>
      </c>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E814" s="67">
        <f t="shared" si="1"/>
        <v>0</v>
      </c>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t="s">
        <v>6788</v>
      </c>
      <c r="Z815" s="3">
        <v>290.55</v>
      </c>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E815" s="67">
        <f t="shared" si="1"/>
        <v>0</v>
      </c>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t="s">
        <v>6789</v>
      </c>
      <c r="Z816" s="3">
        <v>290.55</v>
      </c>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E816" s="67">
        <f t="shared" si="1"/>
        <v>0</v>
      </c>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t="s">
        <v>664</v>
      </c>
      <c r="Z817" s="3">
        <v>290.55</v>
      </c>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E817" s="67">
        <f t="shared" si="1"/>
        <v>0</v>
      </c>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t="s">
        <v>6790</v>
      </c>
      <c r="Z818" s="3">
        <v>290.55</v>
      </c>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E818" s="67">
        <f t="shared" si="1"/>
        <v>0</v>
      </c>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t="s">
        <v>6791</v>
      </c>
      <c r="Z819" s="3">
        <v>290.55</v>
      </c>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E819" s="67">
        <f t="shared" si="1"/>
        <v>0</v>
      </c>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t="s">
        <v>6586</v>
      </c>
      <c r="Z820" s="3">
        <v>290.55</v>
      </c>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E820" s="67">
        <f t="shared" si="1"/>
        <v>0</v>
      </c>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t="s">
        <v>6792</v>
      </c>
      <c r="Z821" s="3">
        <v>290.55</v>
      </c>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E821" s="67">
        <f t="shared" si="1"/>
        <v>0</v>
      </c>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t="s">
        <v>6793</v>
      </c>
      <c r="Z822" s="3">
        <v>290.55</v>
      </c>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E822" s="67">
        <f t="shared" si="1"/>
        <v>0</v>
      </c>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t="s">
        <v>6794</v>
      </c>
      <c r="Z823" s="3">
        <v>290.55</v>
      </c>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E823" s="67">
        <f t="shared" si="1"/>
        <v>0</v>
      </c>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t="s">
        <v>6795</v>
      </c>
      <c r="Z824" s="3">
        <v>290.55</v>
      </c>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E824" s="67">
        <f t="shared" si="1"/>
        <v>0</v>
      </c>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t="s">
        <v>6796</v>
      </c>
      <c r="Z825" s="3">
        <v>290.55</v>
      </c>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E825" s="67">
        <f t="shared" si="1"/>
        <v>0</v>
      </c>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t="s">
        <v>612</v>
      </c>
      <c r="Z826" s="3">
        <v>290.55</v>
      </c>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E826" s="67">
        <f t="shared" si="1"/>
        <v>0</v>
      </c>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t="s">
        <v>6797</v>
      </c>
      <c r="Z827" s="3">
        <v>290.55</v>
      </c>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E827" s="67">
        <f t="shared" si="1"/>
        <v>0</v>
      </c>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t="s">
        <v>6798</v>
      </c>
      <c r="Z828" s="3">
        <v>290.55</v>
      </c>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E828" s="67">
        <f t="shared" si="1"/>
        <v>0</v>
      </c>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t="s">
        <v>6799</v>
      </c>
      <c r="Z829" s="3">
        <v>290.55</v>
      </c>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E829" s="67">
        <f t="shared" si="1"/>
        <v>0</v>
      </c>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t="s">
        <v>6800</v>
      </c>
      <c r="Z830" s="3">
        <v>290.55</v>
      </c>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E830" s="67">
        <f t="shared" si="1"/>
        <v>0</v>
      </c>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t="s">
        <v>6801</v>
      </c>
      <c r="Z831" s="3">
        <v>290.55</v>
      </c>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E831" s="67">
        <f t="shared" si="1"/>
        <v>0</v>
      </c>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t="s">
        <v>6802</v>
      </c>
      <c r="Z832" s="3">
        <v>290.55</v>
      </c>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E832" s="67">
        <f t="shared" si="1"/>
        <v>0</v>
      </c>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t="s">
        <v>6803</v>
      </c>
      <c r="Z833" s="3">
        <v>290.55</v>
      </c>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E833" s="67">
        <f t="shared" si="1"/>
        <v>0</v>
      </c>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t="s">
        <v>5640</v>
      </c>
      <c r="Z834" s="3">
        <v>290.55</v>
      </c>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E834" s="67">
        <f t="shared" si="1"/>
        <v>0</v>
      </c>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t="s">
        <v>6804</v>
      </c>
      <c r="Z835" s="3">
        <v>290.55</v>
      </c>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E835" s="67">
        <f t="shared" si="1"/>
        <v>0</v>
      </c>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t="s">
        <v>680</v>
      </c>
      <c r="Z836" s="3">
        <v>290.55</v>
      </c>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E836" s="67">
        <f t="shared" si="1"/>
        <v>0</v>
      </c>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t="s">
        <v>6805</v>
      </c>
      <c r="Z837" s="3">
        <v>290.55</v>
      </c>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E837" s="67">
        <f t="shared" si="1"/>
        <v>0</v>
      </c>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t="s">
        <v>6806</v>
      </c>
      <c r="Z838" s="3">
        <v>290.55</v>
      </c>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E838" s="67">
        <f t="shared" si="1"/>
        <v>0</v>
      </c>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t="s">
        <v>6807</v>
      </c>
      <c r="Z839" s="3">
        <v>290.55</v>
      </c>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E839" s="67">
        <f t="shared" si="1"/>
        <v>0</v>
      </c>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t="s">
        <v>6808</v>
      </c>
      <c r="Z840" s="3">
        <v>290.55</v>
      </c>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E840" s="67">
        <f t="shared" si="1"/>
        <v>0</v>
      </c>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t="s">
        <v>6809</v>
      </c>
      <c r="Z841" s="3">
        <v>290.55</v>
      </c>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E841" s="67">
        <f t="shared" si="1"/>
        <v>0</v>
      </c>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t="s">
        <v>6810</v>
      </c>
      <c r="Z842" s="3">
        <v>290.55</v>
      </c>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E842" s="67">
        <f t="shared" si="1"/>
        <v>0</v>
      </c>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t="s">
        <v>6811</v>
      </c>
      <c r="Z843" s="3">
        <v>290.55</v>
      </c>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E843" s="67">
        <f t="shared" si="1"/>
        <v>0</v>
      </c>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t="s">
        <v>6812</v>
      </c>
      <c r="Z844" s="3">
        <v>290.55</v>
      </c>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E844" s="67">
        <f t="shared" si="1"/>
        <v>0</v>
      </c>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t="s">
        <v>6813</v>
      </c>
      <c r="Z845" s="3">
        <v>290.55</v>
      </c>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E845" s="67">
        <f t="shared" si="1"/>
        <v>0</v>
      </c>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t="s">
        <v>617</v>
      </c>
      <c r="Z846" s="3">
        <v>290.55</v>
      </c>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E846" s="67">
        <f t="shared" si="1"/>
        <v>0</v>
      </c>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t="s">
        <v>6814</v>
      </c>
      <c r="Z847" s="3">
        <v>290.55</v>
      </c>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E847" s="67">
        <f t="shared" si="1"/>
        <v>0</v>
      </c>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t="s">
        <v>6815</v>
      </c>
      <c r="Z848" s="3">
        <v>290.55</v>
      </c>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E848" s="67">
        <f t="shared" si="1"/>
        <v>0</v>
      </c>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t="s">
        <v>6816</v>
      </c>
      <c r="Z849" s="3">
        <v>290.55</v>
      </c>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E849" s="67">
        <f t="shared" si="1"/>
        <v>0</v>
      </c>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t="s">
        <v>6817</v>
      </c>
      <c r="Z850" s="3">
        <v>290.55</v>
      </c>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E850" s="67">
        <f t="shared" si="1"/>
        <v>0</v>
      </c>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t="s">
        <v>6818</v>
      </c>
      <c r="Z851" s="3">
        <v>290.55</v>
      </c>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E851" s="67">
        <f t="shared" si="1"/>
        <v>0</v>
      </c>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t="s">
        <v>6819</v>
      </c>
      <c r="Z852" s="3">
        <v>290.55</v>
      </c>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E852" s="67">
        <f t="shared" si="1"/>
        <v>0</v>
      </c>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t="s">
        <v>6820</v>
      </c>
      <c r="Z853" s="3">
        <v>290.55</v>
      </c>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E853" s="67">
        <f t="shared" si="1"/>
        <v>0</v>
      </c>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t="s">
        <v>400</v>
      </c>
      <c r="Z854" s="3">
        <v>290.55</v>
      </c>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E854" s="67">
        <f t="shared" si="1"/>
        <v>0</v>
      </c>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row>
  </sheetData>
  <mergeCells count="28">
    <mergeCell ref="A1:B1"/>
    <mergeCell ref="C1:D1"/>
    <mergeCell ref="E1:F1"/>
    <mergeCell ref="G1:H1"/>
    <mergeCell ref="I1:J1"/>
    <mergeCell ref="K1:L1"/>
    <mergeCell ref="M1:N1"/>
    <mergeCell ref="O1:P1"/>
    <mergeCell ref="Q1:R1"/>
    <mergeCell ref="S1:T1"/>
    <mergeCell ref="U1:V1"/>
    <mergeCell ref="W1:X1"/>
    <mergeCell ref="Y1:Z1"/>
    <mergeCell ref="AA1:AB1"/>
    <mergeCell ref="AQ1:AR1"/>
    <mergeCell ref="AS1:AT1"/>
    <mergeCell ref="AU1:AV1"/>
    <mergeCell ref="AW1:AX1"/>
    <mergeCell ref="AY1:AZ1"/>
    <mergeCell ref="BA1:BB1"/>
    <mergeCell ref="BC1:BE1"/>
    <mergeCell ref="AC1:AD1"/>
    <mergeCell ref="AE1:AF1"/>
    <mergeCell ref="AG1:AH1"/>
    <mergeCell ref="AI1:AJ1"/>
    <mergeCell ref="AK1:AL1"/>
    <mergeCell ref="AM1:AN1"/>
    <mergeCell ref="AO1:AP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 customWidth="1" min="2" max="2" width="26.13"/>
    <col customWidth="1" min="3" max="3" width="62.38"/>
  </cols>
  <sheetData>
    <row r="1">
      <c r="A1" s="69" t="s">
        <v>6821</v>
      </c>
      <c r="B1" s="69" t="s">
        <v>406</v>
      </c>
      <c r="C1" s="67" t="s">
        <v>407</v>
      </c>
    </row>
    <row r="2">
      <c r="A2" s="69" t="s">
        <v>1032</v>
      </c>
      <c r="B2" s="1" t="s">
        <v>1718</v>
      </c>
      <c r="C2" s="67" t="s">
        <v>1722</v>
      </c>
    </row>
    <row r="3">
      <c r="A3" s="1" t="s">
        <v>903</v>
      </c>
      <c r="B3" s="1" t="s">
        <v>1718</v>
      </c>
      <c r="C3" s="67" t="s">
        <v>1720</v>
      </c>
    </row>
    <row r="4">
      <c r="A4" s="69" t="s">
        <v>552</v>
      </c>
      <c r="B4" s="1" t="s">
        <v>1711</v>
      </c>
      <c r="C4" s="67" t="s">
        <v>1712</v>
      </c>
    </row>
    <row r="5">
      <c r="A5" s="69" t="s">
        <v>662</v>
      </c>
      <c r="B5" s="1" t="s">
        <v>1718</v>
      </c>
      <c r="C5" s="67" t="s">
        <v>1720</v>
      </c>
    </row>
    <row r="6">
      <c r="A6" s="69" t="s">
        <v>827</v>
      </c>
      <c r="B6" s="1" t="s">
        <v>1711</v>
      </c>
      <c r="C6" s="67" t="s">
        <v>1729</v>
      </c>
    </row>
    <row r="7">
      <c r="A7" s="1" t="s">
        <v>6822</v>
      </c>
      <c r="B7" s="69" t="s">
        <v>6823</v>
      </c>
      <c r="C7" s="67" t="s">
        <v>6824</v>
      </c>
    </row>
    <row r="8">
      <c r="A8" s="69" t="s">
        <v>6825</v>
      </c>
      <c r="B8" s="1" t="s">
        <v>1718</v>
      </c>
      <c r="C8" s="67" t="s">
        <v>1247</v>
      </c>
    </row>
    <row r="9">
      <c r="A9" s="69" t="s">
        <v>6826</v>
      </c>
      <c r="B9" s="69" t="s">
        <v>6827</v>
      </c>
      <c r="C9" s="69" t="s">
        <v>6826</v>
      </c>
    </row>
    <row r="10">
      <c r="A10" s="69" t="s">
        <v>6828</v>
      </c>
      <c r="B10" s="69" t="s">
        <v>6823</v>
      </c>
      <c r="C10" s="69" t="s">
        <v>6828</v>
      </c>
    </row>
    <row r="11">
      <c r="A11" s="1" t="s">
        <v>881</v>
      </c>
      <c r="B11" s="1" t="s">
        <v>1724</v>
      </c>
      <c r="C11" s="67" t="s">
        <v>1725</v>
      </c>
    </row>
    <row r="12">
      <c r="A12" s="1" t="s">
        <v>867</v>
      </c>
      <c r="B12" s="1" t="s">
        <v>1724</v>
      </c>
      <c r="C12" s="67" t="s">
        <v>1727</v>
      </c>
    </row>
    <row r="13">
      <c r="A13" s="1" t="s">
        <v>1140</v>
      </c>
      <c r="B13" s="1" t="s">
        <v>1724</v>
      </c>
      <c r="C13" s="67" t="s">
        <v>1725</v>
      </c>
    </row>
    <row r="14">
      <c r="A14" s="1" t="s">
        <v>6829</v>
      </c>
      <c r="B14" s="1" t="s">
        <v>1724</v>
      </c>
      <c r="C14" s="67" t="s">
        <v>1726</v>
      </c>
    </row>
    <row r="15">
      <c r="A15" s="1" t="s">
        <v>1206</v>
      </c>
      <c r="B15" s="1" t="s">
        <v>1724</v>
      </c>
      <c r="C15" s="67" t="s">
        <v>1726</v>
      </c>
    </row>
    <row r="16">
      <c r="A16" s="1" t="s">
        <v>1237</v>
      </c>
      <c r="B16" s="1" t="s">
        <v>1724</v>
      </c>
      <c r="C16" s="67" t="s">
        <v>1727</v>
      </c>
    </row>
    <row r="17">
      <c r="A17" s="1" t="s">
        <v>6830</v>
      </c>
      <c r="B17" s="1" t="s">
        <v>1718</v>
      </c>
      <c r="C17" s="67" t="s">
        <v>1720</v>
      </c>
    </row>
    <row r="18">
      <c r="A18" s="69" t="s">
        <v>842</v>
      </c>
      <c r="B18" s="1" t="s">
        <v>1718</v>
      </c>
      <c r="C18" s="67" t="s">
        <v>1722</v>
      </c>
    </row>
    <row r="19">
      <c r="A19" s="1" t="s">
        <v>6831</v>
      </c>
      <c r="B19" s="1" t="s">
        <v>6823</v>
      </c>
      <c r="C19" s="67" t="s">
        <v>6824</v>
      </c>
    </row>
    <row r="20">
      <c r="A20" s="69" t="s">
        <v>753</v>
      </c>
      <c r="B20" s="1" t="s">
        <v>1711</v>
      </c>
      <c r="C20" s="67" t="s">
        <v>1712</v>
      </c>
    </row>
    <row r="21">
      <c r="A21" s="1" t="s">
        <v>6832</v>
      </c>
      <c r="B21" s="1" t="s">
        <v>1711</v>
      </c>
      <c r="C21" s="67" t="s">
        <v>1729</v>
      </c>
    </row>
    <row r="22">
      <c r="A22" s="1" t="s">
        <v>6833</v>
      </c>
      <c r="B22" s="1" t="s">
        <v>1711</v>
      </c>
      <c r="C22" s="67" t="s">
        <v>1729</v>
      </c>
    </row>
    <row r="23">
      <c r="A23" s="1" t="s">
        <v>6834</v>
      </c>
      <c r="B23" s="1" t="s">
        <v>1711</v>
      </c>
      <c r="C23" s="67" t="s">
        <v>1729</v>
      </c>
    </row>
    <row r="24">
      <c r="A24" s="1" t="s">
        <v>767</v>
      </c>
      <c r="B24" s="1" t="s">
        <v>1711</v>
      </c>
      <c r="C24" s="67" t="s">
        <v>1712</v>
      </c>
    </row>
    <row r="25">
      <c r="A25" s="1" t="s">
        <v>6835</v>
      </c>
      <c r="B25" s="1" t="s">
        <v>1711</v>
      </c>
      <c r="C25" s="67" t="s">
        <v>1729</v>
      </c>
    </row>
    <row r="26">
      <c r="A26" s="1" t="s">
        <v>6836</v>
      </c>
      <c r="B26" s="1" t="s">
        <v>1711</v>
      </c>
      <c r="C26" s="67" t="s">
        <v>1729</v>
      </c>
    </row>
    <row r="27">
      <c r="A27" s="69" t="s">
        <v>1298</v>
      </c>
      <c r="B27" s="1" t="s">
        <v>1711</v>
      </c>
      <c r="C27" s="67" t="s">
        <v>1729</v>
      </c>
    </row>
    <row r="28">
      <c r="A28" s="1" t="s">
        <v>6837</v>
      </c>
      <c r="B28" s="1" t="s">
        <v>1711</v>
      </c>
      <c r="C28" s="67" t="s">
        <v>1729</v>
      </c>
    </row>
    <row r="29">
      <c r="A29" s="1" t="s">
        <v>6838</v>
      </c>
      <c r="B29" s="1" t="s">
        <v>1711</v>
      </c>
      <c r="C29" s="67" t="s">
        <v>1712</v>
      </c>
    </row>
    <row r="30">
      <c r="A30" s="1" t="s">
        <v>1150</v>
      </c>
      <c r="B30" s="1" t="s">
        <v>1711</v>
      </c>
      <c r="C30" s="67" t="s">
        <v>1712</v>
      </c>
    </row>
    <row r="31">
      <c r="A31" s="67" t="s">
        <v>1459</v>
      </c>
      <c r="B31" s="1" t="s">
        <v>1711</v>
      </c>
      <c r="C31" s="67" t="s">
        <v>1729</v>
      </c>
    </row>
    <row r="32">
      <c r="A32" s="67" t="s">
        <v>6839</v>
      </c>
      <c r="B32" s="1" t="s">
        <v>1711</v>
      </c>
      <c r="C32" s="67" t="s">
        <v>1712</v>
      </c>
    </row>
    <row r="33">
      <c r="A33" s="67" t="s">
        <v>6840</v>
      </c>
      <c r="B33" s="1" t="s">
        <v>1711</v>
      </c>
      <c r="C33" s="67" t="s">
        <v>1729</v>
      </c>
    </row>
    <row r="34">
      <c r="A34" s="67" t="s">
        <v>6841</v>
      </c>
      <c r="B34" s="1" t="s">
        <v>1711</v>
      </c>
      <c r="C34" s="67" t="s">
        <v>1729</v>
      </c>
    </row>
    <row r="35">
      <c r="A35" s="67" t="s">
        <v>6842</v>
      </c>
      <c r="B35" s="1" t="s">
        <v>1711</v>
      </c>
      <c r="C35" s="67" t="s">
        <v>1712</v>
      </c>
    </row>
    <row r="36">
      <c r="A36" s="67" t="s">
        <v>6843</v>
      </c>
      <c r="B36" s="1" t="s">
        <v>1711</v>
      </c>
      <c r="C36" s="67" t="s">
        <v>1712</v>
      </c>
    </row>
    <row r="37">
      <c r="A37" s="67" t="s">
        <v>6844</v>
      </c>
      <c r="B37" s="1" t="s">
        <v>1711</v>
      </c>
      <c r="C37" s="67" t="s">
        <v>1729</v>
      </c>
    </row>
    <row r="38">
      <c r="A38" s="67" t="s">
        <v>6845</v>
      </c>
      <c r="B38" s="1" t="s">
        <v>1711</v>
      </c>
      <c r="C38" s="67" t="s">
        <v>1729</v>
      </c>
    </row>
    <row r="39">
      <c r="A39" s="67" t="s">
        <v>6846</v>
      </c>
      <c r="B39" s="1" t="s">
        <v>1711</v>
      </c>
      <c r="C39" s="67" t="s">
        <v>1729</v>
      </c>
    </row>
    <row r="40">
      <c r="A40" s="67" t="s">
        <v>477</v>
      </c>
      <c r="B40" s="1" t="s">
        <v>1711</v>
      </c>
      <c r="C40" s="67" t="s">
        <v>1712</v>
      </c>
    </row>
    <row r="41">
      <c r="A41" s="67" t="s">
        <v>697</v>
      </c>
      <c r="B41" s="67" t="s">
        <v>1718</v>
      </c>
      <c r="C41" s="67" t="s">
        <v>1720</v>
      </c>
    </row>
    <row r="42">
      <c r="A42" s="67" t="s">
        <v>6847</v>
      </c>
      <c r="B42" s="67" t="s">
        <v>1718</v>
      </c>
      <c r="C42" s="67" t="s">
        <v>1247</v>
      </c>
    </row>
    <row r="43">
      <c r="A43" s="67" t="s">
        <v>537</v>
      </c>
      <c r="B43" s="1" t="s">
        <v>1711</v>
      </c>
      <c r="C43" s="67" t="s">
        <v>1712</v>
      </c>
    </row>
    <row r="44">
      <c r="A44" s="67" t="s">
        <v>488</v>
      </c>
      <c r="B44" s="67" t="s">
        <v>1718</v>
      </c>
      <c r="C44" s="67" t="s">
        <v>1720</v>
      </c>
    </row>
    <row r="45">
      <c r="A45" s="67" t="s">
        <v>1011</v>
      </c>
      <c r="B45" s="67" t="s">
        <v>1718</v>
      </c>
      <c r="C45" s="67" t="s">
        <v>1247</v>
      </c>
    </row>
    <row r="46">
      <c r="A46" s="67" t="s">
        <v>1381</v>
      </c>
      <c r="B46" s="67" t="s">
        <v>1718</v>
      </c>
      <c r="C46" s="67" t="s">
        <v>1720</v>
      </c>
    </row>
    <row r="47">
      <c r="A47" s="67" t="s">
        <v>1650</v>
      </c>
      <c r="B47" s="67" t="s">
        <v>1718</v>
      </c>
      <c r="C47" s="67" t="s">
        <v>1720</v>
      </c>
    </row>
    <row r="48">
      <c r="A48" s="67" t="s">
        <v>608</v>
      </c>
      <c r="B48" s="67" t="s">
        <v>1718</v>
      </c>
      <c r="C48" s="67" t="s">
        <v>1720</v>
      </c>
    </row>
    <row r="49">
      <c r="A49" s="67" t="s">
        <v>6848</v>
      </c>
      <c r="B49" s="67" t="s">
        <v>1711</v>
      </c>
      <c r="C49" s="67" t="s">
        <v>1729</v>
      </c>
    </row>
    <row r="50">
      <c r="A50" s="67" t="s">
        <v>6849</v>
      </c>
      <c r="B50" s="67" t="s">
        <v>1711</v>
      </c>
      <c r="C50" s="67" t="s">
        <v>1712</v>
      </c>
    </row>
    <row r="51">
      <c r="A51" s="67" t="s">
        <v>501</v>
      </c>
      <c r="B51" s="67" t="s">
        <v>1711</v>
      </c>
      <c r="C51" s="67" t="s">
        <v>1729</v>
      </c>
    </row>
    <row r="52">
      <c r="A52" s="67" t="s">
        <v>6850</v>
      </c>
      <c r="B52" s="67" t="s">
        <v>1711</v>
      </c>
      <c r="C52" s="67" t="s">
        <v>1729</v>
      </c>
    </row>
    <row r="53">
      <c r="A53" s="67" t="s">
        <v>495</v>
      </c>
      <c r="B53" s="67" t="s">
        <v>1711</v>
      </c>
      <c r="C53" s="67" t="s">
        <v>1712</v>
      </c>
    </row>
    <row r="54">
      <c r="A54" s="67" t="s">
        <v>6851</v>
      </c>
      <c r="B54" s="67" t="s">
        <v>1711</v>
      </c>
      <c r="C54" s="67" t="s">
        <v>1729</v>
      </c>
    </row>
    <row r="55">
      <c r="A55" s="67" t="s">
        <v>6852</v>
      </c>
      <c r="B55" s="67" t="s">
        <v>1711</v>
      </c>
      <c r="C55" s="67" t="s">
        <v>1712</v>
      </c>
    </row>
    <row r="56">
      <c r="A56" s="67" t="s">
        <v>968</v>
      </c>
      <c r="B56" s="67" t="s">
        <v>1718</v>
      </c>
      <c r="C56" s="67" t="s">
        <v>1720</v>
      </c>
    </row>
    <row r="57">
      <c r="A57" s="67" t="s">
        <v>6853</v>
      </c>
      <c r="B57" s="67" t="s">
        <v>1718</v>
      </c>
      <c r="C57" s="67" t="s">
        <v>1720</v>
      </c>
    </row>
    <row r="58">
      <c r="A58" s="67" t="s">
        <v>630</v>
      </c>
      <c r="B58" s="67" t="s">
        <v>1711</v>
      </c>
      <c r="C58" s="67" t="s">
        <v>1729</v>
      </c>
    </row>
    <row r="59">
      <c r="A59" s="67" t="s">
        <v>1554</v>
      </c>
      <c r="B59" s="67" t="s">
        <v>1711</v>
      </c>
      <c r="C59" s="67" t="s">
        <v>1729</v>
      </c>
    </row>
    <row r="60">
      <c r="A60" s="67" t="s">
        <v>1306</v>
      </c>
      <c r="B60" s="67" t="s">
        <v>1711</v>
      </c>
      <c r="C60" s="67" t="s">
        <v>1712</v>
      </c>
    </row>
    <row r="61">
      <c r="A61" s="67" t="s">
        <v>6854</v>
      </c>
      <c r="B61" s="67" t="s">
        <v>1711</v>
      </c>
      <c r="C61" s="67" t="s">
        <v>1729</v>
      </c>
    </row>
    <row r="62">
      <c r="A62" s="67" t="s">
        <v>523</v>
      </c>
      <c r="B62" s="67" t="s">
        <v>1711</v>
      </c>
      <c r="C62" s="67" t="s">
        <v>1729</v>
      </c>
    </row>
    <row r="63">
      <c r="A63" s="67" t="s">
        <v>6855</v>
      </c>
      <c r="B63" s="67" t="s">
        <v>1711</v>
      </c>
      <c r="C63" s="67" t="s">
        <v>1712</v>
      </c>
    </row>
    <row r="64">
      <c r="A64" s="67" t="s">
        <v>888</v>
      </c>
      <c r="B64" s="67" t="s">
        <v>1718</v>
      </c>
      <c r="C64" s="67" t="s">
        <v>1247</v>
      </c>
    </row>
    <row r="65">
      <c r="A65" s="67" t="s">
        <v>684</v>
      </c>
      <c r="B65" s="67" t="s">
        <v>1711</v>
      </c>
      <c r="C65" s="67" t="s">
        <v>1729</v>
      </c>
    </row>
    <row r="66">
      <c r="A66" s="67" t="s">
        <v>6856</v>
      </c>
      <c r="B66" s="67" t="s">
        <v>1711</v>
      </c>
      <c r="C66" s="67" t="s">
        <v>1712</v>
      </c>
    </row>
    <row r="67">
      <c r="A67" s="67" t="s">
        <v>1121</v>
      </c>
      <c r="B67" s="67" t="s">
        <v>1718</v>
      </c>
      <c r="C67" s="67" t="s">
        <v>1720</v>
      </c>
    </row>
    <row r="68">
      <c r="A68" s="67" t="s">
        <v>1172</v>
      </c>
      <c r="B68" s="67" t="s">
        <v>1718</v>
      </c>
      <c r="C68" s="67" t="s">
        <v>1720</v>
      </c>
    </row>
    <row r="69">
      <c r="A69" s="67" t="s">
        <v>444</v>
      </c>
      <c r="B69" s="67" t="s">
        <v>1711</v>
      </c>
      <c r="C69" s="67" t="s">
        <v>1729</v>
      </c>
    </row>
    <row r="70">
      <c r="A70" s="67" t="s">
        <v>457</v>
      </c>
      <c r="B70" s="67" t="s">
        <v>1711</v>
      </c>
      <c r="C70" s="67" t="s">
        <v>1712</v>
      </c>
    </row>
    <row r="71">
      <c r="A71" s="67" t="s">
        <v>1166</v>
      </c>
      <c r="B71" s="67" t="s">
        <v>1718</v>
      </c>
      <c r="C71" s="67" t="s">
        <v>1722</v>
      </c>
    </row>
    <row r="72">
      <c r="A72" s="67" t="s">
        <v>513</v>
      </c>
      <c r="B72" s="67" t="s">
        <v>1718</v>
      </c>
      <c r="C72" s="67" t="s">
        <v>1247</v>
      </c>
    </row>
  </sheetData>
  <drawing r:id="rId1"/>
</worksheet>
</file>